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c3d70daf8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22761285e234844"/>
    <x:sheet xmlns:r="http://schemas.openxmlformats.org/officeDocument/2006/relationships" name="Data_Dictionary" sheetId="2" r:id="R6c0573eed1a64e41"/>
    <x:sheet xmlns:r="http://schemas.openxmlformats.org/officeDocument/2006/relationships" name="Raw_Data" sheetId="3" r:id="Rac5bd2d67570417b"/>
    <x:sheet xmlns:r="http://schemas.openxmlformats.org/officeDocument/2006/relationships" name="Cleaning_Log" sheetId="4" r:id="Ra3be177fae104a34"/>
    <x:sheet xmlns:r="http://schemas.openxmlformats.org/officeDocument/2006/relationships" name="Sentiment_Grouping_Map" sheetId="5" r:id="R59652d26e14e49c1"/>
    <x:sheet xmlns:r="http://schemas.openxmlformats.org/officeDocument/2006/relationships" name="Cleaned_Data" sheetId="6" r:id="R0278c41a26c846a6"/>
    <x:sheet xmlns:r="http://schemas.openxmlformats.org/officeDocument/2006/relationships" name="Descriptive_Stats" sheetId="7" r:id="Rd44c760275eb4ea6"/>
    <x:sheet xmlns:r="http://schemas.openxmlformats.org/officeDocument/2006/relationships" name="Sentiment_Analysis" sheetId="8" r:id="Rd64c2ffef9a4460a"/>
    <x:sheet xmlns:r="http://schemas.openxmlformats.org/officeDocument/2006/relationships" name="Platform_Analysis" sheetId="9" r:id="R4fb788d57f8e4c10"/>
    <x:sheet xmlns:r="http://schemas.openxmlformats.org/officeDocument/2006/relationships" name="Country_Analysis" sheetId="10" r:id="R2d6bfd44af4b4c68"/>
    <x:sheet xmlns:r="http://schemas.openxmlformats.org/officeDocument/2006/relationships" name="Time_Trend_Analysis" sheetId="11" r:id="R7da1629a61114eca"/>
    <x:sheet xmlns:r="http://schemas.openxmlformats.org/officeDocument/2006/relationships" name="Correlation" sheetId="12" r:id="R0a05ae78d49740eb"/>
    <x:sheet xmlns:r="http://schemas.openxmlformats.org/officeDocument/2006/relationships" name="Charts_Dashboard" sheetId="13" r:id="Rd38aeed0352045bd"/>
    <x:sheet xmlns:r="http://schemas.openxmlformats.org/officeDocument/2006/relationships" name="Hourly_Analysis" sheetId="14" r:id="R03c8fe9375e843ae"/>
  </x:sheets>
</x:workbook>
</file>

<file path=xl/sharedStrings.xml><?xml version="1.0" encoding="utf-8"?>
<x:sst xmlns:x="http://schemas.openxmlformats.org/spreadsheetml/2006/main">
  <x:si>
    <x:t xml:space="preserve">Unnamed: 0.1</x:t>
  </x:si>
  <x:si>
    <x:t xml:space="preserve">Unnamed: 0</x:t>
  </x:si>
  <x:si>
    <x:t xml:space="preserve">Text</x:t>
  </x:si>
  <x:si>
    <x:t xml:space="preserve">Sentiment</x:t>
  </x:si>
  <x:si>
    <x:t xml:space="preserve">Timestamp</x:t>
  </x:si>
  <x:si>
    <x:t xml:space="preserve">User</x:t>
  </x:si>
  <x:si>
    <x:t xml:space="preserve">Platform</x:t>
  </x:si>
  <x:si>
    <x:t xml:space="preserve">Hashtags</x:t>
  </x:si>
  <x:si>
    <x:t xml:space="preserve">Retweets</x:t>
  </x:si>
  <x:si>
    <x:t xml:space="preserve">Likes</x:t>
  </x:si>
  <x:si>
    <x:t xml:space="preserve">Country</x:t>
  </x:si>
  <x:si>
    <x:t xml:space="preserve">Year</x:t>
  </x:si>
  <x:si>
    <x:t xml:space="preserve">Month</x:t>
  </x:si>
  <x:si>
    <x:t xml:space="preserve">Day</x:t>
  </x:si>
  <x:si>
    <x:t xml:space="preserve">Hour</x:t>
  </x:si>
  <x:si>
    <x:t xml:space="preserve"> Enjoying a beautiful day at the park!              </x:t>
  </x:si>
  <x:si>
    <x:t xml:space="preserve"> Positive  </x:t>
  </x:si>
  <x:si>
    <x:t xml:space="preserve">2023-01-15 12:30:00</x:t>
  </x:si>
  <x:si>
    <x:t xml:space="preserve"> User123      </x:t>
  </x:si>
  <x:si>
    <x:t xml:space="preserve"> Twitter  </x:t>
  </x:si>
  <x:si>
    <x:t xml:space="preserve"> #Nature #Park                            </x:t>
  </x:si>
  <x:si>
    <x:t xml:space="preserve"> USA      </x:t>
  </x:si>
  <x:si>
    <x:t xml:space="preserve"> Traffic was terrible this morning.                 </x:t>
  </x:si>
  <x:si>
    <x:t xml:space="preserve"> Negative  </x:t>
  </x:si>
  <x:si>
    <x:t xml:space="preserve">2023-01-15 08:45:00</x:t>
  </x:si>
  <x:si>
    <x:t xml:space="preserve"> CommuterX    </x:t>
  </x:si>
  <x:si>
    <x:t xml:space="preserve"> #Traffic #Morning                        </x:t>
  </x:si>
  <x:si>
    <x:t xml:space="preserve"> Canada   </x:t>
  </x:si>
  <x:si>
    <x:t xml:space="preserve"> Just finished an amazing workout! 💪               </x:t>
  </x:si>
  <x:si>
    <x:t xml:space="preserve">2023-01-15 15:45:00</x:t>
  </x:si>
  <x:si>
    <x:t xml:space="preserve"> FitnessFan   </x:t>
  </x:si>
  <x:si>
    <x:t xml:space="preserve"> Instagram </x:t>
  </x:si>
  <x:si>
    <x:t xml:space="preserve"> #Fitness #Workout                        </x:t>
  </x:si>
  <x:si>
    <x:t xml:space="preserve"> USA        </x:t>
  </x:si>
  <x:si>
    <x:t xml:space="preserve"> Excited about the upcoming weekend getaway!        </x:t>
  </x:si>
  <x:si>
    <x:t xml:space="preserve">2023-01-15 18:20:00</x:t>
  </x:si>
  <x:si>
    <x:t xml:space="preserve"> AdventureX   </x:t>
  </x:si>
  <x:si>
    <x:t xml:space="preserve"> Facebook </x:t>
  </x:si>
  <x:si>
    <x:t xml:space="preserve"> #Travel #Adventure                       </x:t>
  </x:si>
  <x:si>
    <x:t xml:space="preserve"> UK       </x:t>
  </x:si>
  <x:si>
    <x:t xml:space="preserve"> Trying out a new recipe for dinner tonight.        </x:t>
  </x:si>
  <x:si>
    <x:t xml:space="preserve"> Neutral   </x:t>
  </x:si>
  <x:si>
    <x:t xml:space="preserve">2023-01-15 19:55:00</x:t>
  </x:si>
  <x:si>
    <x:t xml:space="preserve"> ChefCook     </x:t>
  </x:si>
  <x:si>
    <x:t xml:space="preserve"> #Cooking #Food                           </x:t>
  </x:si>
  <x:si>
    <x:t xml:space="preserve"> Australia </x:t>
  </x:si>
  <x:si>
    <x:t xml:space="preserve"> Feeling grateful for the little things in life.    </x:t>
  </x:si>
  <x:si>
    <x:t xml:space="preserve">2023-01-16 09:10:00</x:t>
  </x:si>
  <x:si>
    <x:t xml:space="preserve"> GratitudeNow </x:t>
  </x:si>
  <x:si>
    <x:t xml:space="preserve"> #Gratitude #PositiveVibes              </x:t>
  </x:si>
  <x:si>
    <x:t xml:space="preserve"> India    </x:t>
  </x:si>
  <x:si>
    <x:t xml:space="preserve"> Rainy days call for cozy blankets and hot cocoa.   </x:t>
  </x:si>
  <x:si>
    <x:t xml:space="preserve">2023-01-16 14:45:00</x:t>
  </x:si>
  <x:si>
    <x:t xml:space="preserve"> RainyDays    </x:t>
  </x:si>
  <x:si>
    <x:t xml:space="preserve"> #RainyDays #Cozy                         </x:t>
  </x:si>
  <x:si>
    <x:t xml:space="preserve"> The new movie release is a must-watch!             </x:t>
  </x:si>
  <x:si>
    <x:t xml:space="preserve">2023-01-16 19:30:00</x:t>
  </x:si>
  <x:si>
    <x:t xml:space="preserve"> MovieBuff    </x:t>
  </x:si>
  <x:si>
    <x:t xml:space="preserve"> #MovieNight #MustWatch                  </x:t>
  </x:si>
  <x:si>
    <x:t xml:space="preserve"> USA    </x:t>
  </x:si>
  <x:si>
    <x:t xml:space="preserve"> Political discussions heating up on the timeline.  </x:t>
  </x:si>
  <x:si>
    <x:t xml:space="preserve">2023-01-17 08:00:00</x:t>
  </x:si>
  <x:si>
    <x:t xml:space="preserve"> DebateTalk   </x:t>
  </x:si>
  <x:si>
    <x:t xml:space="preserve"> #Politics #Debate                       </x:t>
  </x:si>
  <x:si>
    <x:t xml:space="preserve"> Missing summer vibes and beach days.               </x:t>
  </x:si>
  <x:si>
    <x:t xml:space="preserve">2023-01-17 12:20:00</x:t>
  </x:si>
  <x:si>
    <x:t xml:space="preserve"> BeachLover   </x:t>
  </x:si>
  <x:si>
    <x:t xml:space="preserve"> #Summer #BeachDays                      </x:t>
  </x:si>
  <x:si>
    <x:t xml:space="preserve"> Just published a new blog post. Check it out!      </x:t>
  </x:si>
  <x:si>
    <x:t xml:space="preserve">2023-01-17 15:15:00</x:t>
  </x:si>
  <x:si>
    <x:t xml:space="preserve"> BloggerX     </x:t>
  </x:si>
  <x:si>
    <x:t xml:space="preserve"> #Blogging #NewPost                      </x:t>
  </x:si>
  <x:si>
    <x:t xml:space="preserve">USA</x:t>
  </x:si>
  <x:si>
    <x:t xml:space="preserve"> Feeling a bit under the weather today.             </x:t>
  </x:si>
  <x:si>
    <x:t xml:space="preserve">2023-01-18 10:30:00</x:t>
  </x:si>
  <x:si>
    <x:t xml:space="preserve"> WellnessCheck</x:t>
  </x:si>
  <x:si>
    <x:t xml:space="preserve"> #SickDay #Health                        </x:t>
  </x:si>
  <x:si>
    <x:t xml:space="preserve"> Exploring the city's hidden gems.                  </x:t>
  </x:si>
  <x:si>
    <x:t xml:space="preserve">2023-01-18 14:50:00</x:t>
  </x:si>
  <x:si>
    <x:t xml:space="preserve"> UrbanExplorer</x:t>
  </x:si>
  <x:si>
    <x:t xml:space="preserve"> #CityExplore #HiddenGems                </x:t>
  </x:si>
  <x:si>
    <x:t xml:space="preserve"> New year, new fitness goals! 💪                    </x:t>
  </x:si>
  <x:si>
    <x:t xml:space="preserve">2023-01-18 18:00:00</x:t>
  </x:si>
  <x:si>
    <x:t xml:space="preserve"> FitJourney   </x:t>
  </x:si>
  <x:si>
    <x:t xml:space="preserve"> #NewYear #FitnessGoals                  </x:t>
  </x:si>
  <x:si>
    <x:t xml:space="preserve"> Technology is changing the way we live.            </x:t>
  </x:si>
  <x:si>
    <x:t xml:space="preserve">2023-01-19 09:45:00</x:t>
  </x:si>
  <x:si>
    <x:t xml:space="preserve"> TechEnthusiast</x:t>
  </x:si>
  <x:si>
    <x:t xml:space="preserve"> #Tech #Innovation                       </x:t>
  </x:si>
  <x:si>
    <x:t xml:space="preserve"> Reflecting on the past and looking ahead.          </x:t>
  </x:si>
  <x:si>
    <x:t xml:space="preserve">2023-01-19 13:20:00</x:t>
  </x:si>
  <x:si>
    <x:t xml:space="preserve"> Reflections  </x:t>
  </x:si>
  <x:si>
    <x:t xml:space="preserve"> #Reflection #Future                     </x:t>
  </x:si>
  <x:si>
    <x:t xml:space="preserve"> Just adopted a cute furry friend! 🐾              </x:t>
  </x:si>
  <x:si>
    <x:t xml:space="preserve">2023-01-19 17:10:00</x:t>
  </x:si>
  <x:si>
    <x:t xml:space="preserve"> PetAdopter   </x:t>
  </x:si>
  <x:si>
    <x:t xml:space="preserve"> #PetAdoption #FurryFriend               </x:t>
  </x:si>
  <x:si>
    <x:t xml:space="preserve"> Canada    </x:t>
  </x:si>
  <x:si>
    <x:t xml:space="preserve"> Late-night gaming session with friends.            </x:t>
  </x:si>
  <x:si>
    <x:t xml:space="preserve">2023-01-20 00:05:00</x:t>
  </x:si>
  <x:si>
    <x:t xml:space="preserve"> GamerX       </x:t>
  </x:si>
  <x:si>
    <x:t xml:space="preserve"> #Gaming #LateNight                      </x:t>
  </x:si>
  <x:si>
    <x:t xml:space="preserve"> Attending a virtual conference on AI.              </x:t>
  </x:si>
  <x:si>
    <x:t xml:space="preserve">2023-01-20 11:30:00</x:t>
  </x:si>
  <x:si>
    <x:t xml:space="preserve"> TechConference</x:t>
  </x:si>
  <x:si>
    <x:t xml:space="preserve"> #AI #TechConference                     </x:t>
  </x:si>
  <x:si>
    <x:t xml:space="preserve"> Winter blues got me feeling low.                   </x:t>
  </x:si>
  <x:si>
    <x:t xml:space="preserve">2023-01-20 15:15:00</x:t>
  </x:si>
  <x:si>
    <x:t xml:space="preserve"> WinterBlues  </x:t>
  </x:si>
  <x:si>
    <x:t xml:space="preserve"> #WinterBlues #Mood                      </x:t>
  </x:si>
  <x:si>
    <x:t xml:space="preserve"> USA       </x:t>
  </x:si>
  <x:si>
    <x:t xml:space="preserve"> Sipping coffee and enjoying a good book.           </x:t>
  </x:si>
  <x:si>
    <x:t xml:space="preserve">2023-01-21 08:40:00</x:t>
  </x:si>
  <x:si>
    <x:t xml:space="preserve"> Bookworm     </x:t>
  </x:si>
  <x:si>
    <x:t xml:space="preserve"> #Reading #CoffeeTime                    </x:t>
  </x:si>
  <x:si>
    <x:t xml:space="preserve"> Exploring the world of virtual reality.            </x:t>
  </x:si>
  <x:si>
    <x:t xml:space="preserve">2023-01-21 13:20:00</x:t>
  </x:si>
  <x:si>
    <x:t xml:space="preserve"> VRExplorer   </x:t>
  </x:si>
  <x:si>
    <x:t xml:space="preserve"> #VR #VirtualReality                     </x:t>
  </x:si>
  <x:si>
    <x:t xml:space="preserve"> Productive day ticking off my to-do list.          </x:t>
  </x:si>
  <x:si>
    <x:t xml:space="preserve">2023-01-21 16:45:00</x:t>
  </x:si>
  <x:si>
    <x:t xml:space="preserve"> ProductivityPro</x:t>
  </x:si>
  <x:si>
    <x:t xml:space="preserve"> #Productivity #WorkFromHome           </x:t>
  </x:si>
  <x:si>
    <x:t xml:space="preserve"> USA </x:t>
  </x:si>
  <x:si>
    <x:t xml:space="preserve"> Just finished a challenging workout routine.       </x:t>
  </x:si>
  <x:si>
    <x:t xml:space="preserve">2023-01-22 09:15:00</x:t>
  </x:si>
  <x:si>
    <x:t xml:space="preserve"> FitnessWarrior</x:t>
  </x:si>
  <x:si>
    <x:t xml:space="preserve"> #Fitness #ChallengeAccepted             </x:t>
  </x:si>
  <x:si>
    <x:t xml:space="preserve"> Celebrating a milestone at work! 🎉               </x:t>
  </x:si>
  <x:si>
    <x:t xml:space="preserve">2023-01-22 14:30:00</x:t>
  </x:si>
  <x:si>
    <x:t xml:space="preserve"> CareerMilestone</x:t>
  </x:si>
  <x:si>
    <x:t xml:space="preserve"> #Career #Milestone                      </x:t>
  </x:si>
  <x:si>
    <x:t xml:space="preserve"> Canada  </x:t>
  </x:si>
  <x:si>
    <x:t xml:space="preserve"> Sunday brunch with friends.                        </x:t>
  </x:si>
  <x:si>
    <x:t xml:space="preserve">2023-01-22 12:00:00</x:t>
  </x:si>
  <x:si>
    <x:t xml:space="preserve"> BrunchBuddy  </x:t>
  </x:si>
  <x:si>
    <x:t xml:space="preserve"> #Brunch #Friends                       </x:t>
  </x:si>
  <x:si>
    <x:t xml:space="preserve"> UK </x:t>
  </x:si>
  <x:si>
    <x:t xml:space="preserve"> Learning a new language for personal growth.       </x:t>
  </x:si>
  <x:si>
    <x:t xml:space="preserve">2023-01-23 16:20:00</x:t>
  </x:si>
  <x:si>
    <x:t xml:space="preserve"> LanguageLearner</x:t>
  </x:si>
  <x:si>
    <x:t xml:space="preserve"> #LanguageLearning #PersonalGrowth       </x:t>
  </x:si>
  <x:si>
    <x:t xml:space="preserve"> India     </x:t>
  </x:si>
  <x:si>
    <x:t xml:space="preserve"> Quiet evening with a good book.                    </x:t>
  </x:si>
  <x:si>
    <x:t xml:space="preserve">2023-01-23 19:45:00</x:t>
  </x:si>
  <x:si>
    <x:t xml:space="preserve"> BookLover    </x:t>
  </x:si>
  <x:si>
    <x:t xml:space="preserve"> #Reading #QuietTime                     </x:t>
  </x:si>
  <x:si>
    <x:t xml:space="preserve"> Reflecting on the importance of mental health.     </x:t>
  </x:si>
  <x:si>
    <x:t xml:space="preserve">2023-01-24 11:30:00</x:t>
  </x:si>
  <x:si>
    <x:t xml:space="preserve"> MentalHealthMatters</x:t>
  </x:si>
  <x:si>
    <x:t xml:space="preserve"> #MentalHealth #SelfCare                 </x:t>
  </x:si>
  <x:si>
    <x:t xml:space="preserve"> New painting in progress! 🎨                       </x:t>
  </x:si>
  <x:si>
    <x:t xml:space="preserve">2023-01-24 15:00:00</x:t>
  </x:si>
  <x:si>
    <x:t xml:space="preserve"> ArtistInAction</x:t>
  </x:si>
  <x:si>
    <x:t xml:space="preserve"> #Art #PaintingInProgress             </x:t>
  </x:si>
  <x:si>
    <x:t xml:space="preserve"> Canada </x:t>
  </x:si>
  <x:si>
    <x:t xml:space="preserve"> Weekend road trip to explore scenic views.         </x:t>
  </x:si>
  <x:si>
    <x:t xml:space="preserve">2023-01-24 17:30:00</x:t>
  </x:si>
  <x:si>
    <x:t xml:space="preserve"> RoadTripper  </x:t>
  </x:si>
  <x:si>
    <x:t xml:space="preserve"> #RoadTrip #ScenicViews                  </x:t>
  </x:si>
  <x:si>
    <x:t xml:space="preserve"> UK        </x:t>
  </x:si>
  <x:si>
    <x:t xml:space="preserve"> Enjoying a cup of tea and watching the sunset.     </x:t>
  </x:si>
  <x:si>
    <x:t xml:space="preserve">2023-01-25 18:00:00</x:t>
  </x:si>
  <x:si>
    <x:t xml:space="preserve"> SunsetWatcher</x:t>
  </x:si>
  <x:si>
    <x:t xml:space="preserve"> #TeaTime #Sunset                       </x:t>
  </x:si>
  <x:si>
    <x:t xml:space="preserve"> Coding a new project with enthusiasm.              </x:t>
  </x:si>
  <x:si>
    <x:t xml:space="preserve">2023-01-25 13:15:00</x:t>
  </x:si>
  <x:si>
    <x:t xml:space="preserve"> CodeEnthusiast</x:t>
  </x:si>
  <x:si>
    <x:t xml:space="preserve"> #Coding #Enthusiasm                   </x:t>
  </x:si>
  <x:si>
    <x:t xml:space="preserve"> Feeling inspired after attending a workshop.       </x:t>
  </x:si>
  <x:si>
    <x:t xml:space="preserve">2023-01-26 09:45:00</x:t>
  </x:si>
  <x:si>
    <x:t xml:space="preserve"> WorkshopAttendee</x:t>
  </x:si>
  <x:si>
    <x:t xml:space="preserve"> #Inspiration #Workshop                  </x:t>
  </x:si>
  <x:si>
    <x:t xml:space="preserve"> Winter sports day at the local park.               </x:t>
  </x:si>
  <x:si>
    <x:t xml:space="preserve">2023-01-26 14:20:00</x:t>
  </x:si>
  <x:si>
    <x:t xml:space="preserve"> WinterSports  </x:t>
  </x:si>
  <x:si>
    <x:t xml:space="preserve"> #WinterSports #Fun                     </x:t>
  </x:si>
  <x:si>
    <x:t xml:space="preserve"> Quality time with family this weekend.             </x:t>
  </x:si>
  <x:si>
    <x:t xml:space="preserve">2023-01-26 17:40:00</x:t>
  </x:si>
  <x:si>
    <x:t xml:space="preserve"> FamilyTime   </x:t>
  </x:si>
  <x:si>
    <x:t xml:space="preserve"> #FamilyTime #Weekend                    </x:t>
  </x:si>
  <x:si>
    <x:t xml:space="preserve"> Attending a live music concert tonight.            </x:t>
  </x:si>
  <x:si>
    <x:t xml:space="preserve">2023-01-27 20:00:00</x:t>
  </x:si>
  <x:si>
    <x:t xml:space="preserve"> MusicLover   </x:t>
  </x:si>
  <x:si>
    <x:t xml:space="preserve"> #Music #ConcertNight                  </x:t>
  </x:si>
  <x:si>
    <x:t xml:space="preserve"> Practicing mindfulness with meditation.            </x:t>
  </x:si>
  <x:si>
    <x:t xml:space="preserve">2023-01-27 12:30:00</x:t>
  </x:si>
  <x:si>
    <x:t xml:space="preserve"> MindfulMoments</x:t>
  </x:si>
  <x:si>
    <x:t xml:space="preserve"> #Mindfulness #Meditation               </x:t>
  </x:si>
  <x:si>
    <x:t xml:space="preserve"> Trying out a new dessert recipe.                   </x:t>
  </x:si>
  <x:si>
    <x:t xml:space="preserve">2023-01-27 16:10:00</x:t>
  </x:si>
  <x:si>
    <x:t xml:space="preserve"> DessertExplorer</x:t>
  </x:si>
  <x:si>
    <x:t xml:space="preserve"> #Dessert #Cooking                      </x:t>
  </x:si>
  <x:si>
    <x:t xml:space="preserve"> Excited about the upcoming gaming tournament.      </x:t>
  </x:si>
  <x:si>
    <x:t xml:space="preserve">2023-01-28 09:00:00</x:t>
  </x:si>
  <x:si>
    <x:t xml:space="preserve"> GamingEnthusiast</x:t>
  </x:si>
  <x:si>
    <x:t xml:space="preserve"> #Gaming #Tournament                     </x:t>
  </x:si>
  <x:si>
    <x:t xml:space="preserve"> Planning a garden makeover for spring.             </x:t>
  </x:si>
  <x:si>
    <x:t xml:space="preserve">2023-01-28 14:45:00</x:t>
  </x:si>
  <x:si>
    <x:t xml:space="preserve"> GardenPlanner </x:t>
  </x:si>
  <x:si>
    <x:t xml:space="preserve"> #Gardening #Spring                     </x:t>
  </x:si>
  <x:si>
    <x:t xml:space="preserve"> Celebrating a friend's birthday tonight! 🎂       </x:t>
  </x:si>
  <x:si>
    <x:t xml:space="preserve">2023-01-28 19:30:00</x:t>
  </x:si>
  <x:si>
    <x:t xml:space="preserve"> BirthdayBash </x:t>
  </x:si>
  <x:si>
    <x:t xml:space="preserve"> #Birthday #Celebration                  </x:t>
  </x:si>
  <x:si>
    <x:t xml:space="preserve"> Feeling accomplished after a productive day.       </x:t>
  </x:si>
  <x:si>
    <x:t xml:space="preserve">2023-01-29 17:00:00</x:t>
  </x:si>
  <x:si>
    <x:t xml:space="preserve"> ProductivityWin</x:t>
  </x:si>
  <x:si>
    <x:t xml:space="preserve"> #Accomplished #Success               </x:t>
  </x:si>
  <x:si>
    <x:t xml:space="preserve"> India </x:t>
  </x:si>
  <x:si>
    <x:t xml:space="preserve"> A cozy evening with a good movie.                 </x:t>
  </x:si>
  <x:si>
    <x:t xml:space="preserve">2023-01-29 20:20:00</x:t>
  </x:si>
  <x:si>
    <x:t xml:space="preserve"> MovieNight   </x:t>
  </x:si>
  <x:si>
    <x:t xml:space="preserve"> #CozyNight #MovieTime                   </x:t>
  </x:si>
  <x:si>
    <x:t xml:space="preserve"> Exploring local art galleries this weekend.        </x:t>
  </x:si>
  <x:si>
    <x:t xml:space="preserve">2023-01-30 11:30:00</x:t>
  </x:si>
  <x:si>
    <x:t xml:space="preserve"> ArtExplorer  </x:t>
  </x:si>
  <x:si>
    <x:t xml:space="preserve"> #Art #GalleryExplore                    </x:t>
  </x:si>
  <x:si>
    <x:t xml:space="preserve"> New book release from my favorite author!          </x:t>
  </x:si>
  <x:si>
    <x:t xml:space="preserve">2023-01-30 15:45:00</x:t>
  </x:si>
  <x:si>
    <x:t xml:space="preserve"> BookwormX    </x:t>
  </x:si>
  <x:si>
    <x:t xml:space="preserve"> #BookRelease #FavoriteAuthor           </x:t>
  </x:si>
  <x:si>
    <x:t xml:space="preserve"> UK   </x:t>
  </x:si>
  <x:si>
    <x:t xml:space="preserve"> Attending a virtual reality meetup.                </x:t>
  </x:si>
  <x:si>
    <x:t xml:space="preserve">2023-01-30 18:30:00</x:t>
  </x:si>
  <x:si>
    <x:t xml:space="preserve"> VRMeetup     </x:t>
  </x:si>
  <x:si>
    <x:t xml:space="preserve"> #VRMeetup #VirtualReality               </x:t>
  </x:si>
  <x:si>
    <x:t xml:space="preserve"> Reflecting on the beauty of nature.                </x:t>
  </x:si>
  <x:si>
    <x:t xml:space="preserve">2023-01-31 10:45:00</x:t>
  </x:si>
  <x:si>
    <x:t xml:space="preserve"> NatureLover  </x:t>
  </x:si>
  <x:si>
    <x:t xml:space="preserve"> #Nature #Reflection                     </x:t>
  </x:si>
  <x:si>
    <x:t xml:space="preserve"> Cooking a special dinner for loved ones.           </x:t>
  </x:si>
  <x:si>
    <x:t xml:space="preserve">2023-01-31 19:00:00</x:t>
  </x:si>
  <x:si>
    <x:t xml:space="preserve"> ChefAtHome   </x:t>
  </x:si>
  <x:si>
    <x:t xml:space="preserve"> #Cooking #SpecialDinner                </x:t>
  </x:si>
  <x:si>
    <x:t xml:space="preserve"> Feeling optimistic about the week ahead.           </x:t>
  </x:si>
  <x:si>
    <x:t xml:space="preserve">2023-01-31 16:20:00</x:t>
  </x:si>
  <x:si>
    <x:t xml:space="preserve"> OptimisticMindset</x:t>
  </x:si>
  <x:si>
    <x:t xml:space="preserve"> #Optimism #NewWeek                     </x:t>
  </x:si>
  <x:si>
    <x:t xml:space="preserve"> Starting a new fitness challenge tomorrow! 💪     </x:t>
  </x:si>
  <x:si>
    <x:t xml:space="preserve">2023-02-01 08:00:00</x:t>
  </x:si>
  <x:si>
    <x:t xml:space="preserve"> FitnessChallenge</x:t>
  </x:si>
  <x:si>
    <x:t xml:space="preserve"> #FitnessChallenge #NewBeginnings       </x:t>
  </x:si>
  <x:si>
    <x:t xml:space="preserve"> UK         </x:t>
  </x:si>
  <x:si>
    <x:t xml:space="preserve"> Sunday bike ride through scenic trails.           </x:t>
  </x:si>
  <x:si>
    <x:t xml:space="preserve">2023-02-01 13:30:00</x:t>
  </x:si>
  <x:si>
    <x:t xml:space="preserve"> BikeExplorer  </x:t>
  </x:si>
  <x:si>
    <x:t xml:space="preserve"> #BikeRide #ScenicTrails                </x:t>
  </x:si>
  <x:si>
    <x:t xml:space="preserve"> USA     </x:t>
  </x:si>
  <x:si>
    <x:t xml:space="preserve"> Can't believe the injustice happening in our society.</x:t>
  </x:si>
  <x:si>
    <x:t xml:space="preserve"> Anger        </x:t>
  </x:si>
  <x:si>
    <x:t xml:space="preserve">2023-02-11 09:30:00</x:t>
  </x:si>
  <x:si>
    <x:t xml:space="preserve"> SocialJustice   </x:t>
  </x:si>
  <x:si>
    <x:t xml:space="preserve"> #Injustice #Angry                            </x:t>
  </x:si>
  <x:si>
    <x:t xml:space="preserve"> Canada     </x:t>
  </x:si>
  <x:si>
    <x:t xml:space="preserve"> Feeling a sense of fear after watching a thriller movie. </x:t>
  </x:si>
  <x:si>
    <x:t xml:space="preserve"> Fear         </x:t>
  </x:si>
  <x:si>
    <x:t xml:space="preserve">2023-02-11 21:15:00</x:t>
  </x:si>
  <x:si>
    <x:t xml:space="preserve"> ThrillerFan     </x:t>
  </x:si>
  <x:si>
    <x:t xml:space="preserve"> #Fear #ThrillerMovie                         </x:t>
  </x:si>
  <x:si>
    <x:t xml:space="preserve"> USA          </x:t>
  </x:si>
  <x:si>
    <x:t xml:space="preserve"> Heartbroken after hearing the news about a natural disaster. </x:t>
  </x:si>
  <x:si>
    <x:t xml:space="preserve"> Sadness      </x:t>
  </x:si>
  <x:si>
    <x:t xml:space="preserve">2023-02-12 14:45:00</x:t>
  </x:si>
  <x:si>
    <x:t xml:space="preserve"> EmpathyFirst    </x:t>
  </x:si>
  <x:si>
    <x:t xml:space="preserve"> #Sadness #NaturalDisaster                    </x:t>
  </x:si>
  <x:si>
    <x:t xml:space="preserve"> India      </x:t>
  </x:si>
  <x:si>
    <x:t xml:space="preserve"> The state of the world's environment is just disgusting. </x:t>
  </x:si>
  <x:si>
    <x:t xml:space="preserve"> Disgust      </x:t>
  </x:si>
  <x:si>
    <x:t xml:space="preserve">2023-02-12 18:20:00</x:t>
  </x:si>
  <x:si>
    <x:t xml:space="preserve"> EcoAwareness    </x:t>
  </x:si>
  <x:si>
    <x:t xml:space="preserve"> #Disgust #Environment                        </x:t>
  </x:si>
  <x:si>
    <x:t xml:space="preserve"> Pure happiness: celebrating a loved one's achievement! </x:t>
  </x:si>
  <x:si>
    <x:t xml:space="preserve"> Happiness    </x:t>
  </x:si>
  <x:si>
    <x:t xml:space="preserve">2023-02-13 10:00:00</x:t>
  </x:si>
  <x:si>
    <x:t xml:space="preserve"> ProudFriend     </x:t>
  </x:si>
  <x:si>
    <x:t xml:space="preserve"> #Happiness #Celebration                   </x:t>
  </x:si>
  <x:si>
    <x:t xml:space="preserve"> Laughter is the best medicine—enjoying a comedy show. </x:t>
  </x:si>
  <x:si>
    <x:t xml:space="preserve"> Joy          </x:t>
  </x:si>
  <x:si>
    <x:t xml:space="preserve">2023-02-13 19:30:00</x:t>
  </x:si>
  <x:si>
    <x:t xml:space="preserve"> ComedyFan       </x:t>
  </x:si>
  <x:si>
    <x:t xml:space="preserve"> #Joy #ComedyShow                             </x:t>
  </x:si>
  <x:si>
    <x:t xml:space="preserve"> Sharing love and positive vibes with everyone! ❤️      </x:t>
  </x:si>
  <x:si>
    <x:t xml:space="preserve"> Love         </x:t>
  </x:si>
  <x:si>
    <x:t xml:space="preserve">2023-02-14 08:30:00</x:t>
  </x:si>
  <x:si>
    <x:t xml:space="preserve"> LoveSpreader    </x:t>
  </x:si>
  <x:si>
    <x:t xml:space="preserve"> #Love #SpreadLove                            </x:t>
  </x:si>
  <x:si>
    <x:t xml:space="preserve"> Australia  </x:t>
  </x:si>
  <x:si>
    <x:t xml:space="preserve"> An amusing incident brightened up my day!               </x:t>
  </x:si>
  <x:si>
    <x:t xml:space="preserve"> Amusement    </x:t>
  </x:si>
  <x:si>
    <x:t xml:space="preserve">2023-02-14 14:20:00</x:t>
  </x:si>
  <x:si>
    <x:t xml:space="preserve"> AmusedSoul      </x:t>
  </x:si>
  <x:si>
    <x:t xml:space="preserve"> #Amusement #FunTimes                         </x:t>
  </x:si>
  <x:si>
    <x:t xml:space="preserve"> UK           </x:t>
  </x:si>
  <x:si>
    <x:t xml:space="preserve"> Enjoying a quiet evening with a book and some tea.      </x:t>
  </x:si>
  <x:si>
    <x:t xml:space="preserve"> Enjoyment    </x:t>
  </x:si>
  <x:si>
    <x:t xml:space="preserve">2023-02-14 19:45:00</x:t>
  </x:si>
  <x:si>
    <x:t xml:space="preserve"> BookLoverAgain  </x:t>
  </x:si>
  <x:si>
    <x:t xml:space="preserve"> #Enjoyment #BookTime                         </x:t>
  </x:si>
  <x:si>
    <x:t xml:space="preserve"> Canada       </x:t>
  </x:si>
  <x:si>
    <x:t xml:space="preserve"> Admiring the beauty of nature during a peaceful hike.   </x:t>
  </x:si>
  <x:si>
    <x:t xml:space="preserve"> Admiration   </x:t>
  </x:si>
  <x:si>
    <x:t xml:space="preserve">2023-02-15 11:30:00</x:t>
  </x:si>
  <x:si>
    <x:t xml:space="preserve"> NatureAdmirer   </x:t>
  </x:si>
  <x:si>
    <x:t xml:space="preserve"> #Admiration #Nature                         </x:t>
  </x:si>
  <x:si>
    <x:t xml:space="preserve"> Sending affectionate vibes to all my followers!          </x:t>
  </x:si>
  <x:si>
    <x:t xml:space="preserve"> Affection    </x:t>
  </x:si>
  <x:si>
    <x:t xml:space="preserve">2023-02-15 16:00:00</x:t>
  </x:si>
  <x:si>
    <x:t xml:space="preserve"> AffectionSender </x:t>
  </x:si>
  <x:si>
    <x:t xml:space="preserve"> #Affection #PositiveVibes                   </x:t>
  </x:si>
  <x:si>
    <x:t xml:space="preserve"> Experiencing awe at the breathtaking sunset.            </x:t>
  </x:si>
  <x:si>
    <x:t xml:space="preserve"> Awe          </x:t>
  </x:si>
  <x:si>
    <x:t xml:space="preserve">2023-02-15 20:30:00</x:t>
  </x:si>
  <x:si>
    <x:t xml:space="preserve"> AweStruck       </x:t>
  </x:si>
  <x:si>
    <x:t xml:space="preserve"> #Awe #Breathtaking                          </x:t>
  </x:si>
  <x:si>
    <x:t xml:space="preserve"> Australia   </x:t>
  </x:si>
  <x:si>
    <x:t xml:space="preserve"> Disappointed with the service at a local restaurant.    </x:t>
  </x:si>
  <x:si>
    <x:t xml:space="preserve"> Disappointed </x:t>
  </x:si>
  <x:si>
    <x:t xml:space="preserve">2023-02-16 09:00:00</x:t>
  </x:si>
  <x:si>
    <x:t xml:space="preserve"> FoodieGoneWrong </x:t>
  </x:si>
  <x:si>
    <x:t xml:space="preserve"> #Disappointed #BadService                   </x:t>
  </x:si>
  <x:si>
    <x:t xml:space="preserve"> A surprise gift from a friend made my day!              </x:t>
  </x:si>
  <x:si>
    <x:t xml:space="preserve"> Surprise     </x:t>
  </x:si>
  <x:si>
    <x:t xml:space="preserve">2023-02-16 14:45:00</x:t>
  </x:si>
  <x:si>
    <x:t xml:space="preserve"> HappySurprise   </x:t>
  </x:si>
  <x:si>
    <x:t xml:space="preserve"> #Surprise #Gift                              </x:t>
  </x:si>
  <x:si>
    <x:t xml:space="preserve"> Finding acceptance in the midst of life's challenges.   </x:t>
  </x:si>
  <x:si>
    <x:t xml:space="preserve"> Acceptance   </x:t>
  </x:si>
  <x:si>
    <x:t xml:space="preserve">2023-02-16 18:20:00</x:t>
  </x:si>
  <x:si>
    <x:t xml:space="preserve"> AcceptanceSeeker</x:t>
  </x:si>
  <x:si>
    <x:t xml:space="preserve"> #Acceptance #Challenges                     </x:t>
  </x:si>
  <x:si>
    <x:t xml:space="preserve"> Overflowing with adoration for my adorable pet! 🐾      </x:t>
  </x:si>
  <x:si>
    <x:t xml:space="preserve"> Adoration    </x:t>
  </x:si>
  <x:si>
    <x:t xml:space="preserve">2023-02-17 10:45:00</x:t>
  </x:si>
  <x:si>
    <x:t xml:space="preserve"> PetAdorer       </x:t>
  </x:si>
  <x:si>
    <x:t xml:space="preserve"> #Adoration #PetLove                         </x:t>
  </x:si>
  <x:si>
    <x:t xml:space="preserve"> Anticipating a thrilling adventure in the coming weeks. </x:t>
  </x:si>
  <x:si>
    <x:t xml:space="preserve"> Anticipation </x:t>
  </x:si>
  <x:si>
    <x:t xml:space="preserve">2023-02-17 07:30:00</x:t>
  </x:si>
  <x:si>
    <x:t xml:space="preserve"> AdventureAwaits  </x:t>
  </x:si>
  <x:si>
    <x:t xml:space="preserve"> #Anticipation #Adventure                    </x:t>
  </x:si>
  <x:si>
    <x:t xml:space="preserve"> A bitter experience turned into a valuable lesson.      </x:t>
  </x:si>
  <x:si>
    <x:t xml:space="preserve"> Bitter       </x:t>
  </x:si>
  <x:si>
    <x:t xml:space="preserve">2023-02-17 15:00:00</x:t>
  </x:si>
  <x:si>
    <x:t xml:space="preserve"> LearnFromBitter </x:t>
  </x:si>
  <x:si>
    <x:t xml:space="preserve"> #BitterLesson #Growth                      </x:t>
  </x:si>
  <x:si>
    <x:t xml:space="preserve"> Finding calmness in the midst of a busy day.            </x:t>
  </x:si>
  <x:si>
    <x:t xml:space="preserve"> Calmness     </x:t>
  </x:si>
  <x:si>
    <x:t xml:space="preserve">2023-02-18 09:30:00</x:t>
  </x:si>
  <x:si>
    <x:t xml:space="preserve"> ZenMaster       </x:t>
  </x:si>
  <x:si>
    <x:t xml:space="preserve"> #Calmness #PeacefulMind                    </x:t>
  </x:si>
  <x:si>
    <x:t xml:space="preserve"> Confusion clouds my mind as I navigate through decisions.</x:t>
  </x:si>
  <x:si>
    <x:t xml:space="preserve"> Confusion    </x:t>
  </x:si>
  <x:si>
    <x:t xml:space="preserve">2023-02-18 14:20:00</x:t>
  </x:si>
  <x:si>
    <x:t xml:space="preserve"> ConfusedMind    </x:t>
  </x:si>
  <x:si>
    <x:t xml:space="preserve"> #Confusion #DecisionMaking                 </x:t>
  </x:si>
  <x:si>
    <x:t xml:space="preserve"> Excitement building up for the upcoming vacation!       </x:t>
  </x:si>
  <x:si>
    <x:t xml:space="preserve"> Excitement   </x:t>
  </x:si>
  <x:si>
    <x:t xml:space="preserve">2023-02-18 18:45:00</x:t>
  </x:si>
  <x:si>
    <x:t xml:space="preserve"> VacationDreamer </x:t>
  </x:si>
  <x:si>
    <x:t xml:space="preserve"> #Excitement #TravelPlans                   </x:t>
  </x:si>
  <x:si>
    <x:t xml:space="preserve"> Kindness witnessed today restored my faith in humanity. </x:t>
  </x:si>
  <x:si>
    <x:t xml:space="preserve"> Kind         </x:t>
  </x:si>
  <x:si>
    <x:t xml:space="preserve">2023-02-19 11:30:00</x:t>
  </x:si>
  <x:si>
    <x:t xml:space="preserve"> KindnessPrevails</x:t>
  </x:si>
  <x:si>
    <x:t xml:space="preserve"> #Kindness #Humanity                        </x:t>
  </x:si>
  <x:si>
    <x:t xml:space="preserve"> Pride in achieving a personal milestone.               </x:t>
  </x:si>
  <x:si>
    <x:t xml:space="preserve"> Pride        </x:t>
  </x:si>
  <x:si>
    <x:t xml:space="preserve">2023-02-19 16:00:00</x:t>
  </x:si>
  <x:si>
    <x:t xml:space="preserve"> PersonalAchiever</x:t>
  </x:si>
  <x:si>
    <x:t xml:space="preserve"> #Pride #Milestone                           </x:t>
  </x:si>
  <x:si>
    <x:t xml:space="preserve"> Australia    </x:t>
  </x:si>
  <x:si>
    <x:t xml:space="preserve"> A moment of shame for not standing up against injustice. </x:t>
  </x:si>
  <x:si>
    <x:t xml:space="preserve"> Shame        </x:t>
  </x:si>
  <x:si>
    <x:t xml:space="preserve">2023-02-19 19:45:00</x:t>
  </x:si>
  <x:si>
    <x:t xml:space="preserve"> ReflectiveSelf  </x:t>
  </x:si>
  <x:si>
    <x:t xml:space="preserve"> #Shame #Injustice                           </x:t>
  </x:si>
  <x:si>
    <x:t xml:space="preserve"> Fuming with anger after a heated argument.            </x:t>
  </x:si>
  <x:si>
    <x:t xml:space="preserve">2023-02-20 09:30:00</x:t>
  </x:si>
  <x:si>
    <x:t xml:space="preserve"> AngryDebater    </x:t>
  </x:si>
  <x:si>
    <x:t xml:space="preserve"> #Anger #Argument                             </x:t>
  </x:si>
  <x:si>
    <x:t xml:space="preserve"> The fear of the unknown is keeping me up at night.    </x:t>
  </x:si>
  <x:si>
    <x:t xml:space="preserve">2023-02-20 21:15:00</x:t>
  </x:si>
  <x:si>
    <x:t xml:space="preserve"> FearfulDreamer  </x:t>
  </x:si>
  <x:si>
    <x:t xml:space="preserve"> #Fear #Unknown                               </x:t>
  </x:si>
  <x:si>
    <x:t xml:space="preserve"> Heartfelt sadness after bidding farewell to a dear friend. </x:t>
  </x:si>
  <x:si>
    <x:t xml:space="preserve">2023-02-21 14:45:00</x:t>
  </x:si>
  <x:si>
    <x:t xml:space="preserve"> FarewellHeart   </x:t>
  </x:si>
  <x:si>
    <x:t xml:space="preserve"> #Sadness #Farewell                          </x:t>
  </x:si>
  <x:si>
    <x:t xml:space="preserve"> The state of corruption in our society is utterly disgusting. </x:t>
  </x:si>
  <x:si>
    <x:t xml:space="preserve">2023-02-21 18:20:00</x:t>
  </x:si>
  <x:si>
    <x:t xml:space="preserve"> AntiCorruption  </x:t>
  </x:si>
  <x:si>
    <x:t xml:space="preserve"> #Disgust #Corruption                         </x:t>
  </x:si>
  <x:si>
    <x:t xml:space="preserve"> Overflowing happiness: welcoming a new family member!  </x:t>
  </x:si>
  <x:si>
    <x:t xml:space="preserve">2023-02-22 10:00:00</x:t>
  </x:si>
  <x:si>
    <x:t xml:space="preserve"> NewParentJoy    </x:t>
  </x:si>
  <x:si>
    <x:t xml:space="preserve"> #Happiness #NewFamilyMember                 </x:t>
  </x:si>
  <x:si>
    <x:t xml:space="preserve"> Laughter is the key to joy—attending a stand-up comedy show. </x:t>
  </x:si>
  <x:si>
    <x:t xml:space="preserve">2023-02-22 19:30:00</x:t>
  </x:si>
  <x:si>
    <x:t xml:space="preserve"> StandUpFan      </x:t>
  </x:si>
  <x:si>
    <x:t xml:space="preserve"> #Joy #StandUpComedy                         </x:t>
  </x:si>
  <x:si>
    <x:t xml:space="preserve"> Sending love to all my followers on this beautiful day! ❤️ </x:t>
  </x:si>
  <x:si>
    <x:t xml:space="preserve">2023-02-23 08:30:00</x:t>
  </x:si>
  <x:si>
    <x:t xml:space="preserve"> LoveSender      </x:t>
  </x:si>
  <x:si>
    <x:t xml:space="preserve"> Amused by the antics of my pet—it's pure amusement!      </x:t>
  </x:si>
  <x:si>
    <x:t xml:space="preserve">2023-02-23 14:20:00</x:t>
  </x:si>
  <x:si>
    <x:t xml:space="preserve"> PetAmuser       </x:t>
  </x:si>
  <x:si>
    <x:t xml:space="preserve"> #Amusement #PetAntics                       </x:t>
  </x:si>
  <x:si>
    <x:t xml:space="preserve"> Enjoying every moment of this trip—pure enjoyment!      </x:t>
  </x:si>
  <x:si>
    <x:t xml:space="preserve">2023-02-23 19:45:00</x:t>
  </x:si>
  <x:si>
    <x:t xml:space="preserve"> TravelExplorer  </x:t>
  </x:si>
  <x:si>
    <x:t xml:space="preserve"> #Enjoyment #Travel                           </x:t>
  </x:si>
  <x:si>
    <x:t xml:space="preserve"> Admiring the dedication of volunteers at a local charity. </x:t>
  </x:si>
  <x:si>
    <x:t xml:space="preserve">2023-02-24 11:30:00</x:t>
  </x:si>
  <x:si>
    <x:t xml:space="preserve"> CharityAdmirer  </x:t>
  </x:si>
  <x:si>
    <x:t xml:space="preserve"> #Admiration #Volunteers                     </x:t>
  </x:si>
  <x:si>
    <x:t xml:space="preserve"> Sending affectionate vibes to friends and family.        </x:t>
  </x:si>
  <x:si>
    <x:t xml:space="preserve">2023-02-24 16:00:00</x:t>
  </x:si>
  <x:si>
    <x:t xml:space="preserve"> FamilyLover     </x:t>
  </x:si>
  <x:si>
    <x:t xml:space="preserve"> #Affection #FamilyLove                      </x:t>
  </x:si>
  <x:si>
    <x:t xml:space="preserve"> Awe-struck by the beauty of the night sky.               </x:t>
  </x:si>
  <x:si>
    <x:t xml:space="preserve">2023-02-24 20:30:00</x:t>
  </x:si>
  <x:si>
    <x:t xml:space="preserve"> Stargazer       </x:t>
  </x:si>
  <x:si>
    <x:t xml:space="preserve"> #Awe #StarryNight                        </x:t>
  </x:si>
  <x:si>
    <x:t xml:space="preserve"> Disappointed with the lack of progress in a personal project. </x:t>
  </x:si>
  <x:si>
    <x:t xml:space="preserve">2023-02-25 09:00:00</x:t>
  </x:si>
  <x:si>
    <x:t xml:space="preserve"> ProjectStruggle </x:t>
  </x:si>
  <x:si>
    <x:t xml:space="preserve"> #Disappointed #Project                     </x:t>
  </x:si>
  <x:si>
    <x:t xml:space="preserve"> A surprise visit from an old friend brought tears of joy. </x:t>
  </x:si>
  <x:si>
    <x:t xml:space="preserve">2023-02-25 14:45:00</x:t>
  </x:si>
  <x:si>
    <x:t xml:space="preserve"> JoyfulReunion   </x:t>
  </x:si>
  <x:si>
    <x:t xml:space="preserve"> #Surprise #OldFriends                       </x:t>
  </x:si>
  <x:si>
    <x:t xml:space="preserve"> Embracing acceptance of life's ups and downs.           </x:t>
  </x:si>
  <x:si>
    <x:t xml:space="preserve">2023-02-25 18:20:00</x:t>
  </x:si>
  <x:si>
    <x:t xml:space="preserve"> LifeAcceptance  </x:t>
  </x:si>
  <x:si>
    <x:t xml:space="preserve"> #Acceptance #LifeJourney                   </x:t>
  </x:si>
  <x:si>
    <x:t xml:space="preserve"> Overflowing adoration for a cute rescue puppy! 🐶       </x:t>
  </x:si>
  <x:si>
    <x:t xml:space="preserve">2023-02-26 10:45:00</x:t>
  </x:si>
  <x:si>
    <x:t xml:space="preserve"> PuppyAdmirer    </x:t>
  </x:si>
  <x:si>
    <x:t xml:space="preserve"> #Adoration #PuppyLove                       </x:t>
  </x:si>
  <x:si>
    <x:t xml:space="preserve"> Anticipating the release of a much-awaited movie.       </x:t>
  </x:si>
  <x:si>
    <x:t xml:space="preserve">2023-02-26 07:30:00</x:t>
  </x:si>
  <x:si>
    <x:t xml:space="preserve"> MovieBuff2      </x:t>
  </x:si>
  <x:si>
    <x:t xml:space="preserve"> #Anticipation #MovieRelease                 </x:t>
  </x:si>
  <x:si>
    <x:t xml:space="preserve"> Bitter experience at the customer service department.   </x:t>
  </x:si>
  <x:si>
    <x:t xml:space="preserve">2023-02-26 15:00:00</x:t>
  </x:si>
  <x:si>
    <x:t xml:space="preserve"> CustomerWoes    </x:t>
  </x:si>
  <x:si>
    <x:t xml:space="preserve"> #BitterExperience #CustomerService         </x:t>
  </x:si>
  <x:si>
    <x:t xml:space="preserve"> Finding calmness amidst the chaos of daily life.        </x:t>
  </x:si>
  <x:si>
    <x:t xml:space="preserve">2023-02-27 09:30:00</x:t>
  </x:si>
  <x:si>
    <x:t xml:space="preserve"> CalmSoul        </x:t>
  </x:si>
  <x:si>
    <x:t xml:space="preserve"> #Calmness #InnerPeace                      </x:t>
  </x:si>
  <x:si>
    <x:t xml:space="preserve"> Confusion reigns as I try to make sense of recent events.</x:t>
  </x:si>
  <x:si>
    <x:t xml:space="preserve">2023-02-27 14:20:00</x:t>
  </x:si>
  <x:si>
    <x:t xml:space="preserve"> ConfusedMind2   </x:t>
  </x:si>
  <x:si>
    <x:t xml:space="preserve"> #Confusion #MakingSense                    </x:t>
  </x:si>
  <x:si>
    <x:t xml:space="preserve"> Excitement building up for a surprise birthday party.   </x:t>
  </x:si>
  <x:si>
    <x:t xml:space="preserve">2023-02-27 18:45:00</x:t>
  </x:si>
  <x:si>
    <x:t xml:space="preserve"> BirthdayExcite  </x:t>
  </x:si>
  <x:si>
    <x:t xml:space="preserve"> #Excitement #SurpriseParty                 </x:t>
  </x:si>
  <x:si>
    <x:t xml:space="preserve"> Witnessed an act of kindness that made my day.          </x:t>
  </x:si>
  <x:si>
    <x:t xml:space="preserve">2023-02-28 11:30:00</x:t>
  </x:si>
  <x:si>
    <x:t xml:space="preserve"> KindnessObserver</x:t>
  </x:si>
  <x:si>
    <x:t xml:space="preserve"> #Kindness #ActsOfKindness                  </x:t>
  </x:si>
  <x:si>
    <x:t xml:space="preserve"> Pride in completing a challenging fitness challenge.    </x:t>
  </x:si>
  <x:si>
    <x:t xml:space="preserve">2023-02-28 16:00:00</x:t>
  </x:si>
  <x:si>
    <x:t xml:space="preserve"> FitAchiever     </x:t>
  </x:si>
  <x:si>
    <x:t xml:space="preserve"> #Pride #FitnessChallengeCompleted          </x:t>
  </x:si>
  <x:si>
    <x:t xml:space="preserve"> UK            </x:t>
  </x:si>
  <x:si>
    <x:t xml:space="preserve"> A moment of shame for not speaking up against injustice.</x:t>
  </x:si>
  <x:si>
    <x:t xml:space="preserve">2023-02-28 19:45:00</x:t>
  </x:si>
  <x:si>
    <x:t xml:space="preserve"> ReflectiveSelf2 </x:t>
  </x:si>
  <x:si>
    <x:t xml:space="preserve"> Reflecting on the beauty of diversity in our world.     </x:t>
  </x:si>
  <x:si>
    <x:t xml:space="preserve">2023-03-01 10:45:00</x:t>
  </x:si>
  <x:si>
    <x:t xml:space="preserve"> DiversityLover  </x:t>
  </x:si>
  <x:si>
    <x:t xml:space="preserve"> #Acceptance #Diversity                      </x:t>
  </x:si>
  <x:si>
    <x:t xml:space="preserve"> Excitement for a quiet evening with a good book.        </x:t>
  </x:si>
  <x:si>
    <x:t xml:space="preserve">2023-03-01 13:30:00</x:t>
  </x:si>
  <x:si>
    <x:t xml:space="preserve"> BookwormJoy     </x:t>
  </x:si>
  <x:si>
    <x:t xml:space="preserve"> #Excitement #BookTime                       </x:t>
  </x:si>
  <x:si>
    <x:t xml:space="preserve"> Feeling bitter about the unfairness in the workplace.   </x:t>
  </x:si>
  <x:si>
    <x:t xml:space="preserve">2023-03-01 17:45:00</x:t>
  </x:si>
  <x:si>
    <x:t xml:space="preserve"> WorkplaceWoes   </x:t>
  </x:si>
  <x:si>
    <x:t xml:space="preserve"> #Bitter #Unfairness                         </x:t>
  </x:si>
  <x:si>
    <x:t xml:space="preserve"> Calmness prevails as I practice mindfulness.            </x:t>
  </x:si>
  <x:si>
    <x:t xml:space="preserve">2023-03-02 18:00:00</x:t>
  </x:si>
  <x:si>
    <x:t xml:space="preserve"> MindfulMe       </x:t>
  </x:si>
  <x:si>
    <x:t xml:space="preserve"> #Calmness #Mindfulness                      </x:t>
  </x:si>
  <x:si>
    <x:t xml:space="preserve"> Confusion surrounds me as I navigate through life's choices. </x:t>
  </x:si>
  <x:si>
    <x:t xml:space="preserve"> Confusion </x:t>
  </x:si>
  <x:si>
    <x:t xml:space="preserve">2023-03-02 13:15:00</x:t>
  </x:si>
  <x:si>
    <x:t xml:space="preserve"> ConfusedMind3   </x:t>
  </x:si>
  <x:si>
    <x:t xml:space="preserve"> #Confusion #LifeChoices                     </x:t>
  </x:si>
  <x:si>
    <x:t xml:space="preserve"> USA   </x:t>
  </x:si>
  <x:si>
    <x:t xml:space="preserve"> Excitement for a weekend road trip to explore new places. </x:t>
  </x:si>
  <x:si>
    <x:t xml:space="preserve"> Excitement </x:t>
  </x:si>
  <x:si>
    <x:t xml:space="preserve">2023-03-02 16:45:00</x:t>
  </x:si>
  <x:si>
    <x:t xml:space="preserve"> RoadTripper2    </x:t>
  </x:si>
  <x:si>
    <x:t xml:space="preserve"> #Excitement #WeekendAdventure               </x:t>
  </x:si>
  <x:si>
    <x:t xml:space="preserve"> Kindness witnessed today restores my faith in humanity.  </x:t>
  </x:si>
  <x:si>
    <x:t xml:space="preserve">2023-03-03 11:30:00</x:t>
  </x:si>
  <x:si>
    <x:t xml:space="preserve"> KindnessPrevails2</x:t>
  </x:si>
  <x:si>
    <x:t xml:space="preserve"> #Kindness #HumanityRestored                 </x:t>
  </x:si>
  <x:si>
    <x:t xml:space="preserve"> Pride in accomplishing personal and professional goals.  </x:t>
  </x:si>
  <x:si>
    <x:t xml:space="preserve">2023-03-03 14:30:00</x:t>
  </x:si>
  <x:si>
    <x:t xml:space="preserve"> GoalAchiever    </x:t>
  </x:si>
  <x:si>
    <x:t xml:space="preserve"> #Pride #Accomplishments                     </x:t>
  </x:si>
  <x:si>
    <x:t xml:space="preserve"> Shame for not being true to my values in a difficult situation.</x:t>
  </x:si>
  <x:si>
    <x:t xml:space="preserve"> Shame </x:t>
  </x:si>
  <x:si>
    <x:t xml:space="preserve">2023-03-03 12:00:00</x:t>
  </x:si>
  <x:si>
    <x:t xml:space="preserve"> ReflectiveSelf3 </x:t>
  </x:si>
  <x:si>
    <x:t xml:space="preserve"> #Shame #Integrity                           </x:t>
  </x:si>
  <x:si>
    <x:t xml:space="preserve"> Revisiting old memories, feeling a sense of elation. </x:t>
  </x:si>
  <x:si>
    <x:t xml:space="preserve"> Elation       </x:t>
  </x:si>
  <x:si>
    <x:t xml:space="preserve">2010-05-15 15:30:00</x:t>
  </x:si>
  <x:si>
    <x:t xml:space="preserve"> NostalgiaFan    </x:t>
  </x:si>
  <x:si>
    <x:t xml:space="preserve"> #Elation #Memories                             </x:t>
  </x:si>
  <x:si>
    <x:t xml:space="preserve"> The victory of our team brought euphoria to the city. </x:t>
  </x:si>
  <x:si>
    <x:t xml:space="preserve"> Euphoria      </x:t>
  </x:si>
  <x:si>
    <x:t xml:space="preserve">2021-08-10 21:15:00</x:t>
  </x:si>
  <x:si>
    <x:t xml:space="preserve"> SportsFanatic   </x:t>
  </x:si>
  <x:si>
    <x:t xml:space="preserve"> #Euphoria #Victory                             </x:t>
  </x:si>
  <x:si>
    <x:t xml:space="preserve"> Embracing the beauty of nature, a moment of contentment. </x:t>
  </x:si>
  <x:si>
    <x:t xml:space="preserve"> Contentment   </x:t>
  </x:si>
  <x:si>
    <x:t xml:space="preserve">2011-06-20 14:45:00</x:t>
  </x:si>
  <x:si>
    <x:t xml:space="preserve"> NatureLover2    </x:t>
  </x:si>
  <x:si>
    <x:t xml:space="preserve"> #Contentment #Nature                           </x:t>
  </x:si>
  <x:si>
    <x:t xml:space="preserve"> India       </x:t>
  </x:si>
  <x:si>
    <x:t xml:space="preserve"> Meditating by the serene lake, finding inner peace.   </x:t>
  </x:si>
  <x:si>
    <x:t xml:space="preserve"> Serenity      </x:t>
  </x:si>
  <x:si>
    <x:t xml:space="preserve">2022-02-12 18:20:00</x:t>
  </x:si>
  <x:si>
    <x:t xml:space="preserve"> ZenMaster2      </x:t>
  </x:si>
  <x:si>
    <x:t xml:space="preserve"> #Serenity #Meditation                          </x:t>
  </x:si>
  <x:si>
    <x:t xml:space="preserve"> UK          </x:t>
  </x:si>
  <x:si>
    <x:t xml:space="preserve"> Overflowing with gratitude for life's blessings.      </x:t>
  </x:si>
  <x:si>
    <x:t xml:space="preserve"> Gratitude     </x:t>
  </x:si>
  <x:si>
    <x:t xml:space="preserve">2012-11-25 10:00:00</x:t>
  </x:si>
  <x:si>
    <x:t xml:space="preserve"> ThankfulHeart   </x:t>
  </x:si>
  <x:si>
    <x:t xml:space="preserve"> #Gratitude #Blessed                            </x:t>
  </x:si>
  <x:si>
    <x:t xml:space="preserve"> Hopeful for a brighter tomorrow, despite challenges.  </x:t>
  </x:si>
  <x:si>
    <x:t xml:space="preserve"> Hope          </x:t>
  </x:si>
  <x:si>
    <x:t xml:space="preserve">2013-04-05 19:30:00</x:t>
  </x:si>
  <x:si>
    <x:t xml:space="preserve"> OptimisticSoul  </x:t>
  </x:si>
  <x:si>
    <x:t xml:space="preserve"> #Hope #Optimism                                </x:t>
  </x:si>
  <x:si>
    <x:t xml:space="preserve"> Empowered to make a difference in my community.        </x:t>
  </x:si>
  <x:si>
    <x:t xml:space="preserve"> Empowerment   </x:t>
  </x:si>
  <x:si>
    <x:t xml:space="preserve">2014-09-14 08:30:00</x:t>
  </x:si>
  <x:si>
    <x:t xml:space="preserve"> CommunityLeader </x:t>
  </x:si>
  <x:si>
    <x:t xml:space="preserve"> #Empowerment #Community                        </x:t>
  </x:si>
  <x:si>
    <x:t xml:space="preserve"> Compassion in action: supporting a local charity event. </x:t>
  </x:si>
  <x:si>
    <x:t xml:space="preserve"> Compassion    </x:t>
  </x:si>
  <x:si>
    <x:t xml:space="preserve">2015-07-18 14:20:00</x:t>
  </x:si>
  <x:si>
    <x:t xml:space="preserve"> CharitySupporter</x:t>
  </x:si>
  <x:si>
    <x:t xml:space="preserve"> #Compassion #CharityEvent                   </x:t>
  </x:si>
  <x:si>
    <x:t xml:space="preserve"> A moment of tenderness, connecting with loved ones.    </x:t>
  </x:si>
  <x:si>
    <x:t xml:space="preserve"> Tenderness    </x:t>
  </x:si>
  <x:si>
    <x:t xml:space="preserve">2016-02-23 19:45:00</x:t>
  </x:si>
  <x:si>
    <x:t xml:space="preserve"> LovingHeart     </x:t>
  </x:si>
  <x:si>
    <x:t xml:space="preserve"> #Tenderness #FamilyTime                       </x:t>
  </x:si>
  <x:si>
    <x:t xml:space="preserve"> Arousal of excitement as I await a special announcement.</x:t>
  </x:si>
  <x:si>
    <x:t xml:space="preserve"> Arousal       </x:t>
  </x:si>
  <x:si>
    <x:t xml:space="preserve">2017-10-30 11:30:00</x:t>
  </x:si>
  <x:si>
    <x:t xml:space="preserve"> ExcitementFan   </x:t>
  </x:si>
  <x:si>
    <x:t xml:space="preserve"> #Arousal #Excitement                           </x:t>
  </x:si>
  <x:si>
    <x:t xml:space="preserve"> Enthusiastically diving into a new project.            </x:t>
  </x:si>
  <x:si>
    <x:t xml:space="preserve"> Enthusiasm    </x:t>
  </x:si>
  <x:si>
    <x:t xml:space="preserve">2018-06-15 16:00:00</x:t>
  </x:si>
  <x:si>
    <x:t xml:space="preserve"> ProjectEnthusiast</x:t>
  </x:si>
  <x:si>
    <x:t xml:space="preserve"> #Enthusiasm #NewProject                       </x:t>
  </x:si>
  <x:si>
    <x:t xml:space="preserve"> USA  </x:t>
  </x:si>
  <x:si>
    <x:t xml:space="preserve"> Feeling a sense of fulfillment after reaching a milestone.</x:t>
  </x:si>
  <x:si>
    <x:t xml:space="preserve"> Fulfillment  </x:t>
  </x:si>
  <x:si>
    <x:t xml:space="preserve">2019-03-28 18:20:00</x:t>
  </x:si>
  <x:si>
    <x:t xml:space="preserve"> MilestoneAchiever</x:t>
  </x:si>
  <x:si>
    <x:t xml:space="preserve"> #Fulfillment #Milestone                       </x:t>
  </x:si>
  <x:si>
    <x:t xml:space="preserve"> Reverence for the beauty of a historic landmark.       </x:t>
  </x:si>
  <x:si>
    <x:t xml:space="preserve"> Reverence     </x:t>
  </x:si>
  <x:si>
    <x:t xml:space="preserve">2019-11-11 15:00:00</x:t>
  </x:si>
  <x:si>
    <x:t xml:space="preserve"> HistoryLover    </x:t>
  </x:si>
  <x:si>
    <x:t xml:space="preserve"> #Reverence #History                           </x:t>
  </x:si>
  <x:si>
    <x:t xml:space="preserve"> UK      </x:t>
  </x:si>
  <x:si>
    <x:t xml:space="preserve"> Elation after a surprise reunion with old friends.    </x:t>
  </x:si>
  <x:si>
    <x:t xml:space="preserve">2020-04-02 09:30:00</x:t>
  </x:si>
  <x:si>
    <x:t xml:space="preserve"> JoyfulReunion2  </x:t>
  </x:si>
  <x:si>
    <x:t xml:space="preserve"> #Elation #OldFriends                          </x:t>
  </x:si>
  <x:si>
    <x:t xml:space="preserve"> Canada      </x:t>
  </x:si>
  <x:si>
    <x:t xml:space="preserve"> The euphoria of a live music concert under the stars.  </x:t>
  </x:si>
  <x:si>
    <x:t xml:space="preserve">2021-06-19 14:45:00</x:t>
  </x:si>
  <x:si>
    <x:t xml:space="preserve"> MusicEnthusiast </x:t>
  </x:si>
  <x:si>
    <x:t xml:space="preserve"> #Euphoria #LiveMusic                          </x:t>
  </x:si>
  <x:si>
    <x:t xml:space="preserve"> Contentment in the simplicity of a quiet Sunday.       </x:t>
  </x:si>
  <x:si>
    <x:t xml:space="preserve">2010-08-15 10:00:00</x:t>
  </x:si>
  <x:si>
    <x:t xml:space="preserve"> SimpleJoys      </x:t>
  </x:si>
  <x:si>
    <x:t xml:space="preserve"> #Contentment #SundayMood                      </x:t>
  </x:si>
  <x:si>
    <x:t xml:space="preserve"> Serenity found in the pages of a favorite book.        </x:t>
  </x:si>
  <x:si>
    <x:t xml:space="preserve">2011-09-22 19:30:00</x:t>
  </x:si>
  <x:si>
    <x:t xml:space="preserve"> BookLover3      </x:t>
  </x:si>
  <x:si>
    <x:t xml:space="preserve"> #Serenity #BookTime                           </x:t>
  </x:si>
  <x:si>
    <x:t xml:space="preserve"> Gratitude for the support received during tough times. </x:t>
  </x:si>
  <x:si>
    <x:t xml:space="preserve">2012-03-10 08:30:00</x:t>
  </x:si>
  <x:si>
    <x:t xml:space="preserve"> SupportiveFriend</x:t>
  </x:si>
  <x:si>
    <x:t xml:space="preserve"> #Gratitude #Supportive                        </x:t>
  </x:si>
  <x:si>
    <x:t xml:space="preserve"> Hopeful about the possibilities of a new journey.      </x:t>
  </x:si>
  <x:si>
    <x:t xml:space="preserve">2013-12-05 16:00:00</x:t>
  </x:si>
  <x:si>
    <x:t xml:space="preserve"> JourneyOptimist </x:t>
  </x:si>
  <x:si>
    <x:t xml:space="preserve"> #Hope #NewBeginnings                          </x:t>
  </x:si>
  <x:si>
    <x:t xml:space="preserve"> Empowerment through learning and personal growth.      </x:t>
  </x:si>
  <x:si>
    <x:t xml:space="preserve">2014-07-20 11:30:00</x:t>
  </x:si>
  <x:si>
    <x:t xml:space="preserve"> GrowthSeeker    </x:t>
  </x:si>
  <x:si>
    <x:t xml:space="preserve"> #Empowerment #PersonalGrowth                  </x:t>
  </x:si>
  <x:si>
    <x:t xml:space="preserve"> Compassion towards those in need during the holidays.  </x:t>
  </x:si>
  <x:si>
    <x:t xml:space="preserve">2015-12-22 14:20:00</x:t>
  </x:si>
  <x:si>
    <x:t xml:space="preserve"> HolidayHelper   </x:t>
  </x:si>
  <x:si>
    <x:t xml:space="preserve"> #Compassion #HolidaySupport                   </x:t>
  </x:si>
  <x:si>
    <x:t xml:space="preserve"> Tenderness in the warmth of a cozy winter evening.     </x:t>
  </x:si>
  <x:si>
    <x:t xml:space="preserve">2016-02-10 19:45:00</x:t>
  </x:si>
  <x:si>
    <x:t xml:space="preserve"> WinterWarmth    </x:t>
  </x:si>
  <x:si>
    <x:t xml:space="preserve"> #Tenderness #CozyEvening                     </x:t>
  </x:si>
  <x:si>
    <x:t xml:space="preserve"> Arousal of excitement for an upcoming adventure.       </x:t>
  </x:si>
  <x:si>
    <x:t xml:space="preserve">2017-04-30 11:30:00</x:t>
  </x:si>
  <x:si>
    <x:t xml:space="preserve"> AdventureAwaits </x:t>
  </x:si>
  <x:si>
    <x:t xml:space="preserve"> #Arousal #AdventureTime                       </x:t>
  </x:si>
  <x:si>
    <x:t xml:space="preserve"> Enthusiasm for a creative project in the making.       </x:t>
  </x:si>
  <x:si>
    <x:t xml:space="preserve">2018-09-15 16:00:00</x:t>
  </x:si>
  <x:si>
    <x:t xml:space="preserve"> CreativeSpirit  </x:t>
  </x:si>
  <x:si>
    <x:t xml:space="preserve"> #Enthusiasm #Creativity                       </x:t>
  </x:si>
  <x:si>
    <x:t xml:space="preserve"> Fulfillment in completing a challenging workout routine.</x:t>
  </x:si>
  <x:si>
    <x:t xml:space="preserve">2019-06-28 18:20:00</x:t>
  </x:si>
  <x:si>
    <x:t xml:space="preserve"> FitnessAchiever </x:t>
  </x:si>
  <x:si>
    <x:t xml:space="preserve"> #Fulfillment #FitnessGoals                   </x:t>
  </x:si>
  <x:si>
    <x:t xml:space="preserve"> Reverence for the artistry displayed in a museum.      </x:t>
  </x:si>
  <x:si>
    <x:t xml:space="preserve">2020-11-11 15:00:00</x:t>
  </x:si>
  <x:si>
    <x:t xml:space="preserve"> ArtAppreciator  </x:t>
  </x:si>
  <x:si>
    <x:t xml:space="preserve"> #Reverence #ArtAppreciation                  </x:t>
  </x:si>
  <x:si>
    <x:t xml:space="preserve"> Elation after achieving a personal goal.               </x:t>
  </x:si>
  <x:si>
    <x:t xml:space="preserve">2021-03-02 09:30:00</x:t>
  </x:si>
  <x:si>
    <x:t xml:space="preserve"> GoalAchiever2   </x:t>
  </x:si>
  <x:si>
    <x:t xml:space="preserve"> #Elation #PersonalAchievement                </x:t>
  </x:si>
  <x:si>
    <x:t xml:space="preserve"> Elation over discovering a hidden gem in the city.   </x:t>
  </x:si>
  <x:si>
    <x:t xml:space="preserve">2012-02-18 14:30:00</x:t>
  </x:si>
  <x:si>
    <x:t xml:space="preserve"> UrbanExplorer2  </x:t>
  </x:si>
  <x:si>
    <x:t xml:space="preserve"> #Elation #HiddenGem                            </x:t>
  </x:si>
  <x:si>
    <x:t xml:space="preserve"> The euphoria of a surprise birthday celebration.     </x:t>
  </x:si>
  <x:si>
    <x:t xml:space="preserve">2018-11-05 21:45:00</x:t>
  </x:si>
  <x:si>
    <x:t xml:space="preserve"> BirthdayJoy     </x:t>
  </x:si>
  <x:si>
    <x:t xml:space="preserve"> #Euphoria #BirthdaySurprise                   </x:t>
  </x:si>
  <x:si>
    <x:t xml:space="preserve"> Contentment in the simplicity of a home-cooked meal. </x:t>
  </x:si>
  <x:si>
    <x:t xml:space="preserve">2015-09-12 13:20:00</x:t>
  </x:si>
  <x:si>
    <x:t xml:space="preserve"> HomeChef        </x:t>
  </x:si>
  <x:si>
    <x:t xml:space="preserve"> #Contentment #HomeCooking                     </x:t>
  </x:si>
  <x:si>
    <x:t xml:space="preserve"> Serenity found in the melody of a peaceful piano.    </x:t>
  </x:si>
  <x:si>
    <x:t xml:space="preserve">2016-07-30 18:10:00</x:t>
  </x:si>
  <x:si>
    <x:t xml:space="preserve"> MusicLover4     </x:t>
  </x:si>
  <x:si>
    <x:t xml:space="preserve"> #Serenity #PeacefulMelody                    </x:t>
  </x:si>
  <x:si>
    <x:t xml:space="preserve"> Gratitude for the supportive community around me.    </x:t>
  </x:si>
  <x:si>
    <x:t xml:space="preserve">2013-04-20 10:30:00</x:t>
  </x:si>
  <x:si>
    <x:t xml:space="preserve"> CommunityLove   </x:t>
  </x:si>
  <x:si>
    <x:t xml:space="preserve"> #Gratitude #CommunitySupport                   </x:t>
  </x:si>
  <x:si>
    <x:t xml:space="preserve"> Hopeful about the prospects of a new business venture.</x:t>
  </x:si>
  <x:si>
    <x:t xml:space="preserve">2017-12-08 19:15:00</x:t>
  </x:si>
  <x:si>
    <x:t xml:space="preserve"> EntrepreneurHope</x:t>
  </x:si>
  <x:si>
    <x:t xml:space="preserve"> #Hope #BusinessVenture                        </x:t>
  </x:si>
  <x:si>
    <x:t xml:space="preserve"> Empowerment through mentoring and guiding others.    </x:t>
  </x:si>
  <x:si>
    <x:t xml:space="preserve">2014-06-03 08:20:00</x:t>
  </x:si>
  <x:si>
    <x:t xml:space="preserve"> MentorEmpower   </x:t>
  </x:si>
  <x:si>
    <x:t xml:space="preserve"> #Empowerment #Mentorship                      </x:t>
  </x:si>
  <x:si>
    <x:t xml:space="preserve"> Compassion shown through acts of kindness in the community.</x:t>
  </x:si>
  <x:si>
    <x:t xml:space="preserve"> Compassion</x:t>
  </x:si>
  <x:si>
    <x:t xml:space="preserve">2019-01-15 14:50:00</x:t>
  </x:si>
  <x:si>
    <x:t xml:space="preserve"> KindnessInAction</x:t>
  </x:si>
  <x:si>
    <x:t xml:space="preserve"> #Compassion #CommunityKindness               </x:t>
  </x:si>
  <x:si>
    <x:t xml:space="preserve"> Tenderness in a heartfelt message to a loved one.    </x:t>
  </x:si>
  <x:si>
    <x:t xml:space="preserve">2016-12-25 19:30:00</x:t>
  </x:si>
  <x:si>
    <x:t xml:space="preserve"> LoveExpress     </x:t>
  </x:si>
  <x:si>
    <x:t xml:space="preserve"> #Tenderness #LoveNote                         </x:t>
  </x:si>
  <x:si>
    <x:t xml:space="preserve"> Arousal of excitement before a much-awaited trip.    </x:t>
  </x:si>
  <x:si>
    <x:t xml:space="preserve">2018-03-10 09:45:00</x:t>
  </x:si>
  <x:si>
    <x:t xml:space="preserve"> TravelExcitement</x:t>
  </x:si>
  <x:si>
    <x:t xml:space="preserve"> #Arousal #TravelAdventure                     </x:t>
  </x:si>
  <x:si>
    <x:t xml:space="preserve"> Enthusiasm for a new artistic project in the works.  </x:t>
  </x:si>
  <x:si>
    <x:t xml:space="preserve">2020-09-17 16:30:00</x:t>
  </x:si>
  <x:si>
    <x:t xml:space="preserve"> ArtisticSpirit  </x:t>
  </x:si>
  <x:si>
    <x:t xml:space="preserve"> #Enthusiasm #ArtisticProject                 </x:t>
  </x:si>
  <x:si>
    <x:t xml:space="preserve"> Feeling a sense of fulfillment after helping others. </x:t>
  </x:si>
  <x:si>
    <x:t xml:space="preserve"> Fulfillment   </x:t>
  </x:si>
  <x:si>
    <x:t xml:space="preserve">2011-08-28 18:45:00</x:t>
  </x:si>
  <x:si>
    <x:t xml:space="preserve"> HelperHeart     </x:t>
  </x:si>
  <x:si>
    <x:t xml:space="preserve"> #Fulfillment #HelpingOthers                  </x:t>
  </x:si>
  <x:si>
    <x:t xml:space="preserve"> Reverence for the historical significance of a landmark.</x:t>
  </x:si>
  <x:si>
    <x:t xml:space="preserve"> Reverence </x:t>
  </x:si>
  <x:si>
    <x:t xml:space="preserve">2017-11-01 15:30:00</x:t>
  </x:si>
  <x:si>
    <x:t xml:space="preserve"> HistoryBuff     </x:t>
  </x:si>
  <x:si>
    <x:t xml:space="preserve"> #Reverence #HistoricalSite                   </x:t>
  </x:si>
  <x:si>
    <x:t xml:space="preserve"> Elation after achieving a fitness milestone.         </x:t>
  </x:si>
  <x:si>
    <x:t xml:space="preserve">2019-06-15 10:00:00</x:t>
  </x:si>
  <x:si>
    <x:t xml:space="preserve"> FitnessAchiever2</x:t>
  </x:si>
  <x:si>
    <x:t xml:space="preserve"> #Elation #FitnessMilestone                   </x:t>
  </x:si>
  <x:si>
    <x:t xml:space="preserve"> The euphoria of a successful product launch.         </x:t>
  </x:si>
  <x:si>
    <x:t xml:space="preserve">2022-04-03 11:45:00</x:t>
  </x:si>
  <x:si>
    <x:t xml:space="preserve"> ProductLaunchJoy</x:t>
  </x:si>
  <x:si>
    <x:t xml:space="preserve"> #Euphoria #ProductLaunchSuccess              </x:t>
  </x:si>
  <x:si>
    <x:t xml:space="preserve"> Contentment in the embrace of a loved one.           </x:t>
  </x:si>
  <x:si>
    <x:t xml:space="preserve">2010-11-12 20:20:00</x:t>
  </x:si>
  <x:si>
    <x:t xml:space="preserve"> LovingEmbrace   </x:t>
  </x:si>
  <x:si>
    <x:t xml:space="preserve"> #Contentment #Love                             </x:t>
  </x:si>
  <x:si>
    <x:t xml:space="preserve"> Serenity found in the beauty of a sunset by the sea.  </x:t>
  </x:si>
  <x:si>
    <x:t xml:space="preserve">2011-07-22 18:30:00</x:t>
  </x:si>
  <x:si>
    <x:t xml:space="preserve"> SunsetWatcher2  </x:t>
  </x:si>
  <x:si>
    <x:t xml:space="preserve"> #Serenity #SunsetViews                       </x:t>
  </x:si>
  <x:si>
    <x:t xml:space="preserve"> Gratitude for the small joys that each day brings.   </x:t>
  </x:si>
  <x:si>
    <x:t xml:space="preserve">2012-03-30 11:20:00</x:t>
  </x:si>
  <x:si>
    <x:t xml:space="preserve"> JoyfulHeart2    </x:t>
  </x:si>
  <x:si>
    <x:t xml:space="preserve"> #Gratitude #SmallJoys                        </x:t>
  </x:si>
  <x:si>
    <x:t xml:space="preserve"> Hopeful about the potential for personal growth.      </x:t>
  </x:si>
  <x:si>
    <x:t xml:space="preserve">2013-10-05 16:40:00</x:t>
  </x:si>
  <x:si>
    <x:t xml:space="preserve"> GrowthOptimist  </x:t>
  </x:si>
  <x:si>
    <x:t xml:space="preserve"> #Hope #PersonalDevelopment                    </x:t>
  </x:si>
  <x:si>
    <x:t xml:space="preserve"> Empowerment through learning a new skill.            </x:t>
  </x:si>
  <x:si>
    <x:t xml:space="preserve">2014-07-10 13:15:00</x:t>
  </x:si>
  <x:si>
    <x:t xml:space="preserve"> SkillEmpower    </x:t>
  </x:si>
  <x:si>
    <x:t xml:space="preserve"> #Empowerment #SkillBuilding                   </x:t>
  </x:si>
  <x:si>
    <x:t xml:space="preserve"> India   </x:t>
  </x:si>
  <x:si>
    <x:t xml:space="preserve"> Compassion in volunteering for a local charity.       </x:t>
  </x:si>
  <x:si>
    <x:t xml:space="preserve">2015-12-18 14:20:00</x:t>
  </x:si>
  <x:si>
    <x:t xml:space="preserve"> CharityVolunteer</x:t>
  </x:si>
  <x:si>
    <x:t xml:space="preserve"> #Compassion #VolunteerWork                   </x:t>
  </x:si>
  <x:si>
    <x:t xml:space="preserve"> Tenderness in a quiet moment shared with a pet.      </x:t>
  </x:si>
  <x:si>
    <x:t xml:space="preserve"> PetLove         </x:t>
  </x:si>
  <x:si>
    <x:t xml:space="preserve"> #Tenderness #PetLove                          </x:t>
  </x:si>
  <x:si>
    <x:t xml:space="preserve"> Arousal of excitement for an upcoming festival.       </x:t>
  </x:si>
  <x:si>
    <x:t xml:space="preserve">2017-09-25 11:30:00</x:t>
  </x:si>
  <x:si>
    <x:t xml:space="preserve"> FestivalFan     </x:t>
  </x:si>
  <x:si>
    <x:t xml:space="preserve"> #Arousal #FestivalExcitement               </x:t>
  </x:si>
  <x:si>
    <x:t xml:space="preserve"> Enthusiasm for a DIY home improvement project.       </x:t>
  </x:si>
  <x:si>
    <x:t xml:space="preserve">2018-04-15 16:00:00</x:t>
  </x:si>
  <x:si>
    <x:t xml:space="preserve"> DIYEnthusiast   </x:t>
  </x:si>
  <x:si>
    <x:t xml:space="preserve"> #Enthusiasm #HomeImprovement                 </x:t>
  </x:si>
  <x:si>
    <x:t xml:space="preserve"> Fulfillment in completing a challenging puzzle.      </x:t>
  </x:si>
  <x:si>
    <x:t xml:space="preserve">2019-11-28 18:20:00</x:t>
  </x:si>
  <x:si>
    <x:t xml:space="preserve"> PuzzleMaster    </x:t>
  </x:si>
  <x:si>
    <x:t xml:space="preserve"> #Fulfillment #PuzzleChallenge                </x:t>
  </x:si>
  <x:si>
    <x:t xml:space="preserve"> Reverence for the wonders of nature on a hiking trail.</x:t>
  </x:si>
  <x:si>
    <x:t xml:space="preserve">2020-05-11 15:00:00</x:t>
  </x:si>
  <x:si>
    <x:t xml:space="preserve"> #Reverence #NatureExploration                </x:t>
  </x:si>
  <x:si>
    <x:t xml:space="preserve"> Elation after a surprise reunion with a childhood friend.</x:t>
  </x:si>
  <x:si>
    <x:t xml:space="preserve"> Elation   </x:t>
  </x:si>
  <x:si>
    <x:t xml:space="preserve">2021-02-05 09:30:00</x:t>
  </x:si>
  <x:si>
    <x:t xml:space="preserve"> ChildhoodJoy    </x:t>
  </x:si>
  <x:si>
    <x:t xml:space="preserve"> #Elation #FriendshipReunion                  </x:t>
  </x:si>
  <x:si>
    <x:t xml:space="preserve"> Suffering from despair after another setback.      </x:t>
  </x:si>
  <x:si>
    <x:t xml:space="preserve"> Despair         </x:t>
  </x:si>
  <x:si>
    <x:t xml:space="preserve">2021-03-10 08:30:00</x:t>
  </x:si>
  <x:si>
    <x:t xml:space="preserve"> StrugglingSoul    </x:t>
  </x:si>
  <x:si>
    <x:t xml:space="preserve"> #Despair #Struggle                              </x:t>
  </x:si>
  <x:si>
    <x:t xml:space="preserve"> Overwhelmed by grief, missing a loved one dearly.  </x:t>
  </x:si>
  <x:si>
    <x:t xml:space="preserve"> Grief           </x:t>
  </x:si>
  <x:si>
    <x:t xml:space="preserve">2022-07-05 15:45:00</x:t>
  </x:si>
  <x:si>
    <x:t xml:space="preserve"> MourningHeart     </x:t>
  </x:si>
  <x:si>
    <x:t xml:space="preserve"> #Grief #Loss                                   </x:t>
  </x:si>
  <x:si>
    <x:t xml:space="preserve"> Canada          </x:t>
  </x:si>
  <x:si>
    <x:t xml:space="preserve"> Loneliness creeps in as the night grows colder.    </x:t>
  </x:si>
  <x:si>
    <x:t xml:space="preserve"> Loneliness      </x:t>
  </x:si>
  <x:si>
    <x:t xml:space="preserve">2019-11-18 21:20:00</x:t>
  </x:si>
  <x:si>
    <x:t xml:space="preserve"> SolitarySoul      </x:t>
  </x:si>
  <x:si>
    <x:t xml:space="preserve"> #Loneliness #Isolation                         </x:t>
  </x:si>
  <x:si>
    <x:t xml:space="preserve"> Jealousy consumes me as I witness others' success. </x:t>
  </x:si>
  <x:si>
    <x:t xml:space="preserve"> Jealousy        </x:t>
  </x:si>
  <x:si>
    <x:t xml:space="preserve">2020-08-12 11:30:00</x:t>
  </x:si>
  <x:si>
    <x:t xml:space="preserve"> EnviousObserver   </x:t>
  </x:si>
  <x:si>
    <x:t xml:space="preserve"> #Jealousy #Envy                               </x:t>
  </x:si>
  <x:si>
    <x:t xml:space="preserve"> India        </x:t>
  </x:si>
  <x:si>
    <x:t xml:space="preserve"> Resentment building up over past betrayals.        </x:t>
  </x:si>
  <x:si>
    <x:t xml:space="preserve"> Resentment      </x:t>
  </x:si>
  <x:si>
    <x:t xml:space="preserve">2018-05-22 14:45:00</x:t>
  </x:si>
  <x:si>
    <x:t xml:space="preserve"> BitterHeart       </x:t>
  </x:si>
  <x:si>
    <x:t xml:space="preserve"> #Resentment #Bitterness                       </x:t>
  </x:si>
  <x:si>
    <x:t xml:space="preserve"> Australia     </x:t>
  </x:si>
  <x:si>
    <x:t xml:space="preserve"> Frustration mounts as obstacles block my path.     </x:t>
  </x:si>
  <x:si>
    <x:t xml:space="preserve"> Frustration     </x:t>
  </x:si>
  <x:si>
    <x:t xml:space="preserve">2017-01-30 16:10:00</x:t>
  </x:si>
  <x:si>
    <x:t xml:space="preserve"> BlockedGoals      </x:t>
  </x:si>
  <x:si>
    <x:t xml:space="preserve"> #Frustration #Obstacles                       </x:t>
  </x:si>
  <x:si>
    <x:t xml:space="preserve"> Boredom sets in, the day feels endlessly dull.     </x:t>
  </x:si>
  <x:si>
    <x:t xml:space="preserve"> Boredom         </x:t>
  </x:si>
  <x:si>
    <x:t xml:space="preserve">2016-09-28 19:45:00</x:t>
  </x:si>
  <x:si>
    <x:t xml:space="preserve"> BoredMind         </x:t>
  </x:si>
  <x:si>
    <x:t xml:space="preserve"> #Boredom #LackOfInterest                     </x:t>
  </x:si>
  <x:si>
    <x:t xml:space="preserve"> Canada        </x:t>
  </x:si>
  <x:si>
    <x:t xml:space="preserve"> Anxiety grips my heart, worry clouds my thoughts.  </x:t>
  </x:si>
  <x:si>
    <x:t xml:space="preserve"> Anxiety         </x:t>
  </x:si>
  <x:si>
    <x:t xml:space="preserve">2019-04-15 09:00:00</x:t>
  </x:si>
  <x:si>
    <x:t xml:space="preserve"> WorriedMind       </x:t>
  </x:si>
  <x:si>
    <x:t xml:space="preserve"> #Anxiety #Worry                               </x:t>
  </x:si>
  <x:si>
    <x:t xml:space="preserve"> Intimidation by the unknown future ahead.          </x:t>
  </x:si>
  <x:si>
    <x:t xml:space="preserve"> Intimidation    </x:t>
  </x:si>
  <x:si>
    <x:t xml:space="preserve">2021-12-03 18:30:00</x:t>
  </x:si>
  <x:si>
    <x:t xml:space="preserve"> FearfulSoul       </x:t>
  </x:si>
  <x:si>
    <x:t xml:space="preserve"> #Intimidation #Fear                           </x:t>
  </x:si>
  <x:si>
    <x:t xml:space="preserve"> Helplessness sinks in as challenges pile up.       </x:t>
  </x:si>
  <x:si>
    <x:t xml:space="preserve"> Helplessness    </x:t>
  </x:si>
  <x:si>
    <x:t xml:space="preserve">2020-06-20 14:20:00</x:t>
  </x:si>
  <x:si>
    <x:t xml:space="preserve"> OverwhelmedHeart  </x:t>
  </x:si>
  <x:si>
    <x:t xml:space="preserve"> #Helplessness #Overwhelmed                    </x:t>
  </x:si>
  <x:si>
    <x:t xml:space="preserve"> Envy eats away at me as I see others' prosperity.  </x:t>
  </x:si>
  <x:si>
    <x:t xml:space="preserve"> Envy            </x:t>
  </x:si>
  <x:si>
    <x:t xml:space="preserve">2018-11-07 11:30:00</x:t>
  </x:si>
  <x:si>
    <x:t xml:space="preserve"> CovetousMind     </x:t>
  </x:si>
  <x:si>
    <x:t xml:space="preserve"> #Envy #Desire                                </x:t>
  </x:si>
  <x:si>
    <x:t xml:space="preserve"> Regret over missed opportunities haunts my thoughts.</x:t>
  </x:si>
  <x:si>
    <x:t xml:space="preserve"> Regret         </x:t>
  </x:si>
  <x:si>
    <x:t xml:space="preserve">2017-08-25 16:00:00</x:t>
  </x:si>
  <x:si>
    <x:t xml:space="preserve"> RemorsefulSoul   </x:t>
  </x:si>
  <x:si>
    <x:t xml:space="preserve"> #Regret #MissedChances                       </x:t>
  </x:si>
  <x:si>
    <x:t xml:space="preserve"> Disgust at the sight of injustice and cruelty.     </x:t>
  </x:si>
  <x:si>
    <x:t xml:space="preserve"> Disgust         </x:t>
  </x:si>
  <x:si>
    <x:t xml:space="preserve">2019-02-11 09:45:00</x:t>
  </x:si>
  <x:si>
    <x:t xml:space="preserve"> DisgustedHeart   </x:t>
  </x:si>
  <x:si>
    <x:t xml:space="preserve"> #Disgust #Injustice                          </x:t>
  </x:si>
  <x:si>
    <x:t xml:space="preserve"> Drowning in despair, hope slipping through my fingers.</x:t>
  </x:si>
  <x:si>
    <x:t xml:space="preserve"> Despair      </x:t>
  </x:si>
  <x:si>
    <x:t xml:space="preserve">2016-04-02 20:20:00</x:t>
  </x:si>
  <x:si>
    <x:t xml:space="preserve"> HopelessHeart    </x:t>
  </x:si>
  <x:si>
    <x:t xml:space="preserve"> #Despair #Hopeless                           </x:t>
  </x:si>
  <x:si>
    <x:t xml:space="preserve"> Grief weighs heavy, tears a constant companion.    </x:t>
  </x:si>
  <x:si>
    <x:t xml:space="preserve">2015-10-18 15:30:00</x:t>
  </x:si>
  <x:si>
    <x:t xml:space="preserve"> TearfulSoul      </x:t>
  </x:si>
  <x:si>
    <x:t xml:space="preserve"> #Grief #Tears                                </x:t>
  </x:si>
  <x:si>
    <x:t xml:space="preserve"> Loneliness in a crowded room, a silent cry for connection.</x:t>
  </x:si>
  <x:si>
    <x:t xml:space="preserve"> Loneliness </x:t>
  </x:si>
  <x:si>
    <x:t xml:space="preserve">2019-07-12 18:10:00</x:t>
  </x:si>
  <x:si>
    <x:t xml:space="preserve"> IsolatedMind     </x:t>
  </x:si>
  <x:si>
    <x:t xml:space="preserve"> #Loneliness #SeekingConnection              </x:t>
  </x:si>
  <x:si>
    <x:t xml:space="preserve"> Jealousy gnaws at my confidence, a toxic emotion.  </x:t>
  </x:si>
  <x:si>
    <x:t xml:space="preserve">2018-06-03 16:30:00</x:t>
  </x:si>
  <x:si>
    <x:t xml:space="preserve"> SelfDoubt        </x:t>
  </x:si>
  <x:si>
    <x:t xml:space="preserve"> #Jealousy #Insecurity                       </x:t>
  </x:si>
  <x:si>
    <x:t xml:space="preserve"> India         </x:t>
  </x:si>
  <x:si>
    <x:t xml:space="preserve"> Resentment festers, poisoning relationships.       </x:t>
  </x:si>
  <x:si>
    <x:t xml:space="preserve">2022-01-15 12:00:00</x:t>
  </x:si>
  <x:si>
    <x:t xml:space="preserve"> BrokenTrust      </x:t>
  </x:si>
  <x:si>
    <x:t xml:space="preserve"> #Resentment #BrokenTrust                     </x:t>
  </x:si>
  <x:si>
    <x:t xml:space="preserve"> Frustration boils over, a volcanic eruption of emotions.</x:t>
  </x:si>
  <x:si>
    <x:t xml:space="preserve"> Frustration </x:t>
  </x:si>
  <x:si>
    <x:t xml:space="preserve">2017-04-10 14:45:00</x:t>
  </x:si>
  <x:si>
    <x:t xml:space="preserve"> ExplosiveMind    </x:t>
  </x:si>
  <x:si>
    <x:t xml:space="preserve"> #Frustration #EmotionalOutburst             </x:t>
  </x:si>
  <x:si>
    <x:t xml:space="preserve"> Boredom settles like dust, life feels mundane.     </x:t>
  </x:si>
  <x:si>
    <x:t xml:space="preserve">2016-11-28 19:00:00</x:t>
  </x:si>
  <x:si>
    <x:t xml:space="preserve"> MundaneHeart     </x:t>
  </x:si>
  <x:si>
    <x:t xml:space="preserve"> #Boredom #Monotony                          </x:t>
  </x:si>
  <x:si>
    <x:t xml:space="preserve"> Anxiety grips my chest, a relentless grip on my thoughts.</x:t>
  </x:si>
  <x:si>
    <x:t xml:space="preserve"> Anxiety   </x:t>
  </x:si>
  <x:si>
    <x:t xml:space="preserve">2018-09-05 09:30:00</x:t>
  </x:si>
  <x:si>
    <x:t xml:space="preserve"> RestlessMind     </x:t>
  </x:si>
  <x:si>
    <x:t xml:space="preserve"> #Anxiety #Restlessness                      </x:t>
  </x:si>
  <x:si>
    <x:t xml:space="preserve"> Intimidation by the challenges ahead, fear takes hold.</x:t>
  </x:si>
  <x:si>
    <x:t xml:space="preserve"> Intimidation </x:t>
  </x:si>
  <x:si>
    <x:t xml:space="preserve">2021-10-22 18:30:00</x:t>
  </x:si>
  <x:si>
    <x:t xml:space="preserve"> FearfulJourney   </x:t>
  </x:si>
  <x:si>
    <x:t xml:space="preserve"> #Intimidation #FacingFear                   </x:t>
  </x:si>
  <x:si>
    <x:t xml:space="preserve"> Helplessness engulfs me, drowning in a sea of problems.</x:t>
  </x:si>
  <x:si>
    <x:t xml:space="preserve"> Helplessness </x:t>
  </x:si>
  <x:si>
    <x:t xml:space="preserve">2019-05-08 14:20:00</x:t>
  </x:si>
  <x:si>
    <x:t xml:space="preserve"> OverwhelmedSoul  </x:t>
  </x:si>
  <x:si>
    <x:t xml:space="preserve"> #Helplessness #Struggling                   </x:t>
  </x:si>
  <x:si>
    <x:t xml:space="preserve"> Envy poisons my thoughts, coveting others' success.</x:t>
  </x:si>
  <x:si>
    <x:t xml:space="preserve">2017-03-20 11:30:00</x:t>
  </x:si>
  <x:si>
    <x:t xml:space="preserve"> GreenEyedMonster </x:t>
  </x:si>
  <x:si>
    <x:t xml:space="preserve"> #Envy #Success                              </x:t>
  </x:si>
  <x:si>
    <x:t xml:space="preserve"> Regret for decisions that led to a painful present.</x:t>
  </x:si>
  <x:si>
    <x:t xml:space="preserve">2018-12-15 16:00:00</x:t>
  </x:si>
  <x:si>
    <x:t xml:space="preserve"> RegretfulMind    </x:t>
  </x:si>
  <x:si>
    <x:t xml:space="preserve"> #Regret #PastChoices                        </x:t>
  </x:si>
  <x:si>
    <x:t xml:space="preserve"> Disgust at the corruption that stains society.     </x:t>
  </x:si>
  <x:si>
    <x:t xml:space="preserve">2016-07-01 09:45:00</x:t>
  </x:si>
  <x:si>
    <x:t xml:space="preserve"> CorruptedHeart   </x:t>
  </x:si>
  <x:si>
    <x:t xml:space="preserve"> #Disgust #Corruption                        </x:t>
  </x:si>
  <x:si>
    <x:t xml:space="preserve"> Sinking in despair, each day darker than the last. </x:t>
  </x:si>
  <x:si>
    <x:t xml:space="preserve">2020-08-20 20:20:00</x:t>
  </x:si>
  <x:si>
    <x:t xml:space="preserve"> DrowningSoul     </x:t>
  </x:si>
  <x:si>
    <x:t xml:space="preserve"> #Despair #DarkDays                          </x:t>
  </x:si>
  <x:si>
    <x:t xml:space="preserve"> Grief overwhelms, a storm of emotions within.      </x:t>
  </x:si>
  <x:si>
    <x:t xml:space="preserve">2021-02-25 15:30:00</x:t>
  </x:si>
  <x:si>
    <x:t xml:space="preserve"> StormyHeart      </x:t>
  </x:si>
  <x:si>
    <x:t xml:space="preserve"> #Grief #EmotionalStorm                      </x:t>
  </x:si>
  <x:si>
    <x:t xml:space="preserve"> Loneliness echoes in empty spaces, yearning for connection.</x:t>
  </x:si>
  <x:si>
    <x:t xml:space="preserve">2019-09-12 18:10:00</x:t>
  </x:si>
  <x:si>
    <x:t xml:space="preserve"> EchoingSoul     </x:t>
  </x:si>
  <x:si>
    <x:t xml:space="preserve"> #Loneliness #YearningForConnection         </x:t>
  </x:si>
  <x:si>
    <x:t xml:space="preserve"> Jealousy poisons my thoughts, resentment brewing within.</x:t>
  </x:si>
  <x:si>
    <x:t xml:space="preserve"> Jealousy    </x:t>
  </x:si>
  <x:si>
    <x:t xml:space="preserve">2018-08-05 16:30:00</x:t>
  </x:si>
  <x:si>
    <x:t xml:space="preserve"> PoisonedMind    </x:t>
  </x:si>
  <x:si>
    <x:t xml:space="preserve"> #Jealousy #Resentment                       </x:t>
  </x:si>
  <x:si>
    <x:t xml:space="preserve"> USA           </x:t>
  </x:si>
  <x:si>
    <x:t xml:space="preserve"> Resentment festers, a wound that refuses to heal.  </x:t>
  </x:si>
  <x:si>
    <x:t xml:space="preserve">2017-01-12 12:00:00</x:t>
  </x:si>
  <x:si>
    <x:t xml:space="preserve"> UnforgivingSoul  </x:t>
  </x:si>
  <x:si>
    <x:t xml:space="preserve"> #Resentment #Unforgiving                    </x:t>
  </x:si>
  <x:si>
    <x:t xml:space="preserve"> Frustration escalates, a thunderstorm of emotions. </x:t>
  </x:si>
  <x:si>
    <x:t xml:space="preserve">2022-04-05 14:45:00</x:t>
  </x:si>
  <x:si>
    <x:t xml:space="preserve"> ThunderingMind   </x:t>
  </x:si>
  <x:si>
    <x:t xml:space="preserve"> #Frustration #EmotionalOutburst            </x:t>
  </x:si>
  <x:si>
    <x:t xml:space="preserve"> Boredom lingers, a stagnant pool of indifference.  </x:t>
  </x:si>
  <x:si>
    <x:t xml:space="preserve">2021-10-02 19:00:00</x:t>
  </x:si>
  <x:si>
    <x:t xml:space="preserve"> StagnantHeart    </x:t>
  </x:si>
  <x:si>
    <x:t xml:space="preserve"> #Boredom #Stagnation                        </x:t>
  </x:si>
  <x:si>
    <x:t xml:space="preserve"> Embarking on a journey of discovery, fueled by curiosity and a thirst for knowledge. </x:t>
  </x:si>
  <x:si>
    <x:t xml:space="preserve"> Curiosity       </x:t>
  </x:si>
  <x:si>
    <x:t xml:space="preserve">2023-04-15 10:15:00</x:t>
  </x:si>
  <x:si>
    <x:t xml:space="preserve"> InquisitiveMind   </x:t>
  </x:si>
  <x:si>
    <x:t xml:space="preserve"> #Curiosity #Learning                        </x:t>
  </x:si>
  <x:si>
    <x:t xml:space="preserve"> Lost in the vast sea of information, an indifferent wave in the digital ocean. </x:t>
  </x:si>
  <x:si>
    <x:t xml:space="preserve"> Indifference    </x:t>
  </x:si>
  <x:si>
    <x:t xml:space="preserve">2022-11-28 17:30:00</x:t>
  </x:si>
  <x:si>
    <x:t xml:space="preserve"> ApatheticObserver </x:t>
  </x:si>
  <x:si>
    <x:t xml:space="preserve"> #Indifference #DigitalOverload              </x:t>
  </x:si>
  <x:si>
    <x:t xml:space="preserve"> The complex puzzle of life leaves me in a state of perpetual confusion, seeking answers in the chaos. </x:t>
  </x:si>
  <x:si>
    <x:t xml:space="preserve"> Confusion       </x:t>
  </x:si>
  <x:si>
    <x:t xml:space="preserve">2020-04-02 09:45:00</x:t>
  </x:si>
  <x:si>
    <x:t xml:space="preserve"> SeekingClarity    </x:t>
  </x:si>
  <x:si>
    <x:t xml:space="preserve"> #Confusion #LifePuzzle                     </x:t>
  </x:si>
  <x:si>
    <x:t xml:space="preserve"> A numbness settles over me, a shield against the overwhelming emotions life throws my way. </x:t>
  </x:si>
  <x:si>
    <x:t xml:space="preserve"> Numbness        </x:t>
  </x:si>
  <x:si>
    <x:t xml:space="preserve">2021-08-10 14:00:00</x:t>
  </x:si>
  <x:si>
    <x:t xml:space="preserve"> EmotionallyDistant </x:t>
  </x:si>
  <x:si>
    <x:t xml:space="preserve"> #Numbness #EmotionalShield                 </x:t>
  </x:si>
  <x:si>
    <x:t xml:space="preserve"> Gazing at the sunset, a melancholic longing for moments that slip through the fingers of time. </x:t>
  </x:si>
  <x:si>
    <x:t xml:space="preserve"> Melancholy      </x:t>
  </x:si>
  <x:si>
    <x:t xml:space="preserve">2019-06-18 20:45:00</x:t>
  </x:si>
  <x:si>
    <x:t xml:space="preserve"> SunsetDreamer     </x:t>
  </x:si>
  <x:si>
    <x:t xml:space="preserve"> #Melancholy #SunsetMoments                 </x:t>
  </x:si>
  <x:si>
    <x:t xml:space="preserve"> Revisiting old photographs, caught in the embrace of nostalgia's bittersweet symphony. </x:t>
  </x:si>
  <x:si>
    <x:t xml:space="preserve"> Nostalgia       </x:t>
  </x:si>
  <x:si>
    <x:t xml:space="preserve">2018-02-05 15:15:00</x:t>
  </x:si>
  <x:si>
    <x:t xml:space="preserve"> MemoryLaneTraveler </x:t>
  </x:si>
  <x:si>
    <x:t xml:space="preserve"> #Nostalgia #MemoryLane                     </x:t>
  </x:si>
  <x:si>
    <x:t xml:space="preserve"> Torn between conflicting emotions, an ambivalence that paints my decisions in shades of uncertainty. </x:t>
  </x:si>
  <x:si>
    <x:t xml:space="preserve"> Ambivalence     </x:t>
  </x:si>
  <x:si>
    <x:t xml:space="preserve">2022-05-30 11:30:00</x:t>
  </x:si>
  <x:si>
    <x:t xml:space="preserve"> MixedFeelings     </x:t>
  </x:si>
  <x:si>
    <x:t xml:space="preserve"> #Ambivalence #UncertainChoices             </x:t>
  </x:si>
  <x:si>
    <x:t xml:space="preserve"> Embracing the ebb and flow of life, finding acceptance in the dance of existence. </x:t>
  </x:si>
  <x:si>
    <x:t xml:space="preserve"> Acceptance      </x:t>
  </x:si>
  <x:si>
    <x:t xml:space="preserve">2023-01-10 16:20:00</x:t>
  </x:si>
  <x:si>
    <x:t xml:space="preserve"> ZenLifestyle      </x:t>
  </x:si>
  <x:si>
    <x:t xml:space="preserve"> Facing challenges head-on, a determination that fuels the fire within to achieve the impossible. </x:t>
  </x:si>
  <x:si>
    <x:t xml:space="preserve"> Determination   </x:t>
  </x:si>
  <x:si>
    <x:t xml:space="preserve">2020-09-18 13:45:00</x:t>
  </x:si>
  <x:si>
    <x:t xml:space="preserve"> ResilientSpirit   </x:t>
  </x:si>
  <x:si>
    <x:t xml:space="preserve"> #Determination #AchieveTheImpossible       </x:t>
  </x:si>
  <x:si>
    <x:t xml:space="preserve"> Serenity found in the stillness of nature, a tranquil retreat from the chaos of the modern world. </x:t>
  </x:si>
  <x:si>
    <x:t xml:space="preserve"> Serenity        </x:t>
  </x:si>
  <x:si>
    <x:t xml:space="preserve">2021-07-03 19:00:00</x:t>
  </x:si>
  <x:si>
    <x:t xml:space="preserve"> NatureSoul        </x:t>
  </x:si>
  <x:si>
    <x:t xml:space="preserve"> #Serenity #NatureRetreat                   </x:t>
  </x:si>
  <x:si>
    <x:t xml:space="preserve"> Curiosity leading me down the rabbit hole of knowledge, a perpetual student in life's classroom. </x:t>
  </x:si>
  <x:si>
    <x:t xml:space="preserve">2022-10-08 08:15:00</x:t>
  </x:si>
  <x:si>
    <x:t xml:space="preserve"> EternalLearner    </x:t>
  </x:si>
  <x:si>
    <x:t xml:space="preserve"> #Curiosity #KnowledgeQuest                </x:t>
  </x:si>
  <x:si>
    <x:t xml:space="preserve"> Floating through the day with an air of indifference, detached from the mundane happenings around. </x:t>
  </x:si>
  <x:si>
    <x:t xml:space="preserve">2023-03-22 16:30:00</x:t>
  </x:si>
  <x:si>
    <x:t xml:space="preserve"> AloofObserver     </x:t>
  </x:si>
  <x:si>
    <x:t xml:space="preserve"> #Indifference #FloatingThroughLife        </x:t>
  </x:si>
  <x:si>
    <x:t xml:space="preserve"> Entangled in the web of thoughts, confusion reigning as I navigate the labyrinth of ideas. </x:t>
  </x:si>
  <x:si>
    <x:t xml:space="preserve">2021-05-15 11:45:00</x:t>
  </x:si>
  <x:si>
    <x:t xml:space="preserve"> ThoughtExplorer   </x:t>
  </x:si>
  <x:si>
    <x:t xml:space="preserve"> #Confusion #ThoughtLabyrinth              </x:t>
  </x:si>
  <x:si>
    <x:t xml:space="preserve"> Numb to the chaos, emotions locked away, a stoic facade concealing the inner turmoil. </x:t>
  </x:si>
  <x:si>
    <x:t xml:space="preserve">2019-12-28 14:30:00</x:t>
  </x:si>
  <x:si>
    <x:t xml:space="preserve"> StoicSoul         </x:t>
  </x:si>
  <x:si>
    <x:t xml:space="preserve"> #Numbness #StoicFacade                    </x:t>
  </x:si>
  <x:si>
    <x:t xml:space="preserve"> Melancholy whispers in the breeze, a silent conversation with the echoes of forgotten dreams. </x:t>
  </x:si>
  <x:si>
    <x:t xml:space="preserve">2020-03-01 19:00:00</x:t>
  </x:si>
  <x:si>
    <x:t xml:space="preserve"> DreamerInSilence  </x:t>
  </x:si>
  <x:si>
    <x:t xml:space="preserve"> #Melancholy #WhispersInTheBreeze         </x:t>
  </x:si>
  <x:si>
    <x:t xml:space="preserve"> Stumbling upon an old journal, nostalgia flooding in waves, carrying me to moments long gone. </x:t>
  </x:si>
  <x:si>
    <x:t xml:space="preserve">2018-07-10 15:45:00</x:t>
  </x:si>
  <x:si>
    <x:t xml:space="preserve"> JournalKeeper     </x:t>
  </x:si>
  <x:si>
    <x:t xml:space="preserve"> #Nostalgia #JournalMoments               </x:t>
  </x:si>
  <x:si>
    <x:t xml:space="preserve"> A tapestry of conflicting feelings, weaving through uncertainty, caught in the threads of ambivalence. </x:t>
  </x:si>
  <x:si>
    <x:t xml:space="preserve">2022-01-05 10:30:00</x:t>
  </x:si>
  <x:si>
    <x:t xml:space="preserve"> ThreadWeaver      </x:t>
  </x:si>
  <x:si>
    <x:t xml:space="preserve"> #Ambivalence #ConflictingFeelings        </x:t>
  </x:si>
  <x:si>
    <x:t xml:space="preserve"> Embracing the flaws, finding acceptance in imperfection, a journey towards self-love. </x:t>
  </x:si>
  <x:si>
    <x:t xml:space="preserve">2021-08-20 16:20:00</x:t>
  </x:si>
  <x:si>
    <x:t xml:space="preserve"> SelfLoveAdvocate  </x:t>
  </x:si>
  <x:si>
    <x:t xml:space="preserve"> #Acceptance #SelfLoveJourney              </x:t>
  </x:si>
  <x:si>
    <x:t xml:space="preserve"> Determination burning like a wildfire, overcoming obstacles, turning dreams into reality. </x:t>
  </x:si>
  <x:si>
    <x:t xml:space="preserve">2019-11-03 13:45:00</x:t>
  </x:si>
  <x:si>
    <x:t xml:space="preserve"> DreamChaser       </x:t>
  </x:si>
  <x:si>
    <x:t xml:space="preserve"> #Determination #DreamsIntoReality        </x:t>
  </x:si>
  <x:si>
    <x:t xml:space="preserve"> Tranquil moments by the ocean, serenity washing over, a peaceful retreat within the waves' embrace. </x:t>
  </x:si>
  <x:si>
    <x:t xml:space="preserve">2020-04-12 19:30:00</x:t>
  </x:si>
  <x:si>
    <x:t xml:space="preserve"> OceanSoul         </x:t>
  </x:si>
  <x:si>
    <x:t xml:space="preserve"> #Serenity #OceanRetreat                   </x:t>
  </x:si>
  <x:si>
    <x:t xml:space="preserve"> Exploring new horizons with the spark of curiosity, an adventurer in the vast landscape of knowledge. </x:t>
  </x:si>
  <x:si>
    <x:t xml:space="preserve">2022-04-15 08:45:00</x:t>
  </x:si>
  <x:si>
    <x:t xml:space="preserve"> HorizonExplorer   </x:t>
  </x:si>
  <x:si>
    <x:t xml:space="preserve"> #Curiosity #NewHorizons                  </x:t>
  </x:si>
  <x:si>
    <x:t xml:space="preserve"> Drifting through the day with a nonchalant demeanor, embracing the art of indifference. </x:t>
  </x:si>
  <x:si>
    <x:t xml:space="preserve">2023-02-10 17:00:00</x:t>
  </x:si>
  <x:si>
    <x:t xml:space="preserve"> NonchalantSpirit  </x:t>
  </x:si>
  <x:si>
    <x:t xml:space="preserve"> #Indifference #DriftingThroughLife       </x:t>
  </x:si>
  <x:si>
    <x:t xml:space="preserve"> Wrestling with thoughts, a perplexed mind lost in the labyrinth of life's complexities. </x:t>
  </x:si>
  <x:si>
    <x:t xml:space="preserve">2020-08-05 12:15:00</x:t>
  </x:si>
  <x:si>
    <x:t xml:space="preserve"> ComplexThinker    </x:t>
  </x:si>
  <x:si>
    <x:t xml:space="preserve"> #Confusion #PerplexedMind                </x:t>
  </x:si>
  <x:si>
    <x:t xml:space="preserve"> Immersed in a state of emotional numbness, a shield against the storm of daily struggles. </x:t>
  </x:si>
  <x:si>
    <x:t xml:space="preserve">2021-12-01 15:30:00</x:t>
  </x:si>
  <x:si>
    <x:t xml:space="preserve"> ShieldedHeart     </x:t>
  </x:si>
  <x:si>
    <x:t xml:space="preserve"> #Numbness #EmotionalShield               </x:t>
  </x:si>
  <x:si>
    <x:t xml:space="preserve"> A melancholic symphony playing in the background, the soundtrack of a wistful heart. </x:t>
  </x:si>
  <x:si>
    <x:t xml:space="preserve">2019-03-25 21:00:00</x:t>
  </x:si>
  <x:si>
    <x:t xml:space="preserve"> SymphonySoul      </x:t>
  </x:si>
  <x:si>
    <x:t xml:space="preserve"> #Melancholy #WistfulHeart                </x:t>
  </x:si>
  <x:si>
    <x:t xml:space="preserve"> Flipping through the pages of an old yearbook, nostalgia painting smiles and tears on my face. </x:t>
  </x:si>
  <x:si>
    <x:t xml:space="preserve">2017-06-18 14:45:00</x:t>
  </x:si>
  <x:si>
    <x:t xml:space="preserve"> YearbookExplorer  </x:t>
  </x:si>
  <x:si>
    <x:t xml:space="preserve"> #Nostalgia #YearbookMemories            </x:t>
  </x:si>
  <x:si>
    <x:t xml:space="preserve"> Torn between opposing emotions, an ambivalence that colors my decisions with shades of uncertainty. </x:t>
  </x:si>
  <x:si>
    <x:t xml:space="preserve">2022-07-08 11:30:00</x:t>
  </x:si>
  <x:si>
    <x:t xml:space="preserve"> DecisiveDilemma   </x:t>
  </x:si>
  <x:si>
    <x:t xml:space="preserve"> #Ambivalence #ShadesOfUncertainty       </x:t>
  </x:si>
  <x:si>
    <x:t xml:space="preserve"> Embracing life's imperfections, finding acceptance in the journey, scars and all. </x:t>
  </x:si>
  <x:si>
    <x:t xml:space="preserve">2023-05-15 16:20:00</x:t>
  </x:si>
  <x:si>
    <x:t xml:space="preserve"> ImperfectHarmony  </x:t>
  </x:si>
  <x:si>
    <x:t xml:space="preserve"> #Acceptance #ImperfectJourney            </x:t>
  </x:si>
  <x:si>
    <x:t xml:space="preserve"> A fiery determination burning within, fueled by the vision of reaching unparalleled heights. </x:t>
  </x:si>
  <x:si>
    <x:t xml:space="preserve">2021-09-10 14:45:00</x:t>
  </x:si>
  <x:si>
    <x:t xml:space="preserve"> VisionarySpirit   </x:t>
  </x:si>
  <x:si>
    <x:t xml:space="preserve"> #Determination #UnparalleledHeights      </x:t>
  </x:si>
  <x:si>
    <x:t xml:space="preserve"> Basking in the serenity of a quiet forest, where the whispers of nature bring peace to the soul. </x:t>
  </x:si>
  <x:si>
    <x:t xml:space="preserve">2020-02-28 18:30:00</x:t>
  </x:si>
  <x:si>
    <x:t xml:space="preserve"> ForestDreamer     </x:t>
  </x:si>
  <x:si>
    <x:t xml:space="preserve"> #Serenity #NatureWhispers                </x:t>
  </x:si>
  <x:si>
    <x:t xml:space="preserve"> Indifferent to the noise of the world, a silent observer in the midst of life's cacophony. </x:t>
  </x:si>
  <x:si>
    <x:t xml:space="preserve">2023-03-10 16:30:00</x:t>
  </x:si>
  <x:si>
    <x:t xml:space="preserve"> SilentSpectator   </x:t>
  </x:si>
  <x:si>
    <x:t xml:space="preserve"> #Indifference #SilentObserver            </x:t>
  </x:si>
  <x:si>
    <x:t xml:space="preserve"> Navigating through the labyrinth of thoughts, confusion a constant companion in the maze of ideas. </x:t>
  </x:si>
  <x:si>
    <x:t xml:space="preserve">2021-05-02 11:45:00</x:t>
  </x:si>
  <x:si>
    <x:t xml:space="preserve"> MazeNavigator     </x:t>
  </x:si>
  <x:si>
    <x:t xml:space="preserve"> An impenetrable numbness shields me from the emotional storms, a fortress of stoic resilience. </x:t>
  </x:si>
  <x:si>
    <x:t xml:space="preserve">2019-10-18 14:30:00</x:t>
  </x:si>
  <x:si>
    <x:t xml:space="preserve"> ResilientFortress </x:t>
  </x:si>
  <x:si>
    <x:t xml:space="preserve"> #Numbness #StoicResilience               </x:t>
  </x:si>
  <x:si>
    <x:t xml:space="preserve"> Melancholy painting the world in hues of nostalgia, a canvas of bittersweet memories. </x:t>
  </x:si>
  <x:si>
    <x:t xml:space="preserve">2020-01-05 20:00:00</x:t>
  </x:si>
  <x:si>
    <x:t xml:space="preserve"> CanvasDreamer     </x:t>
  </x:si>
  <x:si>
    <x:t xml:space="preserve"> #Melancholy #BittersweetMemories         </x:t>
  </x:si>
  <x:si>
    <x:t xml:space="preserve"> A journey into the past, flipping through the pages of an old diary, nostalgia taking the lead. </x:t>
  </x:si>
  <x:si>
    <x:t xml:space="preserve">2018-08-10 15:45:00</x:t>
  </x:si>
  <x:si>
    <x:t xml:space="preserve"> DiaryExplorer     </x:t>
  </x:si>
  <x:si>
    <x:t xml:space="preserve"> #Nostalgia #DiaryJourney                 </x:t>
  </x:si>
  <x:si>
    <x:t xml:space="preserve"> Ambivalence clouding decisions, caught in the crossroads of conflicting emotions. </x:t>
  </x:si>
  <x:si>
    <x:t xml:space="preserve">2022-01-15 10:30:00</x:t>
  </x:si>
  <x:si>
    <x:t xml:space="preserve"> CrossroadsTraveler </x:t>
  </x:si>
  <x:si>
    <x:t xml:space="preserve"> #Ambivalence #ConflictingEmotions        </x:t>
  </x:si>
  <x:si>
    <x:t xml:space="preserve"> Embracing imperfections, finding acceptance in the mosaic of life's beautiful chaos. </x:t>
  </x:si>
  <x:si>
    <x:t xml:space="preserve">2021-07-20 16:20:00</x:t>
  </x:si>
  <x:si>
    <x:t xml:space="preserve"> MosaicDreamer     </x:t>
  </x:si>
  <x:si>
    <x:t xml:space="preserve"> #Acceptance #BeautifulChaos              </x:t>
  </x:si>
  <x:si>
    <x:t xml:space="preserve"> Determination as the driving force, propelling me forward on the path to extraordinary achievements. </x:t>
  </x:si>
  <x:si>
    <x:t xml:space="preserve">2019-12-03 13:45:00</x:t>
  </x:si>
  <x:si>
    <x:t xml:space="preserve"> PathfinderSpirit  </x:t>
  </x:si>
  <x:si>
    <x:t xml:space="preserve"> #Determination #ExtraordinaryPath        </x:t>
  </x:si>
  <x:si>
    <x:t xml:space="preserve"> Seeking serenity in the melody of raindrops, a tranquil escape from the noise of everyday life. </x:t>
  </x:si>
  <x:si>
    <x:t xml:space="preserve"> RaindropHarmony   </x:t>
  </x:si>
  <x:si>
    <x:t xml:space="preserve"> #Serenity #RaindropMelody                </x:t>
  </x:si>
  <x:si>
    <x:t xml:space="preserve"> Curiosity driving the exploration of the unknown, a seeker of knowledge in uncharted territories. </x:t>
  </x:si>
  <x:si>
    <x:t xml:space="preserve">2022-05-08 08:45:00</x:t>
  </x:si>
  <x:si>
    <x:t xml:space="preserve"> SeekerOfUnknowns  </x:t>
  </x:si>
  <x:si>
    <x:t xml:space="preserve"> #Curiosity #SeekerOfKnowledge            </x:t>
  </x:si>
  <x:si>
    <x:t xml:space="preserve"> Drifting through the day with an air of nonchalance, indifferent to the trivialities of life. </x:t>
  </x:si>
  <x:si>
    <x:t xml:space="preserve">2023-02-22 17:00:00</x:t>
  </x:si>
  <x:si>
    <x:t xml:space="preserve"> NonchalantWanderer</x:t>
  </x:si>
  <x:si>
    <x:t xml:space="preserve"> Lost in the labyrinth of thoughts, confusion casting shadows on the quest for clarity. </x:t>
  </x:si>
  <x:si>
    <x:t xml:space="preserve">2020-06-05 12:15:00</x:t>
  </x:si>
  <x:si>
    <x:t xml:space="preserve"> ShadowedSeeker    </x:t>
  </x:si>
  <x:si>
    <x:t xml:space="preserve"> #Confusion #LabyrinthOfThoughts          </x:t>
  </x:si>
  <x:si>
    <x:t xml:space="preserve"> Wrapped in the cloak of emotional numbness, a shield against the storms of life's turbulence. </x:t>
  </x:si>
  <x:si>
    <x:t xml:space="preserve">2021-11-30 15:30:00</x:t>
  </x:si>
  <x:si>
    <x:t xml:space="preserve"> TurbulentShield   </x:t>
  </x:si>
  <x:si>
    <x:t xml:space="preserve"> #Numbness #EmotionalStorms               </x:t>
  </x:si>
  <x:si>
    <x:t xml:space="preserve"> Melancholy as a companion, painting the canvas of life with the brushstrokes of wistful yearning. </x:t>
  </x:si>
  <x:si>
    <x:t xml:space="preserve">2019-02-25 21:00:00</x:t>
  </x:si>
  <x:si>
    <x:t xml:space="preserve"> WistfulPainter    </x:t>
  </x:si>
  <x:si>
    <x:t xml:space="preserve"> #Melancholy #WistfulYearning             </x:t>
  </x:si>
  <x:si>
    <x:t xml:space="preserve"> Leafing through the pages of an old photo album, nostalgia weaving tales of laughter and tears. </x:t>
  </x:si>
  <x:si>
    <x:t xml:space="preserve">2017-05-18 14:45:00</x:t>
  </x:si>
  <x:si>
    <x:t xml:space="preserve"> TaleWeaver        </x:t>
  </x:si>
  <x:si>
    <x:t xml:space="preserve"> #Nostalgia #PhotoAlbumStories            </x:t>
  </x:si>
  <x:si>
    <x:t xml:space="preserve"> Ambivalence in the air, caught between the crossroads of conflicting emotions and decisions. </x:t>
  </x:si>
  <x:si>
    <x:t xml:space="preserve">2022-08-05 11:30:00</x:t>
  </x:si>
  <x:si>
    <x:t xml:space="preserve"> CrossroadsExplorer</x:t>
  </x:si>
  <x:si>
    <x:t xml:space="preserve"> #Ambivalence #CrossroadsConfusion        </x:t>
  </x:si>
  <x:si>
    <x:t xml:space="preserve"> Embracing the beauty in imperfections, finding acceptance in the mosaic of life's unpredictable art. </x:t>
  </x:si>
  <x:si>
    <x:t xml:space="preserve">2023-06-15 16:20:00</x:t>
  </x:si>
  <x:si>
    <x:t xml:space="preserve"> MosaicArtist      </x:t>
  </x:si>
  <x:si>
    <x:t xml:space="preserve"> #Acceptance #UnpredictableArt            </x:t>
  </x:si>
  <x:si>
    <x:t xml:space="preserve"> Determination ablaze, forging a path through challenges, sculpting dreams into tangible realities. </x:t>
  </x:si>
  <x:si>
    <x:t xml:space="preserve">2021-10-10 14:45:00</x:t>
  </x:si>
  <x:si>
    <x:t xml:space="preserve"> DreamSculptor     </x:t>
  </x:si>
  <x:si>
    <x:t xml:space="preserve"> #Determination #SculptingDreams          </x:t>
  </x:si>
  <x:si>
    <x:t xml:space="preserve"> Immerse in the serenity of a moonlit night, where the quiet whispers of nature bring peace to the soul. </x:t>
  </x:si>
  <x:si>
    <x:t xml:space="preserve">2020-05-12 19:30:00</x:t>
  </x:si>
  <x:si>
    <x:t xml:space="preserve"> MoonlitSoul       </x:t>
  </x:si>
  <x:si>
    <x:t xml:space="preserve"> #Serenity #MoonlitPeace                  </x:t>
  </x:si>
  <x:si>
    <x:t xml:space="preserve"> Fueled by curiosity, venturing into uncharted realms, a fearless explorer of the mysteries of the world. </x:t>
  </x:si>
  <x:si>
    <x:t xml:space="preserve">2022-12-01 09:15:00</x:t>
  </x:si>
  <x:si>
    <x:t xml:space="preserve"> FearlessExplorer  </x:t>
  </x:si>
  <x:si>
    <x:t xml:space="preserve"> #Curiosity #FearlessExplorer              </x:t>
  </x:si>
  <x:si>
    <x:t xml:space="preserve">Wrapped in the cloak of emotional numbness, a shield against the storms of life's turbulence. </x:t>
  </x:si>
  <x:si>
    <x:t xml:space="preserve"> Numbness </x:t>
  </x:si>
  <x:si>
    <x:t xml:space="preserve"> TurbulentShield </x:t>
  </x:si>
  <x:si>
    <x:t xml:space="preserve"> #Numbness #EmotionalStorms </x:t>
  </x:si>
  <x:si>
    <x:t xml:space="preserve"> Dancing through life with the exuberance of a carefree spirit, embracing joy and zest at every turn. </x:t>
  </x:si>
  <x:si>
    <x:t xml:space="preserve"> Zest </x:t>
  </x:si>
  <x:si>
    <x:t xml:space="preserve">2018-07-12 17:45:00</x:t>
  </x:si>
  <x:si>
    <x:t xml:space="preserve"> JoyfulDancer </x:t>
  </x:si>
  <x:si>
    <x:t xml:space="preserve"> Twitter </x:t>
  </x:si>
  <x:si>
    <x:t xml:space="preserve"> #Zest #CarefreeSpirit </x:t>
  </x:si>
  <x:si>
    <x:t xml:space="preserve"> Basking in the golden glow of contentment, a serene river flowing through the landscape of the heart. </x:t>
  </x:si>
  <x:si>
    <x:t xml:space="preserve"> Contentment </x:t>
  </x:si>
  <x:si>
    <x:t xml:space="preserve">2020-09-05 20:10:00</x:t>
  </x:si>
  <x:si>
    <x:t xml:space="preserve"> SereneBasker </x:t>
  </x:si>
  <x:si>
    <x:t xml:space="preserve"> #Contentment #GoldenGlow </x:t>
  </x:si>
  <x:si>
    <x:t xml:space="preserve"> Gazing towards the horizon with hopeful eyes, painting a canvas of dreams illuminated by the sun of optimism. </x:t>
  </x:si>
  <x:si>
    <x:t xml:space="preserve"> Hopeful </x:t>
  </x:si>
  <x:si>
    <x:t xml:space="preserve">2022-04-18 08:00:00</x:t>
  </x:si>
  <x:si>
    <x:t xml:space="preserve"> DreamPainter </x:t>
  </x:si>
  <x:si>
    <x:t xml:space="preserve"> #Hopeful #CanvasOfDreams </x:t>
  </x:si>
  <x:si>
    <x:t xml:space="preserve"> Standing tall, proud as an oak, the branches of achievement reaching towards the sky of accomplishment. </x:t>
  </x:si>
  <x:si>
    <x:t xml:space="preserve"> Proud </x:t>
  </x:si>
  <x:si>
    <x:t xml:space="preserve">2019-12-10 12:20:00</x:t>
  </x:si>
  <x:si>
    <x:t xml:space="preserve"> OakAchiever </x:t>
  </x:si>
  <x:si>
    <x:t xml:space="preserve"> #Proud #BranchesOfAchievement </x:t>
  </x:si>
  <x:si>
    <x:t xml:space="preserve"> A heart overflowing with gratitude, a garden where appreciation blooms in the soil of kindness and connection. </x:t>
  </x:si>
  <x:si>
    <x:t xml:space="preserve"> Grateful </x:t>
  </x:si>
  <x:si>
    <x:t xml:space="preserve">2023-02-28 09:45:00</x:t>
  </x:si>
  <x:si>
    <x:t xml:space="preserve"> HeartGardener </x:t>
  </x:si>
  <x:si>
    <x:t xml:space="preserve"> #Grateful #BlossomingConnection </x:t>
  </x:si>
  <x:si>
    <x:t xml:space="preserve"> Extending a hand, empathetic threads weaving a tapestry of understanding, embracing the joys and sorrows of others. </x:t>
  </x:si>
  <x:si>
    <x:t xml:space="preserve"> Empathetic </x:t>
  </x:si>
  <x:si>
    <x:t xml:space="preserve">2018-04-03 14:15:00</x:t>
  </x:si>
  <x:si>
    <x:t xml:space="preserve"> ThreadWeaver </x:t>
  </x:si>
  <x:si>
    <x:t xml:space="preserve"> #Empathetic #TapestryOfUnderstanding </x:t>
  </x:si>
  <x:si>
    <x:t xml:space="preserve"> Compassionate clouds, heavy with care, showering empathy on the parched grounds of human suffering. </x:t>
  </x:si>
  <x:si>
    <x:t xml:space="preserve"> Compassionate </x:t>
  </x:si>
  <x:si>
    <x:t xml:space="preserve">2022-06-20 10:30:00</x:t>
  </x:si>
  <x:si>
    <x:t xml:space="preserve"> CloudCaretaker </x:t>
  </x:si>
  <x:si>
    <x:t xml:space="preserve"> #Compassionate #ShowerOfEmpathy </x:t>
  </x:si>
  <x:si>
    <x:t xml:space="preserve"> Playfully dancing in the rain of laughter, a whimsical spirit twirling in the puddles of joy and lightheartedness. </x:t>
  </x:si>
  <x:si>
    <x:t xml:space="preserve"> Playful </x:t>
  </x:si>
  <x:si>
    <x:t xml:space="preserve">2020-07-08 18:00:00</x:t>
  </x:si>
  <x:si>
    <x:t xml:space="preserve"> RainDancer </x:t>
  </x:si>
  <x:si>
    <x:t xml:space="preserve"> #Playful #DanceInTheRain </x:t>
  </x:si>
  <x:si>
    <x:t xml:space="preserve"> Soaring on the wings of a free spirit, unburdened by the chains of conformity, painting the sky with independence. </x:t>
  </x:si>
  <x:si>
    <x:t xml:space="preserve"> Free-spirited </x:t>
  </x:si>
  <x:si>
    <x:t xml:space="preserve">2021-08-15 11:10:00</x:t>
  </x:si>
  <x:si>
    <x:t xml:space="preserve"> SkyPainter </x:t>
  </x:si>
  <x:si>
    <x:t xml:space="preserve"> #FreeSpirit #PaintingTheSky </x:t>
  </x:si>
  <x:si>
    <x:t xml:space="preserve"> Bathed in the glow of inspiration, a creative phoenix rising from the ashes of ordinary thoughts to explore new realms. </x:t>
  </x:si>
  <x:si>
    <x:t xml:space="preserve"> Inspired </x:t>
  </x:si>
  <x:si>
    <x:t xml:space="preserve">2019-10-25 16:50:00</x:t>
  </x:si>
  <x:si>
    <x:t xml:space="preserve"> PhoenixExplorer </x:t>
  </x:si>
  <x:si>
    <x:t xml:space="preserve"> #Inspired #CreativePhoenix </x:t>
  </x:si>
  <x:si>
    <x:t xml:space="preserve"> Navigating the sea of hope, sailing towards the sunrise of possibilities, confident in the ship of positive anticipation. </x:t>
  </x:si>
  <x:si>
    <x:t xml:space="preserve">2023-10-05 07:30:00</x:t>
  </x:si>
  <x:si>
    <x:t xml:space="preserve"> SunriseNavigator </x:t>
  </x:si>
  <x:si>
    <x:t xml:space="preserve"> #Hopeful #SunriseOfPossibilities </x:t>
  </x:si>
  <x:si>
    <x:t xml:space="preserve"> Striding with confidence, footprints of self-assuredness imprinted on the sands of challenges conquered and victories claimed. </x:t>
  </x:si>
  <x:si>
    <x:t xml:space="preserve"> Confident </x:t>
  </x:si>
  <x:si>
    <x:t xml:space="preserve">2022-02-15 13:15:00</x:t>
  </x:si>
  <x:si>
    <x:t xml:space="preserve"> SandStrider </x:t>
  </x:si>
  <x:si>
    <x:t xml:space="preserve"> #Confident #FootprintsOfAssuredness </x:t>
  </x:si>
  <x:si>
    <x:t xml:space="preserve"> Lost in the symphony of the night, a moonlit serenade that whispers tales of wanderlust and moonlit dreams. </x:t>
  </x:si>
  <x:si>
    <x:t xml:space="preserve"> Serenity </x:t>
  </x:si>
  <x:si>
    <x:t xml:space="preserve">2021-05-08 22:00:00</x:t>
  </x:si>
  <x:si>
    <x:t xml:space="preserve"> NightSerenader </x:t>
  </x:si>
  <x:si>
    <x:t xml:space="preserve"> #Serenity #MoonlitSerenade </x:t>
  </x:si>
  <x:si>
    <x:t xml:space="preserve"> Unveiling the layers of curiosity, a labyrinth of questions leading to the treasure troves of undiscovered knowledge. </x:t>
  </x:si>
  <x:si>
    <x:t xml:space="preserve"> Curiosity </x:t>
  </x:si>
  <x:si>
    <x:t xml:space="preserve">2020-11-29 14:45:00</x:t>
  </x:si>
  <x:si>
    <x:t xml:space="preserve"> KnowledgeSeeker </x:t>
  </x:si>
  <x:si>
    <x:t xml:space="preserve"> #Curiosity #LabyrinthOfQuestions </x:t>
  </x:si>
  <x:si>
    <x:t xml:space="preserve"> In the embrace of the autumn breeze, leaves of ambivalence dancing in a waltz between choices and uncertainties. </x:t>
  </x:si>
  <x:si>
    <x:t xml:space="preserve"> Ambivalence </x:t>
  </x:si>
  <x:si>
    <x:t xml:space="preserve">2019-09-14 10:20:00</x:t>
  </x:si>
  <x:si>
    <x:t xml:space="preserve"> BreezeWaltzer </x:t>
  </x:si>
  <x:si>
    <x:t xml:space="preserve"> #Ambivalence #AutumnWaltz </x:t>
  </x:si>
  <x:si>
    <x:t xml:space="preserve"> Gratitude as a guiding star, navigating the constellation of blessings in the vast universe of life's precious moments. </x:t>
  </x:si>
  <x:si>
    <x:t xml:space="preserve">2022-03-12 19:55:00</x:t>
  </x:si>
  <x:si>
    <x:t xml:space="preserve"> StarNavigator </x:t>
  </x:si>
  <x:si>
    <x:t xml:space="preserve"> #Grateful #GuidingStar </x:t>
  </x:si>
  <x:si>
    <x:t xml:space="preserve"> With a zestful heart, sprinting through fields of enthusiasm, chasing sunbeams and laughter in the meadows of joy. </x:t>
  </x:si>
  <x:si>
    <x:t xml:space="preserve">2023-03-30 16:30:00</x:t>
  </x:si>
  <x:si>
    <x:t xml:space="preserve"> MeadowSprinter </x:t>
  </x:si>
  <x:si>
    <x:t xml:space="preserve"> #Zest #FieldsOfEnthusiasm </x:t>
  </x:si>
  <x:si>
    <x:t xml:space="preserve"> A compassionate rain, tears of empathy falling gently, nurturing the seeds of kindness in the garden of human connections. </x:t>
  </x:si>
  <x:si>
    <x:t xml:space="preserve">2021-07-01 12:10:00</x:t>
  </x:si>
  <x:si>
    <x:t xml:space="preserve"> RainNurturer </x:t>
  </x:si>
  <x:si>
    <x:t xml:space="preserve"> #Compassionate #TearsOfEmpathy </x:t>
  </x:si>
  <x:si>
    <x:t xml:space="preserve"> Proudly scaling the peaks of achievement, a mountaineer conquering challenges and planting the flag of success. </x:t>
  </x:si>
  <x:si>
    <x:t xml:space="preserve">2020-01-05 08:45:00</x:t>
  </x:si>
  <x:si>
    <x:t xml:space="preserve"> PeakConqueror </x:t>
  </x:si>
  <x:si>
    <x:t xml:space="preserve"> #Proud #ScalingPeaks </x:t>
  </x:si>
  <x:si>
    <x:t xml:space="preserve"> Embraced by the hopeful dawn, a gardener sowing seeds of optimism, tending to the blooms of a brighter tomorrow. </x:t>
  </x:si>
  <x:si>
    <x:t xml:space="preserve">2022-07-17 06:15:00</x:t>
  </x:si>
  <x:si>
    <x:t xml:space="preserve"> DawnGardener </x:t>
  </x:si>
  <x:si>
    <x:t xml:space="preserve"> #Hopeful #SeedsOfOptimism </x:t>
  </x:si>
  <x:si>
    <x:t xml:space="preserve"> A playful escapade in the carnival of life, carousel laughter and cotton candy dreams swirling in the joyous atmosphere. </x:t>
  </x:si>
  <x:si>
    <x:t xml:space="preserve">2018-08-22 17:20:00</x:t>
  </x:si>
  <x:si>
    <x:t xml:space="preserve"> CarnivalDreamer </x:t>
  </x:si>
  <x:si>
    <x:t xml:space="preserve"> #Playful #CarnivalEscapade </x:t>
  </x:si>
  <x:si>
    <x:t xml:space="preserve"> Floating on clouds of inspiration, an artist painting the sky with strokes of creativity, creating a masterpiece of dreams. </x:t>
  </x:si>
  <x:si>
    <x:t xml:space="preserve">2021-12-08 14:30:00</x:t>
  </x:si>
  <x:si>
    <x:t xml:space="preserve"> SkyArtist </x:t>
  </x:si>
  <x:si>
    <x:t xml:space="preserve"> #Inspired #CloudsOfCreativity </x:t>
  </x:si>
  <x:si>
    <x:t xml:space="preserve"> Navigating the river of contentment, a serene boat cruise through the tranquil waters of inner peace and acceptance. </x:t>
  </x:si>
  <x:si>
    <x:t xml:space="preserve">2019-04-27 09:50:00</x:t>
  </x:si>
  <x:si>
    <x:t xml:space="preserve"> RiverNavigator </x:t>
  </x:si>
  <x:si>
    <x:t xml:space="preserve"> #Contentment #TranquilWaters </x:t>
  </x:si>
  <x:si>
    <x:t xml:space="preserve"> With empathy as a lantern, wandering through the dark alleys of sorrow, illuminating the path with compassion and care. </x:t>
  </x:si>
  <x:si>
    <x:t xml:space="preserve">2023-09-03 21:40:00</x:t>
  </x:si>
  <x:si>
    <x:t xml:space="preserve"> LanternWanderer </x:t>
  </x:si>
  <x:si>
    <x:t xml:space="preserve"> #Empathetic #LanternOfCompassion </x:t>
  </x:si>
  <x:si>
    <x:t xml:space="preserve"> A free spirit soaring on the wings of dreams, leaving trails of independence in the azure sky of boundless possibilities. </x:t>
  </x:si>
  <x:si>
    <x:t xml:space="preserve">2020-06-10 10:05:00</x:t>
  </x:si>
  <x:si>
    <x:t xml:space="preserve"> DreamSoarer </x:t>
  </x:si>
  <x:si>
    <x:t xml:space="preserve"> #FreeSpirit #WingsOfDreams </x:t>
  </x:si>
  <x:si>
    <x:t xml:space="preserve"> Bathed in the golden hues of gratefulness, a sunset of appreciation casting its warm glow on the landscapes of the heart. </x:t>
  </x:si>
  <x:si>
    <x:t xml:space="preserve">2022-04-01 18:30:00</x:t>
  </x:si>
  <x:si>
    <x:t xml:space="preserve"> SunsetAdmirer </x:t>
  </x:si>
  <x:si>
    <x:t xml:space="preserve"> #Grateful #GoldenHues </x:t>
  </x:si>
  <x:si>
    <x:t xml:space="preserve"> Confident strides in the dance of life, a ballroom where self-assuredness leads, twirling through challenges with grace. </x:t>
  </x:si>
  <x:si>
    <x:t xml:space="preserve">2021-01-15 13:00:00</x:t>
  </x:si>
  <x:si>
    <x:t xml:space="preserve"> DanceStrider </x:t>
  </x:si>
  <x:si>
    <x:t xml:space="preserve"> #Confident #DanceOfLife </x:t>
  </x:si>
  <x:si>
    <x:t xml:space="preserve"> Hopeful whispers of wind, carrying the promises of a brighter tomorrow, a symphony of optimism in the air of possibilities. </x:t>
  </x:si>
  <x:si>
    <x:t xml:space="preserve">2023-05-06 07:20:00</x:t>
  </x:si>
  <x:si>
    <x:t xml:space="preserve"> WindWhisperer </x:t>
  </x:si>
  <x:si>
    <x:t xml:space="preserve"> #Hopeful #BrighterTomorrows </x:t>
  </x:si>
  <x:si>
    <x:t xml:space="preserve"> Playfully juggling responsibilities, a circus performer balancing the acts of work and joy, tossing laughter into the air. </x:t>
  </x:si>
  <x:si>
    <x:t xml:space="preserve">2019-11-18 15:15:00</x:t>
  </x:si>
  <x:si>
    <x:t xml:space="preserve"> JugglingArtist </x:t>
  </x:si>
  <x:si>
    <x:t xml:space="preserve"> #Playful #JugglingResponsibilities </x:t>
  </x:si>
  <x:si>
    <x:t xml:space="preserve"> Whispering tales of inspiration to the stars, a storyteller crafting constellations from the threads of imagination. </x:t>
  </x:si>
  <x:si>
    <x:t xml:space="preserve">2020-08-29 20:45:00</x:t>
  </x:si>
  <x:si>
    <x:t xml:space="preserve"> StarStoryteller </x:t>
  </x:si>
  <x:si>
    <x:t xml:space="preserve"> #Inspired #TalesToTheStars </x:t>
  </x:si>
  <x:si>
    <x:t xml:space="preserve"> Charting a course through the waves of hopeful anticipation, a sailor steering towards the shores of dreams yet unexplored. </x:t>
  </x:si>
  <x:si>
    <x:t xml:space="preserve">2022-10-30 11:40:00</x:t>
  </x:si>
  <x:si>
    <x:t xml:space="preserve"> WaveNavigator </x:t>
  </x:si>
  <x:si>
    <x:t xml:space="preserve"> #Hopeful #SailorOfDreams </x:t>
  </x:si>
  <x:si>
    <x:t xml:space="preserve"> Drowning in the abyss of despair, a heart shattered into fragments, lost in the echoing silence of hopelessness. </x:t>
  </x:si>
  <x:si>
    <x:t xml:space="preserve"> Despair </x:t>
  </x:si>
  <x:si>
    <x:t xml:space="preserve">2021-09-15 16:00:00</x:t>
  </x:si>
  <x:si>
    <x:t xml:space="preserve"> ShatteredHeart </x:t>
  </x:si>
  <x:si>
    <x:t xml:space="preserve"> #Despair #EchoingSilence </x:t>
  </x:si>
  <x:si>
    <x:t xml:space="preserve"> Bitterness festering like a venomous vine, entwining the soul in a web of resentment, poisoning the garden of peace. </x:t>
  </x:si>
  <x:si>
    <x:t xml:space="preserve"> Bitterness </x:t>
  </x:si>
  <x:si>
    <x:t xml:space="preserve">2019-03-08 14:20:00</x:t>
  </x:si>
  <x:si>
    <x:t xml:space="preserve"> VenomousSoul </x:t>
  </x:si>
  <x:si>
    <x:t xml:space="preserve"> #Bitterness #ResentmentWeb </x:t>
  </x:si>
  <x:si>
    <x:t xml:space="preserve"> Wandering through the desert of loneliness, each step a heavy sigh, mirages of connection shimmering but never materializing. </x:t>
  </x:si>
  <x:si>
    <x:t xml:space="preserve">2017-07-20 11:45:00</x:t>
  </x:si>
  <x:si>
    <x:t xml:space="preserve"> DesertWanderer </x:t>
  </x:si>
  <x:si>
    <x:t xml:space="preserve"> #Loneliness #MiragesOfConnection </x:t>
  </x:si>
  <x:si>
    <x:t xml:space="preserve"> Yearning for a touch that's not there, echoes of a distant warmth haunting the heart in the cold embrace of solitude. </x:t>
  </x:si>
  <x:si>
    <x:t xml:space="preserve"> Yearning </x:t>
  </x:si>
  <x:si>
    <x:t xml:space="preserve">2020-11-02 19:30:00</x:t>
  </x:si>
  <x:si>
    <x:t xml:space="preserve"> ColdEmbrace </x:t>
  </x:si>
  <x:si>
    <x:t xml:space="preserve"> #Yearning #DistantWarmth </x:t>
  </x:si>
  <x:si>
    <x:t xml:space="preserve"> Eyes wide open in the night, fearful shadows dancing on the walls, the mind a prisoner of imagined horrors. </x:t>
  </x:si>
  <x:si>
    <x:t xml:space="preserve"> Fearful </x:t>
  </x:si>
  <x:si>
    <x:t xml:space="preserve">2022-05-12 02:00:00</x:t>
  </x:si>
  <x:si>
    <x:t xml:space="preserve"> NightPrisoner </x:t>
  </x:si>
  <x:si>
    <x:t xml:space="preserve"> #Fearful #ImaginedHorrors </x:t>
  </x:si>
  <x:si>
    <x:t xml:space="preserve"> Apprehensive steps on the tightrope of uncertainty, a balancing act where the fall seems inevitable, anxiety a constant companion. </x:t>
  </x:si>
  <x:si>
    <x:t xml:space="preserve"> Apprehensive </x:t>
  </x:si>
  <x:si>
    <x:t xml:space="preserve">2023-04-08 13:15:00</x:t>
  </x:si>
  <x:si>
    <x:t xml:space="preserve"> TightropeWalker </x:t>
  </x:si>
  <x:si>
    <x:t xml:space="preserve"> #Apprehensive #BalancingAct </x:t>
  </x:si>
  <x:si>
    <x:t xml:space="preserve"> Overwhelmed by the weight of the world, Atlas with trembling shoulders, each responsibility a boulder in the landscape of exhaustion. </x:t>
  </x:si>
  <x:si>
    <x:t xml:space="preserve"> Overwhelmed </x:t>
  </x:si>
  <x:si>
    <x:t xml:space="preserve">2021-06-25 17:50:00</x:t>
  </x:si>
  <x:si>
    <x:t xml:space="preserve"> AtlasBearer </x:t>
  </x:si>
  <x:si>
    <x:t xml:space="preserve"> #Overwhelmed #BouldersOfExhaustion </x:t>
  </x:si>
  <x:si>
    <x:t xml:space="preserve"> Jealousy, a green-eyed monster, lurking in the shadows, casting a dark cloud over the sunshine of others' success. </x:t>
  </x:si>
  <x:si>
    <x:t xml:space="preserve"> Jealous </x:t>
  </x:si>
  <x:si>
    <x:t xml:space="preserve">2019-08-30 10:10:00</x:t>
  </x:si>
  <x:si>
    <x:t xml:space="preserve"> GreenMonster </x:t>
  </x:si>
  <x:si>
    <x:t xml:space="preserve"> #Jealous #GreenEyedMonster </x:t>
  </x:si>
  <x:si>
    <x:t xml:space="preserve"> Devastated by the storm of betrayal, the wreckage of trust scattered like debris, a heart torn by the winds of broken promises. </x:t>
  </x:si>
  <x:si>
    <x:t xml:space="preserve"> Devastated </x:t>
  </x:si>
  <x:si>
    <x:t xml:space="preserve">2022-08-03 15:30:00</x:t>
  </x:si>
  <x:si>
    <x:t xml:space="preserve"> StormSurvivor </x:t>
  </x:si>
  <x:si>
    <x:t xml:space="preserve"> #Devastated #WindsOfBrokenPromises </x:t>
  </x:si>
  <x:si>
    <x:t xml:space="preserve"> Frustrated fingers tapping on the keyboard, a symphony of annoyance composing an unsolvable puzzle of unmet expectations. </x:t>
  </x:si>
  <x:si>
    <x:t xml:space="preserve"> Frustrated </x:t>
  </x:si>
  <x:si>
    <x:t xml:space="preserve">2020-12-17 09:20:00</x:t>
  </x:si>
  <x:si>
    <x:t xml:space="preserve"> PuzzleComposer </x:t>
  </x:si>
  <x:si>
    <x:t xml:space="preserve"> #Frustrated #UnsolvablePuzzle </x:t>
  </x:si>
  <x:si>
    <x:t xml:space="preserve"> Envious eyes fixated on the gilded prize, a heartache fueled by the painful desire for possessions that seem forever out of reach. </x:t>
  </x:si>
  <x:si>
    <x:t xml:space="preserve"> Envious </x:t>
  </x:si>
  <x:si>
    <x:t xml:space="preserve">2021-02-28 22:45:00</x:t>
  </x:si>
  <x:si>
    <x:t xml:space="preserve"> GildedHeartache </x:t>
  </x:si>
  <x:si>
    <x:t xml:space="preserve"> #Envious #GildedPrize </x:t>
  </x:si>
  <x:si>
    <x:t xml:space="preserve"> Dismissive glances, a fortress built with indifference, walls impenetrable to the pleas of understanding and recognition. </x:t>
  </x:si>
  <x:si>
    <x:t xml:space="preserve"> Dismissive </x:t>
  </x:si>
  <x:si>
    <x:t xml:space="preserve">2018-05-10 14:00:00</x:t>
  </x:si>
  <x:si>
    <x:t xml:space="preserve"> IndifferentFort </x:t>
  </x:si>
  <x:si>
    <x:t xml:space="preserve"> #Dismissive #ImpenetrableWalls </x:t>
  </x:si>
  <x:si>
    <x:t xml:space="preserve"> Shattered dreams lie on the floor like fragments of glass, a mosaic of disappointment crafted by the hands of frustration. </x:t>
  </x:si>
  <x:si>
    <x:t xml:space="preserve">2022-01-07 11:10:00</x:t>
  </x:si>
  <x:si>
    <x:t xml:space="preserve"> DreamMosaic </x:t>
  </x:si>
  <x:si>
    <x:t xml:space="preserve"> #Frustrated #MosaicOfDisappointment </x:t>
  </x:si>
  <x:si>
    <x:t xml:space="preserve"> Loneliness, a silent companion in the night, the only echo in the chamber of solitude, a heart's solitary nocturne. </x:t>
  </x:si>
  <x:si>
    <x:t xml:space="preserve">2019-09-19 03:30:00</x:t>
  </x:si>
  <x:si>
    <x:t xml:space="preserve"> NocturnalEcho </x:t>
  </x:si>
  <x:si>
    <x:t xml:space="preserve"> #Loneliness #SolitaryNocturne </x:t>
  </x:si>
  <x:si>
    <x:t xml:space="preserve"> Fearful whispers in the dark, the mind haunted by the specter of the unknown, shadows dancing to the rhythm of anxiety's tune. </x:t>
  </x:si>
  <x:si>
    <x:t xml:space="preserve">2023-07-14 23:00:00</x:t>
  </x:si>
  <x:si>
    <x:t xml:space="preserve"> DarkWhispers </x:t>
  </x:si>
  <x:si>
    <x:t xml:space="preserve"> #Fearful #SpecterOfTheUnknown </x:t>
  </x:si>
  <x:si>
    <x:t xml:space="preserve"> Bitterness, a bitter aftertaste lingering on the tongue, each word a reminder of wounds that refuse to heal with the passing of time. </x:t>
  </x:si>
  <x:si>
    <x:t xml:space="preserve">2020-04-05 16:20:00</x:t>
  </x:si>
  <x:si>
    <x:t xml:space="preserve"> LingeringTaste </x:t>
  </x:si>
  <x:si>
    <x:t xml:space="preserve"> #Bitterness #BitterAftertaste </x:t>
  </x:si>
  <x:si>
    <x:t xml:space="preserve"> Overwhelmed by the cacophony of expectations, a drowning soul in the tempest of pressure, struggling to stay afloat. </x:t>
  </x:si>
  <x:si>
    <x:t xml:space="preserve">2021-11-29 08:45:00</x:t>
  </x:si>
  <x:si>
    <x:t xml:space="preserve"> TempestSurvivor </x:t>
  </x:si>
  <x:si>
    <x:t xml:space="preserve"> #Overwhelmed #DrowningSoul </x:t>
  </x:si>
  <x:si>
    <x:t xml:space="preserve"> Jealousy, a venom that seeps through the veins, poisoning the heart and turning it into a breeding ground for discontent. </x:t>
  </x:si>
  <x:si>
    <x:t xml:space="preserve">2019-12-12 17:00:00</x:t>
  </x:si>
  <x:si>
    <x:t xml:space="preserve"> VenomousHeart </x:t>
  </x:si>
  <x:si>
    <x:t xml:space="preserve"> #Jealous #HeartOfDiscontent </x:t>
  </x:si>
  <x:si>
    <x:t xml:space="preserve"> Devastated by the revelation of betrayal, the trust shattered like fragile glass, leaving shards of pain in its wake. </x:t>
  </x:si>
  <x:si>
    <x:t xml:space="preserve">2022-05-20 14:50:00</x:t>
  </x:si>
  <x:si>
    <x:t xml:space="preserve"> FragileTrust </x:t>
  </x:si>
  <x:si>
    <x:t xml:space="preserve"> #Devastated #ShatteredTrust </x:t>
  </x:si>
  <x:si>
    <x:t xml:space="preserve"> Frustrated attempts to mend a broken connection, the threads of understanding slipping through the fingers like grains of sand. </x:t>
  </x:si>
  <x:si>
    <x:t xml:space="preserve">2020-09-03 12:15:00</x:t>
  </x:si>
  <x:si>
    <x:t xml:space="preserve"> BrokenThreads </x:t>
  </x:si>
  <x:si>
    <x:t xml:space="preserve"> #Frustrated #SlippingThreads </x:t>
  </x:si>
  <x:si>
    <x:t xml:space="preserve"> Envious gazes cast upon the podium of success, a bitter pill swallowed, the taste lingering as a constant reminder of unattained heights. </x:t>
  </x:si>
  <x:si>
    <x:t xml:space="preserve">2021-02-10 19:30:00</x:t>
  </x:si>
  <x:si>
    <x:t xml:space="preserve"> SuccessPill </x:t>
  </x:si>
  <x:si>
    <x:t xml:space="preserve"> #Envious #BitterPill </x:t>
  </x:si>
  <x:si>
    <x:t xml:space="preserve"> Dismissive gestures, a curtain drawn to shield the vulnerability, a stage where emotions take a backseat to the performance of indifference. </x:t>
  </x:si>
  <x:si>
    <x:t xml:space="preserve">2018-08-18 14:40:00</x:t>
  </x:si>
  <x:si>
    <x:t xml:space="preserve"> CurtainShield </x:t>
  </x:si>
  <x:si>
    <x:t xml:space="preserve"> #Dismissive #IndifferencePerformance </x:t>
  </x:si>
  <x:si>
    <x:t xml:space="preserve"> Despair like a heavy fog, enveloping every thought, blurring the path ahead, a journey in the labyrinth of utter hopelessness. </x:t>
  </x:si>
  <x:si>
    <x:t xml:space="preserve">2022-02-28 21:00:00</x:t>
  </x:si>
  <x:si>
    <x:t xml:space="preserve"> FoggyLabyrinth </x:t>
  </x:si>
  <x:si>
    <x:t xml:space="preserve"> #Despair #LabyrinthOfHopelessness </x:t>
  </x:si>
  <x:si>
    <x:t xml:space="preserve"> Bitterness, a bitter chill in the air, freezing moments into icicles of resentment that dangle precariously over the landscape of memory. </x:t>
  </x:si>
  <x:si>
    <x:t xml:space="preserve">2019-10-15 10:30:00</x:t>
  </x:si>
  <x:si>
    <x:t xml:space="preserve"> IcyResentment </x:t>
  </x:si>
  <x:si>
    <x:t xml:space="preserve"> #Bitterness #IciclesOfResentment </x:t>
  </x:si>
  <x:si>
    <x:t xml:space="preserve"> Loneliness, a solitary moon in a starless sky, casting a cold glow on the landscape of isolation, where echoes bounce in empty spaces. </x:t>
  </x:si>
  <x:si>
    <x:t xml:space="preserve">2017-12-01 18:50:00</x:t>
  </x:si>
  <x:si>
    <x:t xml:space="preserve"> SolitaryMoon </x:t>
  </x:si>
  <x:si>
    <x:t xml:space="preserve"> #Loneliness #StarlessSky </x:t>
  </x:si>
  <x:si>
    <x:t xml:space="preserve"> Yearning for the warmth of a vanished sun, a heartache painted in the hues of a sunset that never graced the horizon. </x:t>
  </x:si>
  <x:si>
    <x:t xml:space="preserve">2020-04-18 16:15:00</x:t>
  </x:si>
  <x:si>
    <x:t xml:space="preserve"> VanishedSunset </x:t>
  </x:si>
  <x:si>
    <x:t xml:space="preserve"> #Yearning #HuesOfSunset </x:t>
  </x:si>
  <x:si>
    <x:t xml:space="preserve"> Fearful eyes scanning the shadows, a prisoner of the night, terrorized by the lurking monsters born from the mind's darkest corners. </x:t>
  </x:si>
  <x:si>
    <x:t xml:space="preserve">2023-01-07 03:30:00</x:t>
  </x:si>
  <x:si>
    <x:t xml:space="preserve"> #Fearful #LurkingMonsters </x:t>
  </x:si>
  <x:si>
    <x:t xml:space="preserve"> Apprehensive whispers in the wind, a forecast of uncertainty, the mind's weather vane spinning wildly in the storm of doubt. </x:t>
  </x:si>
  <x:si>
    <x:t xml:space="preserve">2021-06-10 10:00:00</x:t>
  </x:si>
  <x:si>
    <x:t xml:space="preserve"> #Apprehensive #StormOfDoubt </x:t>
  </x:si>
  <x:si>
    <x:t xml:space="preserve"> Overwhelmed by the maze of expectations, a minotaur of pressure lurking in the labyrinth, waiting to devour the spirit of resilience. </x:t>
  </x:si>
  <x:si>
    <x:t xml:space="preserve">2020-02-22 15:20:00</x:t>
  </x:si>
  <x:si>
    <x:t xml:space="preserve"> MazeExplorer </x:t>
  </x:si>
  <x:si>
    <x:t xml:space="preserve"> #Overwhelmed #MinotaurOfPressure </x:t>
  </x:si>
  <x:si>
    <x:t xml:space="preserve"> Jealousy, a festering wound, the pain intensifying with each glance at the garden of others' achievements, blooming beyond the fence. </x:t>
  </x:si>
  <x:si>
    <x:t xml:space="preserve">2018-03-17 14:45:00</x:t>
  </x:si>
  <x:si>
    <x:t xml:space="preserve"> WoundedGarden </x:t>
  </x:si>
  <x:si>
    <x:t xml:space="preserve"> #Jealous #BloomingAchievements </x:t>
  </x:si>
  <x:si>
    <x:t xml:space="preserve"> Devastated, a heart in ruins, the echoes of shattered dreams reverberating in the chambers, a requiem for what once was whole. </x:t>
  </x:si>
  <x:si>
    <x:t xml:space="preserve">2022-10-28 11:15:00</x:t>
  </x:si>
  <x:si>
    <x:t xml:space="preserve"> RuinedHeart </x:t>
  </x:si>
  <x:si>
    <x:t xml:space="preserve"> #Devastated #EchoesOfShatteredDreams </x:t>
  </x:si>
  <x:si>
    <x:t xml:space="preserve"> Frustrated attempts to untangle the knot of confusion, the threads of understanding slipping further into the labyrinth of miscommunication. </x:t>
  </x:si>
  <x:si>
    <x:t xml:space="preserve">2020-11-01 12:30:00</x:t>
  </x:si>
  <x:si>
    <x:t xml:space="preserve"> KnotUntangler </x:t>
  </x:si>
  <x:si>
    <x:t xml:space="preserve"> #Frustrated #LabyrinthOfMiscommunication </x:t>
  </x:si>
  <x:si>
    <x:t xml:space="preserve"> Envious eyes locked on the treasure chest of opportunities, a heartache fueled by the desire for keys that seem forever elusive. </x:t>
  </x:si>
  <x:si>
    <x:t xml:space="preserve">2021-01-15 22:10:00</x:t>
  </x:si>
  <x:si>
    <x:t xml:space="preserve"> ElusiveKeys </x:t>
  </x:si>
  <x:si>
    <x:t xml:space="preserve"> #Envious #DesireForKeys </x:t>
  </x:si>
  <x:si>
    <x:t xml:space="preserve">2018-08-18 14:00:00</x:t>
  </x:si>
  <x:si>
    <x:t xml:space="preserve">Awe-struck by the breathtaking sunrise over the mountains.      </x:t>
  </x:si>
  <x:si>
    <x:t xml:space="preserve"> Awe           </x:t>
  </x:si>
  <x:si>
    <x:t xml:space="preserve">2022-04-03 06:15:00</x:t>
  </x:si>
  <x:si>
    <x:t xml:space="preserve"> NatureAdmirer  </x:t>
  </x:si>
  <x:si>
    <x:t xml:space="preserve"> #Awe #BreathtakingSunrise                   </x:t>
  </x:si>
  <x:si>
    <x:t xml:space="preserve"> USA               </x:t>
  </x:si>
  <x:si>
    <x:t xml:space="preserve">Navigating through the challenges with determination.          </x:t>
  </x:si>
  <x:si>
    <x:t xml:space="preserve"> Determination </x:t>
  </x:si>
  <x:si>
    <x:t xml:space="preserve">2023-10-12 10:30:00</x:t>
  </x:si>
  <x:si>
    <x:t xml:space="preserve"> GoalPursuer    </x:t>
  </x:si>
  <x:si>
    <x:t xml:space="preserve"> #Determination #Challenges                  </x:t>
  </x:si>
  <x:si>
    <x:t xml:space="preserve"> Canada            </x:t>
  </x:si>
  <x:si>
    <x:t xml:space="preserve">Nostalgia hits while flipping through an old photo album.     </x:t>
  </x:si>
  <x:si>
    <x:t xml:space="preserve"> Nostalgia      </x:t>
  </x:si>
  <x:si>
    <x:t xml:space="preserve">2019-06-28 19:00:00</x:t>
  </x:si>
  <x:si>
    <x:t xml:space="preserve"> MemoryLane     </x:t>
  </x:si>
  <x:si>
    <x:t xml:space="preserve"> #Nostalgia #OldMemories                     </x:t>
  </x:si>
  <x:si>
    <x:t xml:space="preserve"> UK                </x:t>
  </x:si>
  <x:si>
    <x:t xml:space="preserve">Thrilled to witness the grandeur of a cultural festival.       </x:t>
  </x:si>
  <x:si>
    <x:t xml:space="preserve"> Thrill        </x:t>
  </x:si>
  <x:si>
    <x:t xml:space="preserve">2020-09-15 14:45:00</x:t>
  </x:si>
  <x:si>
    <x:t xml:space="preserve"> CultureEnthusiast </x:t>
  </x:si>
  <x:si>
    <x:t xml:space="preserve"> #Thrill #CulturalCelebration              </x:t>
  </x:si>
  <x:si>
    <x:t xml:space="preserve"> India              </x:t>
  </x:si>
  <x:si>
    <x:t xml:space="preserve">Calmness found in the rhythm of raindrops on the windowpane.   </x:t>
  </x:si>
  <x:si>
    <x:t xml:space="preserve"> Calmness      </x:t>
  </x:si>
  <x:si>
    <x:t xml:space="preserve">2017-11-08 21:20:00</x:t>
  </x:si>
  <x:si>
    <x:t xml:space="preserve"> RainWatcher    </x:t>
  </x:si>
  <x:si>
    <x:t xml:space="preserve"> #Calmness #RainyDays                        </x:t>
  </x:si>
  <x:si>
    <x:t xml:space="preserve"> Australia          </x:t>
  </x:si>
  <x:si>
    <x:t xml:space="preserve">Overwhelmed by the support received during a personal challenge.</x:t>
  </x:si>
  <x:si>
    <x:t xml:space="preserve"> Overwhelmed   </x:t>
  </x:si>
  <x:si>
    <x:t xml:space="preserve">2021-05-20 17:30:00</x:t>
  </x:si>
  <x:si>
    <x:t xml:space="preserve"> PersonalJourney </x:t>
  </x:si>
  <x:si>
    <x:t xml:space="preserve"> #Overwhelmed #SupportiveCommunity          </x:t>
  </x:si>
  <x:si>
    <x:t xml:space="preserve">Excitement builds as the countdown to a long-awaited vacation begins. </x:t>
  </x:si>
  <x:si>
    <x:t xml:space="preserve">2023-01-10 12:00:00</x:t>
  </x:si>
  <x:si>
    <x:t xml:space="preserve"> #Excitement #VacationCountdown        </x:t>
  </x:si>
  <x:si>
    <x:t xml:space="preserve"> France            </x:t>
  </x:si>
  <x:si>
    <x:t xml:space="preserve">Reflecting on life's journey, grateful for the lessons learned. </x:t>
  </x:si>
  <x:si>
    <x:t xml:space="preserve"> Gratitude   </x:t>
  </x:si>
  <x:si>
    <x:t xml:space="preserve">2018-12-05 08:45:00</x:t>
  </x:si>
  <x:si>
    <x:t xml:space="preserve"> LifeLearner   </x:t>
  </x:si>
  <x:si>
    <x:t xml:space="preserve"> #Gratitude #LifeLessons                    </x:t>
  </x:si>
  <x:si>
    <x:t xml:space="preserve"> Brazil            </x:t>
  </x:si>
  <x:si>
    <x:t xml:space="preserve">Bittersweet emotions arise while bidding farewell to a dear friend. </x:t>
  </x:si>
  <x:si>
    <x:t xml:space="preserve"> Bittersweet </x:t>
  </x:si>
  <x:si>
    <x:t xml:space="preserve">2020-03-15 18:30:00</x:t>
  </x:si>
  <x:si>
    <x:t xml:space="preserve"> FarewellSender </x:t>
  </x:si>
  <x:si>
    <x:t xml:space="preserve"> #Bittersweet #Farewell                     </x:t>
  </x:si>
  <x:si>
    <x:t xml:space="preserve"> Japan             </x:t>
  </x:si>
  <x:si>
    <x:t xml:space="preserve">Curiosity sparked by exploring a mysterious ancient ruin.      </x:t>
  </x:si>
  <x:si>
    <x:t xml:space="preserve"> Curiosity     </x:t>
  </x:si>
  <x:si>
    <x:t xml:space="preserve">2016-08-22 15:10:00</x:t>
  </x:si>
  <x:si>
    <x:t xml:space="preserve"> HistoryExplorer </x:t>
  </x:si>
  <x:si>
    <x:t xml:space="preserve"> #Curiosity #AncientDiscovery          </x:t>
  </x:si>
  <x:si>
    <x:t xml:space="preserve"> Greece            </x:t>
  </x:si>
  <x:si>
    <x:t xml:space="preserve">Admiration for the intricate details of a handcrafted masterpiece. </x:t>
  </x:si>
  <x:si>
    <x:t xml:space="preserve"> Admiration    </x:t>
  </x:si>
  <x:si>
    <x:t xml:space="preserve">2019-08-20 16:00:00</x:t>
  </x:si>
  <x:si>
    <x:t xml:space="preserve"> CraftEnthusiast </x:t>
  </x:si>
  <x:si>
    <x:t xml:space="preserve"> #Admiration #HandcraftedArt               </x:t>
  </x:si>
  <x:si>
    <x:t xml:space="preserve">Overjoyed by the warmth of a cozy fireplace on a winter evening.   </x:t>
  </x:si>
  <x:si>
    <x:t xml:space="preserve"> Overjoyed     </x:t>
  </x:si>
  <x:si>
    <x:t xml:space="preserve">2021-12-08 19:30:00</x:t>
  </x:si>
  <x:si>
    <x:t xml:space="preserve"> WinterLover     </x:t>
  </x:si>
  <x:si>
    <x:t xml:space="preserve"> #Overjoyed #WinterWarmth                  </x:t>
  </x:si>
  <x:si>
    <x:t xml:space="preserve">Inspiration strikes while observing the colors of a vibrant sunset.</x:t>
  </x:si>
  <x:si>
    <x:t xml:space="preserve"> Inspiration   </x:t>
  </x:si>
  <x:si>
    <x:t xml:space="preserve">2020-06-10 20:45:00</x:t>
  </x:si>
  <x:si>
    <x:t xml:space="preserve"> SunsetWatcher   </x:t>
  </x:si>
  <x:si>
    <x:t xml:space="preserve"> #Inspiration #ColorfulSunset             </x:t>
  </x:si>
  <x:si>
    <x:t xml:space="preserve">Motivated to achieve fitness goals after an invigorating workout.  </x:t>
  </x:si>
  <x:si>
    <x:t xml:space="preserve"> Motivation    </x:t>
  </x:si>
  <x:si>
    <x:t xml:space="preserve">2022-02-28 07:15:00</x:t>
  </x:si>
  <x:si>
    <x:t xml:space="preserve"> FitnessJunkie   </x:t>
  </x:si>
  <x:si>
    <x:t xml:space="preserve"> #Motivation #FitnessGoals                 </x:t>
  </x:si>
  <x:si>
    <x:t xml:space="preserve">Gratitude for the simple joys found in a cup of morning coffee.    </x:t>
  </x:si>
  <x:si>
    <x:t xml:space="preserve">2017-04-15 08:00:00</x:t>
  </x:si>
  <x:si>
    <x:t xml:space="preserve"> CoffeeLover     </x:t>
  </x:si>
  <x:si>
    <x:t xml:space="preserve"> #Gratitude #MorningCoffee                 </x:t>
  </x:si>
  <x:si>
    <x:t xml:space="preserve"> India             </x:t>
  </x:si>
  <x:si>
    <x:t xml:space="preserve">Feeling empowered after conquering a challenging hiking trail.     </x:t>
  </x:si>
  <x:si>
    <x:t xml:space="preserve">2018-09-05 14:20:00</x:t>
  </x:si>
  <x:si>
    <x:t xml:space="preserve"> HikingExplorer  </x:t>
  </x:si>
  <x:si>
    <x:t xml:space="preserve"> #Empowerment #HikingAdventure             </x:t>
  </x:si>
  <x:si>
    <x:t xml:space="preserve">Amused by the antics of playful kittens during playtime.           </x:t>
  </x:si>
  <x:si>
    <x:t xml:space="preserve"> Amusement     </x:t>
  </x:si>
  <x:si>
    <x:t xml:space="preserve">2022-10-22 12:45:00</x:t>
  </x:si>
  <x:si>
    <x:t xml:space="preserve"> KittyObserver   </x:t>
  </x:si>
  <x:si>
    <x:t xml:space="preserve"> #Amusement #PlayfulKittens               </x:t>
  </x:si>
  <x:si>
    <x:t xml:space="preserve">Contemplating life's mysteries under the starry night sky.         </x:t>
  </x:si>
  <x:si>
    <x:t xml:space="preserve"> Contemplation </x:t>
  </x:si>
  <x:si>
    <x:t xml:space="preserve">2016-07-02 23:30:00</x:t>
  </x:si>
  <x:si>
    <x:t xml:space="preserve"> #Contemplation #StarryNight               </x:t>
  </x:si>
  <x:si>
    <x:t xml:space="preserve">Joyful reunion with long-lost friends after years of separation.   </x:t>
  </x:si>
  <x:si>
    <x:t xml:space="preserve"> JoyfulReunion </x:t>
  </x:si>
  <x:si>
    <x:t xml:space="preserve">2020-11-18 17:10:00</x:t>
  </x:si>
  <x:si>
    <x:t xml:space="preserve"> FriendshipRenewal </x:t>
  </x:si>
  <x:si>
    <x:t xml:space="preserve"> #JoyfulReunion #Friendship               </x:t>
  </x:si>
  <x:si>
    <x:t xml:space="preserve">Excitement builds while preparing for a surprise celebration.     </x:t>
  </x:si>
  <x:si>
    <x:t xml:space="preserve"> Excitement    </x:t>
  </x:si>
  <x:si>
    <x:t xml:space="preserve">2023-03-05 15:00:00</x:t>
  </x:si>
  <x:si>
    <x:t xml:space="preserve"> CelebrationPlanner </x:t>
  </x:si>
  <x:si>
    <x:t xml:space="preserve"> #Excitement #SurpriseCelebration         </x:t>
  </x:si>
  <x:si>
    <x:t xml:space="preserve">Satisfaction derived from successfully completing a DIY project.  </x:t>
  </x:si>
  <x:si>
    <x:t xml:space="preserve"> Satisfaction  </x:t>
  </x:si>
  <x:si>
    <x:t xml:space="preserve">2015-12-01 11:30:00</x:t>
  </x:si>
  <x:si>
    <x:t xml:space="preserve"> #Satisfaction #DIYProject                 </x:t>
  </x:si>
  <x:si>
    <x:t xml:space="preserve">Feeling blessed for the supportive community in times of need.    </x:t>
  </x:si>
  <x:si>
    <x:t xml:space="preserve"> Blessed       </x:t>
  </x:si>
  <x:si>
    <x:t xml:space="preserve">2021-09-10 09:45:00</x:t>
  </x:si>
  <x:si>
    <x:t xml:space="preserve"> CommunityHelper </x:t>
  </x:si>
  <x:si>
    <x:t xml:space="preserve"> #Blessed #SupportiveCommunity            </x:t>
  </x:si>
  <x:si>
    <x:t xml:space="preserve">Captivated by the serenity of a tranquil garden in full bloom.     </x:t>
  </x:si>
  <x:si>
    <x:t xml:space="preserve">2018-05-12 14:20:00</x:t>
  </x:si>
  <x:si>
    <x:t xml:space="preserve"> GardenEnthusiast </x:t>
  </x:si>
  <x:si>
    <x:t xml:space="preserve"> #Serenity #TranquilGarden                </x:t>
  </x:si>
  <x:si>
    <x:t xml:space="preserve">Anticipation for an upcoming adventure in an exotic destination.   </x:t>
  </x:si>
  <x:si>
    <x:t xml:space="preserve"> Anticipation  </x:t>
  </x:si>
  <x:si>
    <x:t xml:space="preserve">2022-07-25 10:00:00</x:t>
  </x:si>
  <x:si>
    <x:t xml:space="preserve"> Wanderlust      </x:t>
  </x:si>
  <x:si>
    <x:t xml:space="preserve"> #Anticipation #AdventureAwaits           </x:t>
  </x:si>
  <x:si>
    <x:t xml:space="preserve">Reflecting on personal growth achieved through life experiences.  </x:t>
  </x:si>
  <x:si>
    <x:t xml:space="preserve"> Reflection    </x:t>
  </x:si>
  <x:si>
    <x:t xml:space="preserve">2019-03-08 18:30:00</x:t>
  </x:si>
  <x:si>
    <x:t xml:space="preserve"> #Reflection #PersonalGrowth              </x:t>
  </x:si>
  <x:si>
    <x:t xml:space="preserve">Nostalgic memories flood in while revisiting childhood favorites. </x:t>
  </x:si>
  <x:si>
    <x:t xml:space="preserve"> Nostalgia     </x:t>
  </x:si>
  <x:si>
    <x:t xml:space="preserve">2017-01-28 21:15:00</x:t>
  </x:si>
  <x:si>
    <x:t xml:space="preserve"> ChildhoodMemories </x:t>
  </x:si>
  <x:si>
    <x:t xml:space="preserve"> #Nostalgia #ChildhoodFavorites           </x:t>
  </x:si>
  <x:si>
    <x:t xml:space="preserve">Appreciation for the vibrant culture experienced during travel.   </x:t>
  </x:si>
  <x:si>
    <x:t xml:space="preserve"> Appreciation  </x:t>
  </x:si>
  <x:si>
    <x:t xml:space="preserve">2016-11-14 13:45:00</x:t>
  </x:si>
  <x:si>
    <x:t xml:space="preserve"> CultureExplorer </x:t>
  </x:si>
  <x:si>
    <x:t xml:space="preserve"> #Appreciation #CulturalExperience        </x:t>
  </x:si>
  <x:si>
    <x:t xml:space="preserve">Confidence soars after overcoming public speaking anxiety.       </x:t>
  </x:si>
  <x:si>
    <x:t xml:space="preserve"> Confidence    </x:t>
  </x:si>
  <x:si>
    <x:t xml:space="preserve">2020-04-02 17:30:00</x:t>
  </x:si>
  <x:si>
    <x:t xml:space="preserve"> PublicSpeaker   </x:t>
  </x:si>
  <x:si>
    <x:t xml:space="preserve"> #Confidence #OvercomingAnxiety          </x:t>
  </x:si>
  <x:si>
    <x:t xml:space="preserve">Contentment in the midst of a family gathering filled with laughter. </x:t>
  </x:si>
  <x:si>
    <x:t xml:space="preserve">2023-01-15 19:00:00</x:t>
  </x:si>
  <x:si>
    <x:t xml:space="preserve"> FamilyCelebration </x:t>
  </x:si>
  <x:si>
    <x:t xml:space="preserve"> #Contentment #FamilyLaughter             </x:t>
  </x:si>
  <x:si>
    <x:t xml:space="preserve">Enthusiasm for learning new skills and expanding knowledge.      </x:t>
  </x:si>
  <x:si>
    <x:t xml:space="preserve">2018-08-07 12:15:00</x:t>
  </x:si>
  <x:si>
    <x:t xml:space="preserve"> LifelongLearner </x:t>
  </x:si>
  <x:si>
    <x:t xml:space="preserve"> #Enthusiasm #SkillBuilding               </x:t>
  </x:si>
  <x:si>
    <x:t xml:space="preserve">Surprise and delight at discovering a hidden gem in the city.    </x:t>
  </x:si>
  <x:si>
    <x:t xml:space="preserve"> Surprise      </x:t>
  </x:si>
  <x:si>
    <x:t xml:space="preserve">2019-10-18 16:45:00</x:t>
  </x:si>
  <x:si>
    <x:t xml:space="preserve"> CityExplorer    </x:t>
  </x:si>
  <x:si>
    <x:t xml:space="preserve"> #Surprise #HiddenGem                      </x:t>
  </x:si>
  <x:si>
    <x:t xml:space="preserve">A sense of accomplishment after completing a challenging workout.</x:t>
  </x:si>
  <x:si>
    <x:t xml:space="preserve"> Accomplishment </x:t>
  </x:si>
  <x:si>
    <x:t xml:space="preserve">2022-06-30 07:00:00</x:t>
  </x:si>
  <x:si>
    <x:t xml:space="preserve"> #Accomplishment #FitnessSuccess         </x:t>
  </x:si>
  <x:si>
    <x:t xml:space="preserve">Wonderment at the beauty of a double rainbow after the rain.     </x:t>
  </x:si>
  <x:si>
    <x:t xml:space="preserve"> Wonderment    </x:t>
  </x:si>
  <x:si>
    <x:t xml:space="preserve">2017-06-12 18:20:00</x:t>
  </x:si>
  <x:si>
    <x:t xml:space="preserve"> RainbowChaser   </x:t>
  </x:si>
  <x:si>
    <x:t xml:space="preserve"> #Wonderment #DoubleRainbow               </x:t>
  </x:si>
  <x:si>
    <x:t xml:space="preserve">Optimism for a bright future amidst challenging times.           </x:t>
  </x:si>
  <x:si>
    <x:t xml:space="preserve"> Optimism      </x:t>
  </x:si>
  <x:si>
    <x:t xml:space="preserve">2021-07-05 09:30:00</x:t>
  </x:si>
  <x:si>
    <x:t xml:space="preserve"> FutureOptimist  </x:t>
  </x:si>
  <x:si>
    <x:t xml:space="preserve"> #Optimism #BrightFuture                  </x:t>
  </x:si>
  <x:si>
    <x:t xml:space="preserve">Pride in achieving a personal milestone in career progression.   </x:t>
  </x:si>
  <x:si>
    <x:t xml:space="preserve"> Pride         </x:t>
  </x:si>
  <x:si>
    <x:t xml:space="preserve">2016-04-15 14:50:00</x:t>
  </x:si>
  <x:si>
    <x:t xml:space="preserve"> CareerAchiever  </x:t>
  </x:si>
  <x:si>
    <x:t xml:space="preserve"> #Pride #CareerMilestone                  </x:t>
  </x:si>
  <x:si>
    <x:t xml:space="preserve">Happiness blooms like flowers in a garden on a sunny day.        </x:t>
  </x:si>
  <x:si>
    <x:t xml:space="preserve"> Happiness     </x:t>
  </x:si>
  <x:si>
    <x:t xml:space="preserve">2020-02-10 11:15:00</x:t>
  </x:si>
  <x:si>
    <x:t xml:space="preserve"> SunnyDayEnthusiast </x:t>
  </x:si>
  <x:si>
    <x:t xml:space="preserve"> #Happiness #SunnyDay                      </x:t>
  </x:si>
  <x:si>
    <x:t xml:space="preserve">Elation over discovering a rare book in a quaint bookstore.      </x:t>
  </x:si>
  <x:si>
    <x:t xml:space="preserve">2018-09-22 16:30:00</x:t>
  </x:si>
  <x:si>
    <x:t xml:space="preserve"> Bookworm        </x:t>
  </x:si>
  <x:si>
    <x:t xml:space="preserve"> #Elation #RareBookDiscovery              </x:t>
  </x:si>
  <x:si>
    <x:t xml:space="preserve">Curiosity piqued by the mysteries of an ancient archaeological site.</x:t>
  </x:si>
  <x:si>
    <x:t xml:space="preserve"> Curiosity   </x:t>
  </x:si>
  <x:si>
    <x:t xml:space="preserve">2015-11-08 10:00:00</x:t>
  </x:si>
  <x:si>
    <x:t xml:space="preserve"> ArchaeologyEnthusiast </x:t>
  </x:si>
  <x:si>
    <x:t xml:space="preserve"> #Curiosity #AncientMysteries            </x:t>
  </x:si>
  <x:si>
    <x:t xml:space="preserve">Mesmerized by the cosmic dance of fireflies on a moonlit night.    </x:t>
  </x:si>
  <x:si>
    <x:t xml:space="preserve"> Enchantment   </x:t>
  </x:si>
  <x:si>
    <x:t xml:space="preserve">2022-08-10 22:00:00</x:t>
  </x:si>
  <x:si>
    <x:t xml:space="preserve"> NightSkyObserver </x:t>
  </x:si>
  <x:si>
    <x:t xml:space="preserve"> #Enchantment #CosmicFireflies             </x:t>
  </x:si>
  <x:si>
    <x:t xml:space="preserve"> Brazil           </x:t>
  </x:si>
  <x:si>
    <x:t xml:space="preserve">Intrigued by the symphony of colors in an abstract art exhibition. </x:t>
  </x:si>
  <x:si>
    <x:t xml:space="preserve"> Intrigue      </x:t>
  </x:si>
  <x:si>
    <x:t xml:space="preserve">2019-04-05 17:30:00</x:t>
  </x:si>
  <x:si>
    <x:t xml:space="preserve"> ArtConnoisseur  </x:t>
  </x:si>
  <x:si>
    <x:t xml:space="preserve"> #Intrigue #AbstractArt                   </x:t>
  </x:si>
  <x:si>
    <x:t xml:space="preserve"> France           </x:t>
  </x:si>
  <x:si>
    <x:t xml:space="preserve">Giggles and joy echo in the air during a children's playdate.      </x:t>
  </x:si>
  <x:si>
    <x:t xml:space="preserve"> PlayfulJoy    </x:t>
  </x:si>
  <x:si>
    <x:t xml:space="preserve">2020-12-15 15:45:00</x:t>
  </x:si>
  <x:si>
    <x:t xml:space="preserve"> PlayfulParent   </x:t>
  </x:si>
  <x:si>
    <x:t xml:space="preserve"> #PlayfulJoy #ChildrensPlaydate           </x:t>
  </x:si>
  <x:si>
    <x:t xml:space="preserve"> Japan            </x:t>
  </x:si>
  <x:si>
    <x:t xml:space="preserve">Enveloped in serenity while practicing mindfulness by the lake.    </x:t>
  </x:si>
  <x:si>
    <x:t xml:space="preserve"> Mindfulness   </x:t>
  </x:si>
  <x:si>
    <x:t xml:space="preserve">2017-10-20 08:15:00</x:t>
  </x:si>
  <x:si>
    <x:t xml:space="preserve"> ZenSeeker       </x:t>
  </x:si>
  <x:si>
    <x:t xml:space="preserve"> #Mindfulness #LakeTranquility            </x:t>
  </x:si>
  <x:si>
    <x:t xml:space="preserve"> Canada           </x:t>
  </x:si>
  <x:si>
    <x:t xml:space="preserve">Chasing dreams like a kite soaring high in the vast open sky.      </x:t>
  </x:si>
  <x:si>
    <x:t xml:space="preserve"> DreamChaser   </x:t>
  </x:si>
  <x:si>
    <x:t xml:space="preserve">2021-02-28 13:00:00</x:t>
  </x:si>
  <x:si>
    <x:t xml:space="preserve"> SkyDreamer      </x:t>
  </x:si>
  <x:si>
    <x:t xml:space="preserve"> #DreamChaser #SkyHighDreams              </x:t>
  </x:si>
  <x:si>
    <x:t xml:space="preserve"> Australia         </x:t>
  </x:si>
  <x:si>
    <x:t xml:space="preserve">Spellbound by the elegance of a ballroom dance under crystal chandeliers. </x:t>
  </x:si>
  <x:si>
    <x:t xml:space="preserve"> Elegance </x:t>
  </x:si>
  <x:si>
    <x:t xml:space="preserve">2018-06-12 20:30:00</x:t>
  </x:si>
  <x:si>
    <x:t xml:space="preserve"> DanceEnthusiast </x:t>
  </x:si>
  <x:si>
    <x:t xml:space="preserve"> #Elegance #BallroomDance                </x:t>
  </x:si>
  <x:si>
    <x:t xml:space="preserve"> UK               </x:t>
  </x:si>
  <x:si>
    <x:t xml:space="preserve">Whimsical delight in a world of fairy tales and magical creatures.  </x:t>
  </x:si>
  <x:si>
    <x:t xml:space="preserve"> Whimsy        </x:t>
  </x:si>
  <x:si>
    <x:t xml:space="preserve">2016-03-08 14:20:00</x:t>
  </x:si>
  <x:si>
    <x:t xml:space="preserve"> FairyTaleExplorer </x:t>
  </x:si>
  <x:si>
    <x:t xml:space="preserve"> #Whimsy #MagicalWorld                    </x:t>
  </x:si>
  <x:si>
    <x:t xml:space="preserve"> USA             </x:t>
  </x:si>
  <x:si>
    <x:t xml:space="preserve">Pensive contemplation amid the ancient ruins of a forgotten civilization. </x:t>
  </x:si>
  <x:si>
    <x:t xml:space="preserve"> Pensive </x:t>
  </x:si>
  <x:si>
    <x:t xml:space="preserve">2023-04-18 17:10:00</x:t>
  </x:si>
  <x:si>
    <x:t xml:space="preserve"> RuinsExplorer   </x:t>
  </x:si>
  <x:si>
    <x:t xml:space="preserve"> #Pensive #AncientCivilization           </x:t>
  </x:si>
  <x:si>
    <x:t xml:space="preserve"> Greece           </x:t>
  </x:si>
  <x:si>
    <x:t xml:space="preserve">Embracing the thrill of speed on a rollercoaster's exhilarating twists. </x:t>
  </x:si>
  <x:si>
    <x:t xml:space="preserve"> Thrill      </x:t>
  </x:si>
  <x:si>
    <x:t xml:space="preserve">2020-07-25 12:45:00</x:t>
  </x:si>
  <x:si>
    <x:t xml:space="preserve"> RollercoasterFan </x:t>
  </x:si>
  <x:si>
    <x:t xml:space="preserve"> #Thrill #RollercoasterAdventure        </x:t>
  </x:si>
  <x:si>
    <x:t xml:space="preserve"> Germany         </x:t>
  </x:si>
  <x:si>
    <x:t xml:space="preserve">Harmony resonates as musicians play a melody of unity and togetherness. </x:t>
  </x:si>
  <x:si>
    <x:t xml:space="preserve"> Harmony    </x:t>
  </x:si>
  <x:si>
    <x:t xml:space="preserve">2019-11-30 19:30:00</x:t>
  </x:si>
  <x:si>
    <x:t xml:space="preserve"> MusicHarmonist  </x:t>
  </x:si>
  <x:si>
    <x:t xml:space="preserve"> #Harmony #MusicalUnity                   </x:t>
  </x:si>
  <x:si>
    <x:t xml:space="preserve"> Sweden          </x:t>
  </x:si>
  <x:si>
    <x:t xml:space="preserve">A burst of creativity in the quiet solitude of an artist's studio.  </x:t>
  </x:si>
  <x:si>
    <x:t xml:space="preserve"> Creativity   </x:t>
  </x:si>
  <x:si>
    <x:t xml:space="preserve">2015-09-01 16:00:00</x:t>
  </x:si>
  <x:si>
    <x:t xml:space="preserve"> StudioArtist    </x:t>
  </x:si>
  <x:si>
    <x:t xml:space="preserve"> #Creativity #ArtistsHaven               </x:t>
  </x:si>
  <x:si>
    <x:t xml:space="preserve"> Italy           </x:t>
  </x:si>
  <x:si>
    <x:t xml:space="preserve">Radiant joy akin to blooming flowers on a sun-kissed spring morning. </x:t>
  </x:si>
  <x:si>
    <x:t xml:space="preserve"> Radiance    </x:t>
  </x:si>
  <x:si>
    <x:t xml:space="preserve">2022-05-05 10:15:00</x:t>
  </x:si>
  <x:si>
    <x:t xml:space="preserve"> SpringEnthusiast </x:t>
  </x:si>
  <x:si>
    <x:t xml:space="preserve"> #Radiance #SpringBlooms                 </x:t>
  </x:si>
  <x:si>
    <x:t xml:space="preserve"> Netherlands     </x:t>
  </x:si>
  <x:si>
    <x:t xml:space="preserve">A sense of wonder at the vastness of the cosmos on a stargazing night. </x:t>
  </x:si>
  <x:si>
    <x:t xml:space="preserve"> Wonder     </x:t>
  </x:si>
  <x:si>
    <x:t xml:space="preserve">2018-07-08 23:00:00</x:t>
  </x:si>
  <x:si>
    <x:t xml:space="preserve"> CosmosExplorer  </x:t>
  </x:si>
  <x:si>
    <x:t xml:space="preserve"> #Wonder #StargazingAdventure            </x:t>
  </x:si>
  <x:si>
    <x:t xml:space="preserve"> South Africa    </x:t>
  </x:si>
  <x:si>
    <x:t xml:space="preserve">Rejuvenated by the salty breeze and the sound of waves at the seaside. </x:t>
  </x:si>
  <x:si>
    <x:t xml:space="preserve"> Rejuvenation </x:t>
  </x:si>
  <x:si>
    <x:t xml:space="preserve">2021-09-20 14:30:00</x:t>
  </x:si>
  <x:si>
    <x:t xml:space="preserve"> SeaBreezeLover </x:t>
  </x:si>
  <x:si>
    <x:t xml:space="preserve"> #Rejuvenation #SeasideEscape            </x:t>
  </x:si>
  <x:si>
    <x:t xml:space="preserve"> Spain           </x:t>
  </x:si>
  <x:si>
    <x:t xml:space="preserve">Whispers of inspiration from the rustling leaves in a serene forest. </x:t>
  </x:si>
  <x:si>
    <x:t xml:space="preserve"> Inspiration </x:t>
  </x:si>
  <x:si>
    <x:t xml:space="preserve">2016-11-15 11:45:00</x:t>
  </x:si>
  <x:si>
    <x:t xml:space="preserve"> ForestDreamer   </x:t>
  </x:si>
  <x:si>
    <x:t xml:space="preserve"> #Inspiration #ForestWhispers            </x:t>
  </x:si>
  <x:si>
    <x:t xml:space="preserve"> Portugal        </x:t>
  </x:si>
  <x:si>
    <x:t xml:space="preserve">Savoring the warmth of a cup of cocoa on a chilly winter evening.   </x:t>
  </x:si>
  <x:si>
    <x:t xml:space="preserve"> Coziness     </x:t>
  </x:si>
  <x:si>
    <x:t xml:space="preserve">2020-01-12 18:00:00</x:t>
  </x:si>
  <x:si>
    <x:t xml:space="preserve"> #Coziness #WarmWinterEvening           </x:t>
  </x:si>
  <x:si>
    <x:t xml:space="preserve"> Switzerland     </x:t>
  </x:si>
  <x:si>
    <x:t xml:space="preserve">Heartfelt gratitude for the laughter shared during a family reunion. </x:t>
  </x:si>
  <x:si>
    <x:t xml:space="preserve"> Gratitude  </x:t>
  </x:si>
  <x:si>
    <x:t xml:space="preserve">2017-12-28 19:15:00</x:t>
  </x:si>
  <x:si>
    <x:t xml:space="preserve"> FamilyGatherer </x:t>
  </x:si>
  <x:si>
    <x:t xml:space="preserve"> #Gratitude #FamilyLaughter              </x:t>
  </x:si>
  <x:si>
    <x:t xml:space="preserve"> Austria         </x:t>
  </x:si>
  <x:si>
    <x:t xml:space="preserve">Embarking on a culinary adventure, savoring exotic flavors around the world. </x:t>
  </x:si>
  <x:si>
    <x:t xml:space="preserve"> Adventure </x:t>
  </x:si>
  <x:si>
    <x:t xml:space="preserve">2019-03-02 20:20:00</x:t>
  </x:si>
  <x:si>
    <x:t xml:space="preserve"> CulinaryExplorer </x:t>
  </x:si>
  <x:si>
    <x:t xml:space="preserve"> #Adventure #CulinaryJourney             </x:t>
  </x:si>
  <x:si>
    <x:t xml:space="preserve"> Belgium         </x:t>
  </x:si>
  <x:si>
    <x:t xml:space="preserve">Euphoria floods in as the final puzzle piece clicks into place.       </x:t>
  </x:si>
  <x:si>
    <x:t xml:space="preserve"> Euphoria   </x:t>
  </x:si>
  <x:si>
    <x:t xml:space="preserve">2022-06-08 15:30:00</x:t>
  </x:si>
  <x:si>
    <x:t xml:space="preserve"> PuzzleSolver    </x:t>
  </x:si>
  <x:si>
    <x:t xml:space="preserve"> #Euphoria #PuzzleCompletion            </x:t>
  </x:si>
  <x:si>
    <x:t xml:space="preserve"> Denmark         </x:t>
  </x:si>
  <x:si>
    <x:t xml:space="preserve">Awe-inspired by the grandeur of an ancient cathedral's intricate architecture. </x:t>
  </x:si>
  <x:si>
    <x:t xml:space="preserve"> Awe    </x:t>
  </x:si>
  <x:si>
    <x:t xml:space="preserve">2018-08-18 14:45:00</x:t>
  </x:si>
  <x:si>
    <x:t xml:space="preserve"> CathedralVisitor </x:t>
  </x:si>
  <x:si>
    <x:t xml:space="preserve"> #Awe #ArchitecturalGrandeur            </x:t>
  </x:si>
  <x:si>
    <x:t xml:space="preserve"> Czech Republic  </x:t>
  </x:si>
  <x:si>
    <x:t xml:space="preserve">Captivated by the ethereal beauty of a field filled with fireflies. </x:t>
  </x:si>
  <x:si>
    <x:t xml:space="preserve"> #Enchantment #FireflyField              </x:t>
  </x:si>
  <x:si>
    <x:t xml:space="preserve">Immersed in the enchanting melodies of a street musician's violin. </x:t>
  </x:si>
  <x:si>
    <x:t xml:space="preserve"> Melodic       </x:t>
  </x:si>
  <x:si>
    <x:t xml:space="preserve"> MusicLover      </x:t>
  </x:si>
  <x:si>
    <x:t xml:space="preserve"> #Melodic #StreetMusic                   </x:t>
  </x:si>
  <x:si>
    <x:t xml:space="preserve">Joyful laughter resonates through a lively summer carnival.         </x:t>
  </x:si>
  <x:si>
    <x:t xml:space="preserve"> FestiveJoy    </x:t>
  </x:si>
  <x:si>
    <x:t xml:space="preserve"> CarnivalGoer    </x:t>
  </x:si>
  <x:si>
    <x:t xml:space="preserve"> #FestiveJoy #SummerCarnival             </x:t>
  </x:si>
  <x:si>
    <x:t xml:space="preserve">Exploring the universe within during a mindful meditation session. </x:t>
  </x:si>
  <x:si>
    <x:t xml:space="preserve"> InnerJourney  </x:t>
  </x:si>
  <x:si>
    <x:t xml:space="preserve"> MindfulExplorer </x:t>
  </x:si>
  <x:si>
    <x:t xml:space="preserve"> #InnerJourney #MeditationBliss          </x:t>
  </x:si>
  <x:si>
    <x:t xml:space="preserve">Soaring like a free spirit on the winds of a coastal cliff.        </x:t>
  </x:si>
  <x:si>
    <x:t xml:space="preserve"> Freedom       </x:t>
  </x:si>
  <x:si>
    <x:t xml:space="preserve"> CoastalExplorer </x:t>
  </x:si>
  <x:si>
    <x:t xml:space="preserve"> #Freedom #CoastalAdventure              </x:t>
  </x:si>
  <x:si>
    <x:t xml:space="preserve">Dazzled by the elegance of a masquerade ball's dazzling costumes. </x:t>
  </x:si>
  <x:si>
    <x:t xml:space="preserve"> Dazzle        </x:t>
  </x:si>
  <x:si>
    <x:t xml:space="preserve"> MasqueradeAttendee </x:t>
  </x:si>
  <x:si>
    <x:t xml:space="preserve"> #Dazzle #MasqueradeElegance            </x:t>
  </x:si>
  <x:si>
    <x:t xml:space="preserve">Whimsical delight in a world of whimsical fairy tales.             </x:t>
  </x:si>
  <x:si>
    <x:t xml:space="preserve"> FairyTaleAdventurer </x:t>
  </x:si>
  <x:si>
    <x:t xml:space="preserve"> #Whimsy #FairyTaleMagic                 </x:t>
  </x:si>
  <x:si>
    <x:t xml:space="preserve">Reflective contemplation amid the ruins of a forgotten era.        </x:t>
  </x:si>
  <x:si>
    <x:t xml:space="preserve"> #Reflection #ForgottenEra               </x:t>
  </x:si>
  <x:si>
    <x:t xml:space="preserve">Riding the adrenaline rush on a rollercoaster's wild twists.      </x:t>
  </x:si>
  <x:si>
    <x:t xml:space="preserve"> Adrenaline     </x:t>
  </x:si>
  <x:si>
    <x:t xml:space="preserve"> ThrillSeeker    </x:t>
  </x:si>
  <x:si>
    <x:t xml:space="preserve"> #Adrenaline #RollercoasterThrills      </x:t>
  </x:si>
  <x:si>
    <x:t xml:space="preserve">Harmony resonates as musicians play a symphony of unity.           </x:t>
  </x:si>
  <x:si>
    <x:t xml:space="preserve"> Harmony       </x:t>
  </x:si>
  <x:si>
    <x:t xml:space="preserve">A burst of artistic creativity in the quietude of an artist's studio. </x:t>
  </x:si>
  <x:si>
    <x:t xml:space="preserve"> ArtisticBurst </x:t>
  </x:si>
  <x:si>
    <x:t xml:space="preserve"> #ArtisticBurst #StudioCreativity       </x:t>
  </x:si>
  <x:si>
    <x:t xml:space="preserve">Radiant joy akin to blossoming flowers on a sunlit spring morning. </x:t>
  </x:si>
  <x:si>
    <x:t xml:space="preserve"> Radiance      </x:t>
  </x:si>
  <x:si>
    <x:t xml:space="preserve">Awe-inspired by the vastness of the cosmos on a stargazing night.   </x:t>
  </x:si>
  <x:si>
    <x:t xml:space="preserve"> Wonder       </x:t>
  </x:si>
  <x:si>
    <x:t xml:space="preserve"> Inspiration  </x:t>
  </x:si>
  <x:si>
    <x:t xml:space="preserve">Embarking on a culinary odyssey, savoring flavors around the world. </x:t>
  </x:si>
  <x:si>
    <x:t xml:space="preserve"> CulinaryOdyssey </x:t>
  </x:si>
  <x:si>
    <x:t xml:space="preserve"> #CulinaryOdyssey #FlavorsAroundTheWorld </x:t>
  </x:si>
  <x:si>
    <x:t xml:space="preserve">Euphoria floods in as the final puzzle piece fits perfectly.       </x:t>
  </x:si>
  <x:si>
    <x:t xml:space="preserve"> Euphoria     </x:t>
  </x:si>
  <x:si>
    <x:t xml:space="preserve"> #Euphoria #PerfectPuzzle               </x:t>
  </x:si>
  <x:si>
    <x:t xml:space="preserve">Awe-struck by the grandeur of an ancient cathedral's intricate architecture. </x:t>
  </x:si>
  <x:si>
    <x:t xml:space="preserve">Curiosity awakened by the mysteries of an ancient archaeological site. </x:t>
  </x:si>
  <x:si>
    <x:t xml:space="preserve"> Curiosity  </x:t>
  </x:si>
  <x:si>
    <x:t xml:space="preserve"> #Curiosity #AncientMysteries          </x:t>
  </x:si>
  <x:si>
    <x:t xml:space="preserve">Giddy with excitement as the first snowflakes dance from the sky. </x:t>
  </x:si>
  <x:si>
    <x:t xml:space="preserve">2020-12-02 17:30:00</x:t>
  </x:si>
  <x:si>
    <x:t xml:space="preserve"> SnowfallEnthusiast </x:t>
  </x:si>
  <x:si>
    <x:t xml:space="preserve"> #Excitement #SnowfallMagic             </x:t>
  </x:si>
  <x:si>
    <x:t xml:space="preserve"> Canada         </x:t>
  </x:si>
  <x:si>
    <x:t xml:space="preserve">Contentment envelops as the aroma of freshly baked bread fills the air. </x:t>
  </x:si>
  <x:si>
    <x:t xml:space="preserve">2017-06-10 12:15:00</x:t>
  </x:si>
  <x:si>
    <x:t xml:space="preserve"> BreadLover     </x:t>
  </x:si>
  <x:si>
    <x:t xml:space="preserve"> #Contentment #FreshBreadAroma          </x:t>
  </x:si>
  <x:si>
    <x:t xml:space="preserve"> France          </x:t>
  </x:si>
  <x:si>
    <x:t xml:space="preserve">Inspired by the resilience of a lone tree standing tall in a storm. </x:t>
  </x:si>
  <x:si>
    <x:t xml:space="preserve"> Resilience   </x:t>
  </x:si>
  <x:si>
    <x:t xml:space="preserve">2021-04-15 14:20:00</x:t>
  </x:si>
  <x:si>
    <x:t xml:space="preserve"> NatureResilient </x:t>
  </x:si>
  <x:si>
    <x:t xml:space="preserve"> #Resilience #StandingTall              </x:t>
  </x:si>
  <x:si>
    <x:t xml:space="preserve">Lost in the pages of a captivating novel, transported to another world. </x:t>
  </x:si>
  <x:si>
    <x:t xml:space="preserve"> Immersion </x:t>
  </x:si>
  <x:si>
    <x:t xml:space="preserve">2019-09-28 19:45:00</x:t>
  </x:si>
  <x:si>
    <x:t xml:space="preserve"> Bookworm       </x:t>
  </x:si>
  <x:si>
    <x:t xml:space="preserve"> #Immersion #CaptivatingNovel           </x:t>
  </x:si>
  <x:si>
    <x:t xml:space="preserve"> UK              </x:t>
  </x:si>
  <x:si>
    <x:t xml:space="preserve">Drenched in nostalgia while flipping through an old family photo album. </x:t>
  </x:si>
  <x:si>
    <x:t xml:space="preserve"> Nostalgia </x:t>
  </x:si>
  <x:si>
    <x:t xml:space="preserve">2016-12-05 21:00:00</x:t>
  </x:si>
  <x:si>
    <x:t xml:space="preserve"> FamilyHistorian </x:t>
  </x:si>
  <x:si>
    <x:t xml:space="preserve"> #Nostalgia #FamilyPhotoAlbum           </x:t>
  </x:si>
  <x:si>
    <x:t xml:space="preserve"> India          </x:t>
  </x:si>
  <x:si>
    <x:t xml:space="preserve">Spark of inspiration ignites like a shooting star in the night sky. </x:t>
  </x:si>
  <x:si>
    <x:t xml:space="preserve"> Spark        </x:t>
  </x:si>
  <x:si>
    <x:t xml:space="preserve">2018-02-10 23:30:00</x:t>
  </x:si>
  <x:si>
    <x:t xml:space="preserve"> NightSkyWatcher </x:t>
  </x:si>
  <x:si>
    <x:t xml:space="preserve"> #Spark #InspirationIgnited             </x:t>
  </x:si>
  <x:si>
    <x:t xml:space="preserve"> Australia      </x:t>
  </x:si>
  <x:si>
    <x:t xml:space="preserve">Imbued with gratitude for the simple pleasure of a warm cup of tea. </x:t>
  </x:si>
  <x:si>
    <x:t xml:space="preserve"> Gratitude    </x:t>
  </x:si>
  <x:si>
    <x:t xml:space="preserve">2023-02-15 08:30:00</x:t>
  </x:si>
  <x:si>
    <x:t xml:space="preserve"> TeaEnthusiast  </x:t>
  </x:si>
  <x:si>
    <x:t xml:space="preserve"> #Gratitude #WarmTea                    </x:t>
  </x:si>
  <x:si>
    <x:t xml:space="preserve"> Japan           </x:t>
  </x:si>
  <x:si>
    <x:t xml:space="preserve">Marveling at the kaleidoscope of colors in a vibrant street market. </x:t>
  </x:si>
  <x:si>
    <x:t xml:space="preserve"> Marvel       </x:t>
  </x:si>
  <x:si>
    <x:t xml:space="preserve">2015-08-22 15:00:00</x:t>
  </x:si>
  <x:si>
    <x:t xml:space="preserve"> MarketExplorer </x:t>
  </x:si>
  <x:si>
    <x:t xml:space="preserve"> #Marvel #ColorfulStreetMarket          </x:t>
  </x:si>
  <x:si>
    <x:t xml:space="preserve"> Brazil          </x:t>
  </x:si>
  <x:si>
    <x:t xml:space="preserve">Awash with serenity as the sun sets over a tranquil lakeside retreat. </x:t>
  </x:si>
  <x:si>
    <x:t xml:space="preserve"> Serenity   </x:t>
  </x:si>
  <x:si>
    <x:t xml:space="preserve">2020-11-20 18:45:00</x:t>
  </x:si>
  <x:si>
    <x:t xml:space="preserve"> LakesideRetreater </x:t>
  </x:si>
  <x:si>
    <x:t xml:space="preserve"> #Serenity #TranquilSunset              </x:t>
  </x:si>
  <x:si>
    <x:t xml:space="preserve"> Germany       </x:t>
  </x:si>
  <x:si>
    <x:t xml:space="preserve">Drowning in sorrow as memories of lost love resurface.            </x:t>
  </x:si>
  <x:si>
    <x:t xml:space="preserve"> Heartbreak    </x:t>
  </x:si>
  <x:si>
    <x:t xml:space="preserve">2019-08-05 21:00:00</x:t>
  </x:si>
  <x:si>
    <x:t xml:space="preserve"> LostInLove      </x:t>
  </x:si>
  <x:si>
    <x:t xml:space="preserve"> #Heartbreak #LostLove                    </x:t>
  </x:si>
  <x:si>
    <x:t xml:space="preserve">Numbness sets in as the weight of loneliness grows heavier.       </x:t>
  </x:si>
  <x:si>
    <x:t xml:space="preserve"> Loneliness    </x:t>
  </x:si>
  <x:si>
    <x:t xml:space="preserve">2021-02-12 16:45:00</x:t>
  </x:si>
  <x:si>
    <x:t xml:space="preserve"> SolitudeSeeker </x:t>
  </x:si>
  <x:si>
    <x:t xml:space="preserve"> #Loneliness #HeavyHeart                  </x:t>
  </x:si>
  <x:si>
    <x:t xml:space="preserve">Tears fall like raindrops, mourning the end of a cherished friendship. </x:t>
  </x:si>
  <x:si>
    <x:t xml:space="preserve"> Grief      </x:t>
  </x:si>
  <x:si>
    <x:t xml:space="preserve">2020-11-28 14:20:00</x:t>
  </x:si>
  <x:si>
    <x:t xml:space="preserve"> FriendshipsEnd  </x:t>
  </x:si>
  <x:si>
    <x:t xml:space="preserve"> #Grief #LostFriendship                  </x:t>
  </x:si>
  <x:si>
    <x:t xml:space="preserve">Despair clouds the mind, feeling adrift in an endless sea of darkness. </x:t>
  </x:si>
  <x:si>
    <x:t xml:space="preserve"> Despair   </x:t>
  </x:si>
  <x:si>
    <x:t xml:space="preserve">2016-05-15 22:30:00</x:t>
  </x:si>
  <x:si>
    <x:t xml:space="preserve"> LostInDarkness  </x:t>
  </x:si>
  <x:si>
    <x:t xml:space="preserve"> #Despair #EndlessDarkness               </x:t>
  </x:si>
  <x:si>
    <x:t xml:space="preserve"> Australia        </x:t>
  </x:si>
  <x:si>
    <x:t xml:space="preserve">Shattered by betrayal, trust crumbles like fragile glass.          </x:t>
  </x:si>
  <x:si>
    <x:t xml:space="preserve"> Betrayal      </x:t>
  </x:si>
  <x:si>
    <x:t xml:space="preserve">2018-09-10 13:15:00</x:t>
  </x:si>
  <x:si>
    <x:t xml:space="preserve"> BrokenTrust     </x:t>
  </x:si>
  <x:si>
    <x:t xml:space="preserve"> #Betrayal #ShatteredTrust               </x:t>
  </x:si>
  <x:si>
    <x:t xml:space="preserve">Aching heart, the symphony of pain plays in the silence of solitude. </x:t>
  </x:si>
  <x:si>
    <x:t xml:space="preserve"> Suffering </x:t>
  </x:si>
  <x:si>
    <x:t xml:space="preserve">2022-03-20 19:30:00</x:t>
  </x:si>
  <x:si>
    <x:t xml:space="preserve"> SilentSufferer  </x:t>
  </x:si>
  <x:si>
    <x:t xml:space="preserve"> #Suffering #HeartacheSymphony          </x:t>
  </x:si>
  <x:si>
    <x:t xml:space="preserve">Emotional storm, a whirlwind of sadness engulfs every thought.    </x:t>
  </x:si>
  <x:si>
    <x:t xml:space="preserve"> EmotionalStorm </x:t>
  </x:si>
  <x:si>
    <x:t xml:space="preserve">2017-07-18 17:45:00</x:t>
  </x:si>
  <x:si>
    <x:t xml:space="preserve"> StormyFeelings  </x:t>
  </x:si>
  <x:si>
    <x:t xml:space="preserve"> #EmotionalStorm #SadnessWhirlwind      </x:t>
  </x:si>
  <x:si>
    <x:t xml:space="preserve">Haunted by regrets, the ghost of the past lingers relentlessly.   </x:t>
  </x:si>
  <x:si>
    <x:t xml:space="preserve"> Regret        </x:t>
  </x:si>
  <x:si>
    <x:t xml:space="preserve">2018-12-15 10:00:00</x:t>
  </x:si>
  <x:si>
    <x:t xml:space="preserve"> LingeringGhost  </x:t>
  </x:si>
  <x:si>
    <x:t xml:space="preserve"> #Regret #HauntedPast                    </x:t>
  </x:si>
  <x:si>
    <x:t xml:space="preserve"> France         </x:t>
  </x:si>
  <x:si>
    <x:t xml:space="preserve">Torn apart by grief, the echoes of loss reverberate through the soul. </x:t>
  </x:si>
  <x:si>
    <x:t xml:space="preserve">2015-06-28 21:15:00</x:t>
  </x:si>
  <x:si>
    <x:t xml:space="preserve"> EchoesOfLoss    </x:t>
  </x:si>
  <x:si>
    <x:t xml:space="preserve"> #Grief #TornApart                       </x:t>
  </x:si>
  <x:si>
    <x:t xml:space="preserve"> Italy         </x:t>
  </x:si>
  <x:si>
    <x:t xml:space="preserve">Isolation deepens, an emotional winter where warmth is but a distant memory. </x:t>
  </x:si>
  <x:si>
    <x:t xml:space="preserve"> Isolation </x:t>
  </x:si>
  <x:si>
    <x:t xml:space="preserve">2020-04-02 14:20:00</x:t>
  </x:si>
  <x:si>
    <x:t xml:space="preserve"> WinterOfEmotions </x:t>
  </x:si>
  <x:si>
    <x:t xml:space="preserve"> #Isolation #EmotionalWinter            </x:t>
  </x:si>
  <x:si>
    <x:t xml:space="preserve"> Japan       </x:t>
  </x:si>
  <x:si>
    <x:t xml:space="preserve">Soul-crushing disappointment, hopes shattered like fragile glass. </x:t>
  </x:si>
  <x:si>
    <x:t xml:space="preserve"> Disappointment </x:t>
  </x:si>
  <x:si>
    <x:t xml:space="preserve">2019-10-08 18:30:00</x:t>
  </x:si>
  <x:si>
    <x:t xml:space="preserve"> ShatteredHopes  </x:t>
  </x:si>
  <x:si>
    <x:t xml:space="preserve"> #Disappointment #CrushedHopes          </x:t>
  </x:si>
  <x:si>
    <x:t xml:space="preserve"> Spain        </x:t>
  </x:si>
  <x:si>
    <x:t xml:space="preserve">Painful echoes of a love once cherished, now lost in the abyss of time. </x:t>
  </x:si>
  <x:si>
    <x:t xml:space="preserve"> LostLove </x:t>
  </x:si>
  <x:si>
    <x:t xml:space="preserve">2016-11-22 09:45:00</x:t>
  </x:si>
  <x:si>
    <x:t xml:space="preserve"> AbyssOfTime     </x:t>
  </x:si>
  <x:si>
    <x:t xml:space="preserve"> #LostLove #PainfulEchoes               </x:t>
  </x:si>
  <x:si>
    <x:t xml:space="preserve"> Netherlands  </x:t>
  </x:si>
  <x:si>
    <x:t xml:space="preserve">Heartache deepens, a solitary journey through the abyss of despair. </x:t>
  </x:si>
  <x:si>
    <x:t xml:space="preserve">2022-08-18 22:00:00</x:t>
  </x:si>
  <x:si>
    <x:t xml:space="preserve"> SolitaryDescent </x:t>
  </x:si>
  <x:si>
    <x:t xml:space="preserve"> #Despair #AbyssOfHeartache             </x:t>
  </x:si>
  <x:si>
    <x:t xml:space="preserve"> South Africa </x:t>
  </x:si>
  <x:si>
    <x:t xml:space="preserve">Melancholy lingers, a bittersweet serenade in the quietude of solitude. </x:t>
  </x:si>
  <x:si>
    <x:t xml:space="preserve"> Melancholy </x:t>
  </x:si>
  <x:si>
    <x:t xml:space="preserve">2017-03-12 23:30:00</x:t>
  </x:si>
  <x:si>
    <x:t xml:space="preserve"> SerenadeOfSolitude </x:t>
  </x:si>
  <x:si>
    <x:t xml:space="preserve"> #Melancholy #QuietSerenade             </x:t>
  </x:si>
  <x:si>
    <x:t xml:space="preserve">Bitterness like a poison, seeping into every crevice of the wounded heart. </x:t>
  </x:si>
  <x:si>
    <x:t xml:space="preserve">2015-12-15 16:15:00</x:t>
  </x:si>
  <x:si>
    <x:t xml:space="preserve"> PoisonedHeart   </x:t>
  </x:si>
  <x:si>
    <x:t xml:space="preserve"> #Bitterness #WoundedHeart              </x:t>
  </x:si>
  <x:si>
    <x:t xml:space="preserve">Emotional exhaustion, the weight of the world crushing weary shoulders. </x:t>
  </x:si>
  <x:si>
    <x:t xml:space="preserve"> Exhaustion </x:t>
  </x:si>
  <x:si>
    <x:t xml:space="preserve">2021-09-05 13:30:00</x:t>
  </x:si>
  <x:si>
    <x:t xml:space="preserve"> WearySoulCrushed </x:t>
  </x:si>
  <x:si>
    <x:t xml:space="preserve"> #Exhaustion #CrushedSpirit             </x:t>
  </x:si>
  <x:si>
    <x:t xml:space="preserve">Sorrowful echoes, a symphony of pain played by the strings of loss. </x:t>
  </x:si>
  <x:si>
    <x:t xml:space="preserve"> Sorrow      </x:t>
  </x:si>
  <x:si>
    <x:t xml:space="preserve">2018-05-22 20:45:00</x:t>
  </x:si>
  <x:si>
    <x:t xml:space="preserve"> StringsOfSorrow </x:t>
  </x:si>
  <x:si>
    <x:t xml:space="preserve"> #Sorrow #SymphonyOfLoss                </x:t>
  </x:si>
  <x:si>
    <x:t xml:space="preserve"> Germany     </x:t>
  </x:si>
  <x:si>
    <x:t xml:space="preserve">Darkness descends, engulfing the soul in the shadows of despair.  </x:t>
  </x:si>
  <x:si>
    <x:t xml:space="preserve"> Darkness     </x:t>
  </x:si>
  <x:si>
    <x:t xml:space="preserve">2016-07-10 18:20:00</x:t>
  </x:si>
  <x:si>
    <x:t xml:space="preserve"> SoulInShadow    </x:t>
  </x:si>
  <x:si>
    <x:t xml:space="preserve"> #Darkness #SoulEngulfed                 </x:t>
  </x:si>
  <x:si>
    <x:t xml:space="preserve"> USA         </x:t>
  </x:si>
  <x:si>
    <x:t xml:space="preserve">Desperation whispers, the silent plea for a glimmer of hope in the abyss. </x:t>
  </x:si>
  <x:si>
    <x:t xml:space="preserve"> Desperation </x:t>
  </x:si>
  <x:si>
    <x:t xml:space="preserve">2019-04-30 14:00:00</x:t>
  </x:si>
  <x:si>
    <x:t xml:space="preserve"> WhisperedDespair </x:t>
  </x:si>
  <x:si>
    <x:t xml:space="preserve"> #Desperation #GlimmerOfHope            </x:t>
  </x:si>
  <x:si>
    <x:t xml:space="preserve"> France    </x:t>
  </x:si>
  <x:si>
    <x:t xml:space="preserve">Heart in ruins, the remnants of shattered dreams scattered in the wind. </x:t>
  </x:si>
  <x:si>
    <x:t xml:space="preserve"> Ruins      </x:t>
  </x:si>
  <x:si>
    <x:t xml:space="preserve">2022-01-08 11:30:00</x:t>
  </x:si>
  <x:si>
    <x:t xml:space="preserve"> DreamsInWind    </x:t>
  </x:si>
  <x:si>
    <x:t xml:space="preserve"> #Ruins #ShatteredDreams                </x:t>
  </x:si>
  <x:si>
    <x:t xml:space="preserve"> Brazil     </x:t>
  </x:si>
  <x:si>
    <x:t xml:space="preserve">Shattered by the echoes of a shattered dream, fragments of hope scattered. </x:t>
  </x:si>
  <x:si>
    <x:t xml:space="preserve"> Desolation </x:t>
  </x:si>
  <x:si>
    <x:t xml:space="preserve">2017-09-10 19:15:00</x:t>
  </x:si>
  <x:si>
    <x:t xml:space="preserve"> DreamEchoes </x:t>
  </x:si>
  <x:si>
    <x:t xml:space="preserve"> #Desolation #ScatteredHope </x:t>
  </x:si>
  <x:si>
    <x:t xml:space="preserve">Avoiding the thorns of regret, walking barefoot on the path of remorse. </x:t>
  </x:si>
  <x:si>
    <x:t xml:space="preserve"> Regret </x:t>
  </x:si>
  <x:si>
    <x:t xml:space="preserve">2022-04-18 11:30:00</x:t>
  </x:si>
  <x:si>
    <x:t xml:space="preserve"> RemorseWalker </x:t>
  </x:si>
  <x:si>
    <x:t xml:space="preserve"> #Regret #PathOfRemorse </x:t>
  </x:si>
  <x:si>
    <x:t xml:space="preserve">In the labyrinth of grief, the walls echo with the footsteps of lost joy. </x:t>
  </x:si>
  <x:si>
    <x:t xml:space="preserve"> Grief </x:t>
  </x:si>
  <x:si>
    <x:t xml:space="preserve">2018-12-05 21:45:00</x:t>
  </x:si>
  <x:si>
    <x:t xml:space="preserve"> JoyLabyrinth </x:t>
  </x:si>
  <x:si>
    <x:t xml:space="preserve"> #Grief #LostJoyFootsteps </x:t>
  </x:si>
  <x:si>
    <x:t xml:space="preserve">A soul adrift in the sea of solitude, waves of loneliness crashing relentlessly. </x:t>
  </x:si>
  <x:si>
    <x:t xml:space="preserve">2016-06-28 14:20:00</x:t>
  </x:si>
  <x:si>
    <x:t xml:space="preserve"> SolitudeSeas </x:t>
  </x:si>
  <x:si>
    <x:t xml:space="preserve"> #Loneliness #CrashingWaves </x:t>
  </x:si>
  <x:si>
    <x:t xml:space="preserve">The bitterness of betrayal, a taste that lingers, staining the palate of trust. </x:t>
  </x:si>
  <x:si>
    <x:t xml:space="preserve">2019-10-22 17:00:00</x:t>
  </x:si>
  <x:si>
    <x:t xml:space="preserve"> PalateStainer </x:t>
  </x:si>
  <x:si>
    <x:t xml:space="preserve"> #Bitterness #StainedTrust </x:t>
  </x:si>
  <x:si>
    <x:t xml:space="preserve"> Germany </x:t>
  </x:si>
  <x:si>
    <x:t xml:space="preserve">In the ruins of hope, echoes of shattered dreams whisper tales of loss. </x:t>
  </x:si>
  <x:si>
    <x:t xml:space="preserve">2021-03-15 22:45:00</x:t>
  </x:si>
  <x:si>
    <x:t xml:space="preserve"> HopeRuins </x:t>
  </x:si>
  <x:si>
    <x:t xml:space="preserve"> #Desolation #WhisperedLoss </x:t>
  </x:si>
  <x:si>
    <x:t xml:space="preserve"> Brazil </x:t>
  </x:si>
  <x:si>
    <x:t xml:space="preserve">Sinking like a stone in the ocean of heartbreak, each ripple a sigh of despair. </x:t>
  </x:si>
  <x:si>
    <x:t xml:space="preserve"> Heartbreak </x:t>
  </x:si>
  <x:si>
    <x:t xml:space="preserve">2017-08-10 19:30:00</x:t>
  </x:si>
  <x:si>
    <x:t xml:space="preserve"> OceanSinker </x:t>
  </x:si>
  <x:si>
    <x:t xml:space="preserve"> #Heartbreak #RippleOfDespair </x:t>
  </x:si>
  <x:si>
    <x:t xml:space="preserve"> France </x:t>
  </x:si>
  <x:si>
    <x:t xml:space="preserve">Tears, the ink staining the pages of a journal, a testament to silent grief. </x:t>
  </x:si>
  <x:si>
    <x:t xml:space="preserve">2023-01-28 14:30:00</x:t>
  </x:si>
  <x:si>
    <x:t xml:space="preserve"> InkJournalist </x:t>
  </x:si>
  <x:si>
    <x:t xml:space="preserve"> #Grief #SilentTears </x:t>
  </x:si>
  <x:si>
    <x:t xml:space="preserve">In the wasteland of lost trust, the echoes of broken promises reverberate. </x:t>
  </x:si>
  <x:si>
    <x:t xml:space="preserve"> Betrayal </x:t>
  </x:si>
  <x:si>
    <x:t xml:space="preserve">2016-12-12 10:00:00</x:t>
  </x:si>
  <x:si>
    <x:t xml:space="preserve"> TrustWasteland </x:t>
  </x:si>
  <x:si>
    <x:t xml:space="preserve"> #Betrayal #ReverberatingPromises </x:t>
  </x:si>
  <x:si>
    <x:t xml:space="preserve"> Italy </x:t>
  </x:si>
  <x:si>
    <x:t xml:space="preserve">Avoiding the shards of shattered dreams, walking the tightrope of resilience. </x:t>
  </x:si>
  <x:si>
    <x:t xml:space="preserve"> Resilience </x:t>
  </x:si>
  <x:si>
    <x:t xml:space="preserve">2020-07-18 15:15:00</x:t>
  </x:si>
  <x:si>
    <x:t xml:space="preserve"> DreamTightrope </x:t>
  </x:si>
  <x:si>
    <x:t xml:space="preserve"> #Resilience #TightropeWalk </x:t>
  </x:si>
  <x:si>
    <x:t xml:space="preserve"> Japan </x:t>
  </x:si>
  <x:si>
    <x:t xml:space="preserve">Suffocating in the silence of solitude, where echoes of laughter once thrived. </x:t>
  </x:si>
  <x:si>
    <x:t xml:space="preserve">2022-05-20 20:30:00</x:t>
  </x:si>
  <x:si>
    <x:t xml:space="preserve"> EchoedLaughter </x:t>
  </x:si>
  <x:si>
    <x:t xml:space="preserve"> #Isolation #SilentSolitude </x:t>
  </x:si>
  <x:si>
    <x:t xml:space="preserve">Haunted by the specter of lost possibilities, a ghost that refuses to fade away. </x:t>
  </x:si>
  <x:si>
    <x:t xml:space="preserve">2019-11-08 14:45:00</x:t>
  </x:si>
  <x:si>
    <x:t xml:space="preserve"> PossibilityGhost </x:t>
  </x:si>
  <x:si>
    <x:t xml:space="preserve"> #Regret #FadingPossibilities </x:t>
  </x:si>
  <x:si>
    <x:t xml:space="preserve"> Spain </x:t>
  </x:si>
  <x:si>
    <x:t xml:space="preserve">In the labyrinth of despair, the echoes of a broken heart reverberate endlessly. </x:t>
  </x:si>
  <x:si>
    <x:t xml:space="preserve">2017-03-28 22:00:00</x:t>
  </x:si>
  <x:si>
    <x:t xml:space="preserve"> EndlessLabyrinth </x:t>
  </x:si>
  <x:si>
    <x:t xml:space="preserve"> #Despair #EndlessReverberation </x:t>
  </x:si>
  <x:si>
    <x:t xml:space="preserve">Sinking like autumn leaves in the river of sorrow, carried away by the current. </x:t>
  </x:si>
  <x:si>
    <x:t xml:space="preserve"> Sorrow </x:t>
  </x:si>
  <x:si>
    <x:t xml:space="preserve">2020-09-15 18:15:00</x:t>
  </x:si>
  <x:si>
    <x:t xml:space="preserve"> RiverOfSorrow </x:t>
  </x:si>
  <x:si>
    <x:t xml:space="preserve"> #Sorrow #AutumnLeaves </x:t>
  </x:si>
  <x:si>
    <x:t xml:space="preserve">In the garden of broken dreams, petals fall, a silent testimony to shattered hopes. </x:t>
  </x:si>
  <x:si>
    <x:t xml:space="preserve">2018-06-10 13:30:00</x:t>
  </x:si>
  <x:si>
    <x:t xml:space="preserve"> DreamGardener </x:t>
  </x:si>
  <x:si>
    <x:t xml:space="preserve"> #Desolation #ShatteredHopes </x:t>
  </x:si>
  <x:si>
    <x:t xml:space="preserve">Tears, the currency of grief, spent in the marketplace of lost love and longing. </x:t>
  </x:si>
  <x:si>
    <x:t xml:space="preserve">2016-12-22 21:45:00</x:t>
  </x:si>
  <x:si>
    <x:t xml:space="preserve"> CurrencyOfTears </x:t>
  </x:si>
  <x:si>
    <x:t xml:space="preserve"> #Grief #LostLoveLonging </x:t>
  </x:si>
  <x:si>
    <x:t xml:space="preserve">Wandering in the maze of betrayal, the walls closing in with every wrong turn. </x:t>
  </x:si>
  <x:si>
    <x:t xml:space="preserve">2021-01-05 16:20:00</x:t>
  </x:si>
  <x:si>
    <x:t xml:space="preserve"> MazeWanderer </x:t>
  </x:si>
  <x:si>
    <x:t xml:space="preserve"> #Betrayal #ClosingWalls </x:t>
  </x:si>
  <x:si>
    <x:t xml:space="preserve">A soul weathered by the storm of heartbreak, seeking refuge in the calm after. </x:t>
  </x:si>
  <x:si>
    <x:t xml:space="preserve">2019-04-18 11:00:00</x:t>
  </x:si>
  <x:si>
    <x:t xml:space="preserve"> StormSeeker </x:t>
  </x:si>
  <x:si>
    <x:t xml:space="preserve"> #Heartbreak #CalmAfterStorm </x:t>
  </x:si>
  <x:si>
    <x:t xml:space="preserve">In the tapestry of despair, threads of hope unravel, leaving a portrait of sorrow. </x:t>
  </x:si>
  <x:si>
    <x:t xml:space="preserve">2017-08-28 19:30:00</x:t>
  </x:si>
  <x:si>
    <x:t xml:space="preserve"> TapestrySorrow </x:t>
  </x:si>
  <x:si>
    <x:t xml:space="preserve"> #Despair #UnraveledHope </x:t>
  </x:si>
  <x:si>
    <x:t xml:space="preserve">Like a withered rose in the garden of love, petals fall, a silent surrender to time. </x:t>
  </x:si>
  <x:si>
    <x:t xml:space="preserve"> Loss </x:t>
  </x:si>
  <x:si>
    <x:t xml:space="preserve">2023-02-10 14:30:00</x:t>
  </x:si>
  <x:si>
    <x:t xml:space="preserve"> WitheredRose </x:t>
  </x:si>
  <x:si>
    <x:t xml:space="preserve"> #Loss #SilentSurrender </x:t>
  </x:si>
  <x:si>
    <x:t xml:space="preserve">In the void of heartache, echoes of a love song play, each note a pang of longing. </x:t>
  </x:si>
  <x:si>
    <x:t xml:space="preserve"> Heartache </x:t>
  </x:si>
  <x:si>
    <x:t xml:space="preserve">2022-07-10 22:15:00</x:t>
  </x:si>
  <x:si>
    <x:t xml:space="preserve"> LoveSongEcho </x:t>
  </x:si>
  <x:si>
    <x:t xml:space="preserve"> #Heartache #LoveSongLonging </x:t>
  </x:si>
  <x:si>
    <x:t xml:space="preserve">Nostalgia, a bittersweet dance in the moonlit ballroom of cherished memories. </x:t>
  </x:si>
  <x:si>
    <x:t xml:space="preserve">2019-05-15 21:30:00</x:t>
  </x:si>
  <x:si>
    <x:t xml:space="preserve"> MoonlitMemories </x:t>
  </x:si>
  <x:si>
    <x:t xml:space="preserve"> #Nostalgia #CherishedMemories </x:t>
  </x:si>
  <x:si>
    <x:t xml:space="preserve">In the symphony of grief, each tear is a note, composing a melancholic melody. </x:t>
  </x:si>
  <x:si>
    <x:t xml:space="preserve">2018-11-28 14:00:00</x:t>
  </x:si>
  <x:si>
    <x:t xml:space="preserve"> SymphonyOfTears </x:t>
  </x:si>
  <x:si>
    <x:t xml:space="preserve"> #Grief #MelancholicMelody </x:t>
  </x:si>
  <x:si>
    <x:t xml:space="preserve">Betrayal, a venomous serpent slithering through the garden of trust, poisoning roots. </x:t>
  </x:si>
  <x:si>
    <x:t xml:space="preserve">2021-03-02 17:45:00</x:t>
  </x:si>
  <x:si>
    <x:t xml:space="preserve"> VenomousGarden </x:t>
  </x:si>
  <x:si>
    <x:t xml:space="preserve"> #Betrayal #PoisonedTrust </x:t>
  </x:si>
  <x:si>
    <x:t xml:space="preserve">Sinking in the quicksand of despair, the harder you fight, the deeper you descend. </x:t>
  </x:si>
  <x:si>
    <x:t xml:space="preserve">2016-10-18 19:30:00</x:t>
  </x:si>
  <x:si>
    <x:t xml:space="preserve"> QuicksandFighter </x:t>
  </x:si>
  <x:si>
    <x:t xml:space="preserve"> #Despair #DeepDescent </x:t>
  </x:si>
  <x:si>
    <x:t xml:space="preserve">Wandering through the cemetery of lost dreams, tombstones marking untold sorrows. </x:t>
  </x:si>
  <x:si>
    <x:t xml:space="preserve">2020-08-15 12:30:00</x:t>
  </x:si>
  <x:si>
    <x:t xml:space="preserve"> DreamCemetery </x:t>
  </x:si>
  <x:si>
    <x:t xml:space="preserve"> #Desolation #UntoldSorrows </x:t>
  </x:si>
  <x:si>
    <x:t xml:space="preserve">Swept away by the river of regret, the currents of the past refusing to release. </x:t>
  </x:si>
  <x:si>
    <x:t xml:space="preserve">2017-04-28 16:20:00</x:t>
  </x:si>
  <x:si>
    <x:t xml:space="preserve"> RegretRiver </x:t>
  </x:si>
  <x:si>
    <x:t xml:space="preserve"> #Regret #PastCurrents </x:t>
  </x:si>
  <x:si>
    <x:t xml:space="preserve">Whispers of lost love linger in the attic of the heart, forgotten but not erased. </x:t>
  </x:si>
  <x:si>
    <x:t xml:space="preserve">2019-09-10 21:00:00</x:t>
  </x:si>
  <x:si>
    <x:t xml:space="preserve"> HeartAttic </x:t>
  </x:si>
  <x:si>
    <x:t xml:space="preserve"> #Loss #ForgottenLove </x:t>
  </x:si>
  <x:si>
    <x:t xml:space="preserve">In the gallery of broken promises, each shattered vow framed, a painful exhibition. </x:t>
  </x:si>
  <x:si>
    <x:t xml:space="preserve">2022-01-28 13:45:00</x:t>
  </x:si>
  <x:si>
    <x:t xml:space="preserve"> PromiseGallery </x:t>
  </x:si>
  <x:si>
    <x:t xml:space="preserve"> #Betrayal #ShatteredVows </x:t>
  </x:si>
  <x:si>
    <x:t xml:space="preserve">The echoes of solitude, a silent conversation between a soul and its shadows. </x:t>
  </x:si>
  <x:si>
    <x:t xml:space="preserve"> Solitude </x:t>
  </x:si>
  <x:si>
    <x:t xml:space="preserve">2016-06-15 22:30:00</x:t>
  </x:si>
  <x:si>
    <x:t xml:space="preserve"> EchoedConversation </x:t>
  </x:si>
  <x:si>
    <x:t xml:space="preserve"> #Solitude #ShadowConversation </x:t>
  </x:si>
  <x:si>
    <x:t xml:space="preserve">Dancing on sunshine, each step a celebration of the joy found in simple moments. </x:t>
  </x:si>
  <x:si>
    <x:t xml:space="preserve"> Joy </x:t>
  </x:si>
  <x:si>
    <x:t xml:space="preserve">2021-08-20 15:45:00</x:t>
  </x:si>
  <x:si>
    <x:t xml:space="preserve"> SunshineDancer </x:t>
  </x:si>
  <x:si>
    <x:t xml:space="preserve"> #Joy #SimpleMoments </x:t>
  </x:si>
  <x:si>
    <x:t xml:space="preserve">Laughter echoes in the air, a chorus of happiness that lifts the spirit higher. </x:t>
  </x:si>
  <x:si>
    <x:t xml:space="preserve"> Happiness </x:t>
  </x:si>
  <x:si>
    <x:t xml:space="preserve">2018-04-12 18:30:00</x:t>
  </x:si>
  <x:si>
    <x:t xml:space="preserve"> #Happiness #SpiritLifter </x:t>
  </x:si>
  <x:si>
    <x:t xml:space="preserve">In the garden of contentment, each bloom whispers tales of inner peace and joy. </x:t>
  </x:si>
  <x:si>
    <x:t xml:space="preserve">2022-02-15 12:20:00</x:t>
  </x:si>
  <x:si>
    <x:t xml:space="preserve"> GardenOfJoy </x:t>
  </x:si>
  <x:si>
    <x:t xml:space="preserve"> #Contentment #InnerPeace </x:t>
  </x:si>
  <x:si>
    <x:t xml:space="preserve">Chasing dreams under the vibrant sky, a journey fueled by hope and enthusiasm. </x:t>
  </x:si>
  <x:si>
    <x:t xml:space="preserve"> Enthusiasm </x:t>
  </x:si>
  <x:si>
    <x:t xml:space="preserve">2019-10-28 14:15:00</x:t>
  </x:si>
  <x:si>
    <x:t xml:space="preserve"> DreamChaser </x:t>
  </x:si>
  <x:si>
    <x:t xml:space="preserve"> #Enthusiasm #HopefulJourney </x:t>
  </x:si>
  <x:si>
    <x:t xml:space="preserve">Serenading the stars with a heart full of gratitude, a melody of thankfulness. </x:t>
  </x:si>
  <x:si>
    <x:t xml:space="preserve"> Gratitude </x:t>
  </x:si>
  <x:si>
    <x:t xml:space="preserve">2017-12-22 21:00:00</x:t>
  </x:si>
  <x:si>
    <x:t xml:space="preserve"> StarSerenader </x:t>
  </x:si>
  <x:si>
    <x:t xml:space="preserve"> #Gratitude #ThankfulMelody </x:t>
  </x:si>
  <x:si>
    <x:t xml:space="preserve">Basking in the glow of accomplishment, each milestone a stepping stone to happiness. </x:t>
  </x:si>
  <x:si>
    <x:t xml:space="preserve">2020-06-10 17:30:00</x:t>
  </x:si>
  <x:si>
    <x:t xml:space="preserve"> GlowAchiever </x:t>
  </x:si>
  <x:si>
    <x:t xml:space="preserve"> #Accomplishment #HappinessMilestone </x:t>
  </x:si>
  <x:si>
    <x:t xml:space="preserve">In the dance of positivity, every step is a rhythm, uplifting the soul in harmony. </x:t>
  </x:si>
  <x:si>
    <x:t xml:space="preserve"> Positivity </x:t>
  </x:si>
  <x:si>
    <x:t xml:space="preserve">2016-09-18 19:45:00</x:t>
  </x:si>
  <x:si>
    <x:t xml:space="preserve"> DanceHarmony </x:t>
  </x:si>
  <x:si>
    <x:t xml:space="preserve"> #Positivity #SoulUpliftment </x:t>
  </x:si>
  <x:si>
    <x:t xml:space="preserve">Overflowing with joy, a cup of laughter shared with friends, a moment cherished. </x:t>
  </x:si>
  <x:si>
    <x:t xml:space="preserve">2023-03-10 14:30:00</x:t>
  </x:si>
  <x:si>
    <x:t xml:space="preserve"> LaughterCup </x:t>
  </x:si>
  <x:si>
    <x:t xml:space="preserve"> #Joy #CherishedMoment </x:t>
  </x:si>
  <x:si>
    <x:t xml:space="preserve">Draped in the warmth of kindness, a quilt of compassion stitched with love. </x:t>
  </x:si>
  <x:si>
    <x:t xml:space="preserve"> Kindness </x:t>
  </x:si>
  <x:si>
    <x:t xml:space="preserve">2019-05-05 12:15:00</x:t>
  </x:si>
  <x:si>
    <x:t xml:space="preserve"> QuiltedCompassion </x:t>
  </x:si>
  <x:si>
    <x:t xml:space="preserve"> #Kindness #LoveStitches </x:t>
  </x:si>
  <x:si>
    <x:t xml:space="preserve">In the garden of friendships, each bloom a testament to the beauty of camaraderie. </x:t>
  </x:si>
  <x:si>
    <x:t xml:space="preserve"> Friendship </x:t>
  </x:si>
  <x:si>
    <x:t xml:space="preserve">2018-08-28 16:00:00</x:t>
  </x:si>
  <x:si>
    <x:t xml:space="preserve"> FriendshipGarden </x:t>
  </x:si>
  <x:si>
    <x:t xml:space="preserve"> #Friendship #CamaraderieBlooms </x:t>
  </x:si>
  <x:si>
    <x:t xml:space="preserve">In the embrace of love, each heartbeat is a melody, dancing to the rhythm of affection. </x:t>
  </x:si>
  <x:si>
    <x:t xml:space="preserve"> Love </x:t>
  </x:si>
  <x:si>
    <x:t xml:space="preserve">2022-11-15 20:45:00</x:t>
  </x:si>
  <x:si>
    <x:t xml:space="preserve"> MelodyOfLove </x:t>
  </x:si>
  <x:si>
    <x:t xml:space="preserve"> #Love #RhythmOfAffection </x:t>
  </x:si>
  <x:si>
    <x:t xml:space="preserve">Surrounded by the colors of joy, a canvas painted with laughter and endless smiles. </x:t>
  </x:si>
  <x:si>
    <x:t xml:space="preserve">2019-07-02 17:00:00</x:t>
  </x:si>
  <x:si>
    <x:t xml:space="preserve"> ColorfulLaughter </x:t>
  </x:si>
  <x:si>
    <x:t xml:space="preserve"> #Joy #EndlessSmiles </x:t>
  </x:si>
  <x:si>
    <x:t xml:space="preserve">In the symphony of excitement, each note is a burst of energy, igniting the soul with fervor. </x:t>
  </x:si>
  <x:si>
    <x:t xml:space="preserve">2021-04-18 14:20:00</x:t>
  </x:si>
  <x:si>
    <x:t xml:space="preserve"> SymphonyFervor </x:t>
  </x:si>
  <x:si>
    <x:t xml:space="preserve"> #Excitement #IgnitedSoul </x:t>
  </x:si>
  <x:si>
    <x:t xml:space="preserve">A surprise gift, wrapped in anticipation, unfolds a moment of delight and wonder. </x:t>
  </x:si>
  <x:si>
    <x:t xml:space="preserve"> Surprise </x:t>
  </x:si>
  <x:si>
    <x:t xml:space="preserve">2023-02-05 19:30:00</x:t>
  </x:si>
  <x:si>
    <x:t xml:space="preserve"> WrappedDelight </x:t>
  </x:si>
  <x:si>
    <x:t xml:space="preserve"> #Surprise #WonderfulMoment </x:t>
  </x:si>
  <x:si>
    <x:t xml:space="preserve">Lost in the maze of curiosity, each twist and turn unveils the treasures of discovery. </x:t>
  </x:si>
  <x:si>
    <x:t xml:space="preserve">2018-09-22 12:45:00</x:t>
  </x:si>
  <x:si>
    <x:t xml:space="preserve"> MazeDiscovery </x:t>
  </x:si>
  <x:si>
    <x:t xml:space="preserve"> #Curiosity #TreasuresOfDiscovery </x:t>
  </x:si>
  <x:si>
    <x:t xml:space="preserve">Floating on clouds of gratitude, each raindrop a blessing, a shower of thankfulness. </x:t>
  </x:si>
  <x:si>
    <x:t xml:space="preserve">2016-12-10 21:15:00</x:t>
  </x:si>
  <x:si>
    <x:t xml:space="preserve"> CloudsOfBlessings </x:t>
  </x:si>
  <x:si>
    <x:t xml:space="preserve"> #Gratitude #ShowerOfThankfulness </x:t>
  </x:si>
  <x:si>
    <x:t xml:space="preserve">Like a comet of inspiration, streaking through the sky of creativity, leaving trails of brilliance. </x:t>
  </x:si>
  <x:si>
    <x:t xml:space="preserve">2020-05-28 16:00:00</x:t>
  </x:si>
  <x:si>
    <x:t xml:space="preserve"> CometCreativity </x:t>
  </x:si>
  <x:si>
    <x:t xml:space="preserve"> #Inspiration #BrilliantTrails </x:t>
  </x:si>
  <x:si>
    <x:t xml:space="preserve">In the celebration of success, fireworks of accomplishment light up the night sky of triumph. </x:t>
  </x:si>
  <x:si>
    <x:t xml:space="preserve"> Success </x:t>
  </x:si>
  <x:si>
    <x:t xml:space="preserve">2017-11-15 22:30:00</x:t>
  </x:si>
  <x:si>
    <x:t xml:space="preserve"> FireworksTriumph </x:t>
  </x:si>
  <x:si>
    <x:t xml:space="preserve"> #Success #NightSkyTriumph </x:t>
  </x:si>
  <x:si>
    <x:t xml:space="preserve">A symphony of laughter, each note a key to unlocking the door of boundless happiness. </x:t>
  </x:si>
  <x:si>
    <x:t xml:space="preserve">2021-08-02 19:00:00</x:t>
  </x:si>
  <x:si>
    <x:t xml:space="preserve"> LaughterSymphony </x:t>
  </x:si>
  <x:si>
    <x:t xml:space="preserve"> #Happiness #BoundlessLaughter </x:t>
  </x:si>
  <x:si>
    <x:t xml:space="preserve">In the carnival of emotions, the rollercoaster of thrill sends the heart on a wild ride. </x:t>
  </x:si>
  <x:si>
    <x:t xml:space="preserve"> Thrill </x:t>
  </x:si>
  <x:si>
    <x:t xml:space="preserve">2019-03-28 15:30:00</x:t>
  </x:si>
  <x:si>
    <x:t xml:space="preserve"> EmotionCarnival </x:t>
  </x:si>
  <x:si>
    <x:t xml:space="preserve"> #Thrill #WildHeartRide </x:t>
  </x:si>
  <x:si>
    <x:t xml:space="preserve">Standing before the grandeur of the Eiffel Tower, a moment to reflect on the beauty of Parisian dreams. </x:t>
  </x:si>
  <x:si>
    <x:t xml:space="preserve"> Reflection </x:t>
  </x:si>
  <x:si>
    <x:t xml:space="preserve">2018-05-12 17:30:00</x:t>
  </x:si>
  <x:si>
    <x:t xml:space="preserve"> ParisDreamer </x:t>
  </x:si>
  <x:si>
    <x:t xml:space="preserve"> #Reflection #ParisianDreams </x:t>
  </x:si>
  <x:si>
    <x:t xml:space="preserve">Lost in the enchantment of Disneyland, each ride a journey into the realm of childhood fantasies. </x:t>
  </x:si>
  <x:si>
    <x:t xml:space="preserve"> Enchantment </x:t>
  </x:si>
  <x:si>
    <x:t xml:space="preserve">2022-09-28 15:45:00</x:t>
  </x:si>
  <x:si>
    <x:t xml:space="preserve"> DisneylandExplorer </x:t>
  </x:si>
  <x:si>
    <x:t xml:space="preserve"> #Enchantment #ChildhoodFantasies </x:t>
  </x:si>
  <x:si>
    <x:t xml:space="preserve">Exploring the wonders of Ferrari World, the roar of engines creating a symphony of speed. </x:t>
  </x:si>
  <x:si>
    <x:t xml:space="preserve">2019-11-10 14:00:00</x:t>
  </x:si>
  <x:si>
    <x:t xml:space="preserve"> FerrariSpeedster </x:t>
  </x:si>
  <x:si>
    <x:t xml:space="preserve"> #Excitement #SymphonyOfSpeed </x:t>
  </x:si>
  <x:si>
    <x:t xml:space="preserve">Amidst the tulip fields of Keukenhof, a tapestry of colors that paints the soul with springtime joy. </x:t>
  </x:si>
  <x:si>
    <x:t xml:space="preserve">2021-04-02 18:20:00</x:t>
  </x:si>
  <x:si>
    <x:t xml:space="preserve"> KeukenhofAdventurer </x:t>
  </x:si>
  <x:si>
    <x:t xml:space="preserve"> #Joy #SpringtimeColors </x:t>
  </x:si>
  <x:si>
    <x:t xml:space="preserve"> Netherlands </x:t>
  </x:si>
  <x:si>
    <x:t xml:space="preserve">Wandering through the historical streets of Kyoto, each step a journey into the heart of Japan's traditions. </x:t>
  </x:si>
  <x:si>
    <x:t xml:space="preserve"> Exploration </x:t>
  </x:si>
  <x:si>
    <x:t xml:space="preserve">2017-08-22 21:30:00</x:t>
  </x:si>
  <x:si>
    <x:t xml:space="preserve"> KyotoAdventurer </x:t>
  </x:si>
  <x:si>
    <x:t xml:space="preserve"> #Exploration #JapaneseTraditions </x:t>
  </x:si>
  <x:si>
    <x:t xml:space="preserve">In the embrace of the Grand Canyon, nature's masterpiece, a moment to marvel at Earth's grandeur. </x:t>
  </x:si>
  <x:si>
    <x:t xml:space="preserve"> Awe </x:t>
  </x:si>
  <x:si>
    <x:t xml:space="preserve">2020-06-15 16:45:00</x:t>
  </x:si>
  <x:si>
    <x:t xml:space="preserve"> CanyonMarveler </x:t>
  </x:si>
  <x:si>
    <x:t xml:space="preserve"> #Awe #EarthsGrandeur </x:t>
  </x:si>
  <x:si>
    <x:t xml:space="preserve">Journeying through the serenity of Santorini, where each sunset paints the sky with hues of tranquility. </x:t>
  </x:si>
  <x:si>
    <x:t xml:space="preserve">2016-09-10 19:15:00</x:t>
  </x:si>
  <x:si>
    <x:t xml:space="preserve"> SantoriniTraveler </x:t>
  </x:si>
  <x:si>
    <x:t xml:space="preserve"> #Serenity #SunsetHues </x:t>
  </x:si>
  <x:si>
    <x:t xml:space="preserve"> Greece </x:t>
  </x:si>
  <x:si>
    <x:t xml:space="preserve">Amazed by the architectural marvels of Petra, each stone telling tales of an ancient civilization. </x:t>
  </x:si>
  <x:si>
    <x:t xml:space="preserve"> Amazement </x:t>
  </x:si>
  <x:si>
    <x:t xml:space="preserve">2023-01-28 13:00:00</x:t>
  </x:si>
  <x:si>
    <x:t xml:space="preserve"> PetraExplorer </x:t>
  </x:si>
  <x:si>
    <x:t xml:space="preserve"> #Amazement #AncientTales </x:t>
  </x:si>
  <x:si>
    <x:t xml:space="preserve"> Jordan </x:t>
  </x:si>
  <x:si>
    <x:t xml:space="preserve">Embarking on a gondola ride in Venice, each canal reflecting the romance of this timeless city. </x:t>
  </x:si>
  <x:si>
    <x:t xml:space="preserve"> Romance </x:t>
  </x:si>
  <x:si>
    <x:t xml:space="preserve">2019-04-18 16:30:00</x:t>
  </x:si>
  <x:si>
    <x:t xml:space="preserve"> VeniceRomantic </x:t>
  </x:si>
  <x:si>
    <x:t xml:space="preserve"> #Romance #TimelessCity </x:t>
  </x:si>
  <x:si>
    <x:t xml:space="preserve">At the summit of Machu Picchu, a breathtaking panorama that whispers the secrets of ancient civilizations. </x:t>
  </x:si>
  <x:si>
    <x:t xml:space="preserve">2017-11-05 22:00:00</x:t>
  </x:si>
  <x:si>
    <x:t xml:space="preserve"> MachuPicchuAdventurer </x:t>
  </x:si>
  <x:si>
    <x:t xml:space="preserve"> #Awe #AncientCivilizations </x:t>
  </x:si>
  <x:si>
    <x:t xml:space="preserve"> Peru </x:t>
  </x:si>
  <x:si>
    <x:t xml:space="preserve">In the heart of New York City, Times Square dazzles with lights, a vibrant spectacle of urban energy. </x:t>
  </x:si>
  <x:si>
    <x:t xml:space="preserve">2022-07-20 21:45:00</x:t>
  </x:si>
  <x:si>
    <x:t xml:space="preserve"> TimesSquareExplorer </x:t>
  </x:si>
  <x:si>
    <x:t xml:space="preserve"> #Excitement #UrbanEnergy </x:t>
  </x:si>
  <x:si>
    <x:t xml:space="preserve">Captivated by the historical charm of the Colosseum, each stone echoing tales of gladiator valor. </x:t>
  </x:si>
  <x:si>
    <x:t xml:space="preserve"> Captivation </x:t>
  </x:si>
  <x:si>
    <x:t xml:space="preserve">2018-03-15 17:30:00</x:t>
  </x:si>
  <x:si>
    <x:t xml:space="preserve"> ColosseumAdventurer </x:t>
  </x:si>
  <x:si>
    <x:t xml:space="preserve"> #Captivation #GladiatorTales </x:t>
  </x:si>
  <x:si>
    <x:t xml:space="preserve">Sailing the azure waters of the Maldives, each wave a whisper of serenity in paradise. </x:t>
  </x:si>
  <x:si>
    <x:t xml:space="preserve"> MaldivesSailor </x:t>
  </x:si>
  <x:si>
    <x:t xml:space="preserve"> #Serenity #ParadiseWhispers </x:t>
  </x:si>
  <x:si>
    <x:t xml:space="preserve"> Maldives </x:t>
  </x:si>
  <x:si>
    <x:t xml:space="preserve">In the midst of the Amazon rainforest, a symphony of wildlife creates an orchestra of nature's wonders. </x:t>
  </x:si>
  <x:si>
    <x:t xml:space="preserve"> Wonder </x:t>
  </x:si>
  <x:si>
    <x:t xml:space="preserve">2021-06-10 16:00:00</x:t>
  </x:si>
  <x:si>
    <x:t xml:space="preserve"> AmazonExplorer </x:t>
  </x:si>
  <x:si>
    <x:t xml:space="preserve"> #Wonder #NatureOrchestra </x:t>
  </x:si>
  <x:si>
    <x:t xml:space="preserve">Walking the Great Wall of China, each step a testament to ancient engineering marvels. </x:t>
  </x:si>
  <x:si>
    <x:t xml:space="preserve">2017-08-18 19:30:00</x:t>
  </x:si>
  <x:si>
    <x:t xml:space="preserve"> GreatWallWalker </x:t>
  </x:si>
  <x:si>
    <x:t xml:space="preserve"> #Awe #EngineeringMarvels </x:t>
  </x:si>
  <x:si>
    <x:t xml:space="preserve"> China </x:t>
  </x:si>
  <x:si>
    <x:t xml:space="preserve">At the summit of Mount Fuji, a breathtaking sunrise that paints the sky with hues of accomplishment. </x:t>
  </x:si>
  <x:si>
    <x:t xml:space="preserve">2020-04-15 05:30:00</x:t>
  </x:si>
  <x:si>
    <x:t xml:space="preserve"> FujiSummitAchiever </x:t>
  </x:si>
  <x:si>
    <x:t xml:space="preserve"> #Accomplishment #SunriseHues </x:t>
  </x:si>
  <x:si>
    <x:t xml:space="preserve">Exploring the ancient ruins of Angkor Wat, each stone whispering stories of Khmer civilization. </x:t>
  </x:si>
  <x:si>
    <x:t xml:space="preserve">2016-11-22 13:00:00</x:t>
  </x:si>
  <x:si>
    <x:t xml:space="preserve"> AngkorWatAdventurer </x:t>
  </x:si>
  <x:si>
    <x:t xml:space="preserve"> #Exploration #KhmerStories </x:t>
  </x:si>
  <x:si>
    <x:t xml:space="preserve"> Cambodia </x:t>
  </x:si>
  <x:si>
    <x:t xml:space="preserve">Skiing down the slopes of the Swiss Alps, each turn a dance with the majesty of snow-capped peaks. </x:t>
  </x:si>
  <x:si>
    <x:t xml:space="preserve">2019-01-10 14:45:00</x:t>
  </x:si>
  <x:si>
    <x:t xml:space="preserve"> AlpsSkiAdventurer </x:t>
  </x:si>
  <x:si>
    <x:t xml:space="preserve"> #Adventure #SnowPeakDance </x:t>
  </x:si>
  <x:si>
    <x:t xml:space="preserve"> Switzerland </x:t>
  </x:si>
  <x:si>
    <x:t xml:space="preserve">In the tranquility of Kyoto's bamboo forest, whispers of ancient Zen wisdom echo through the groves. </x:t>
  </x:si>
  <x:si>
    <x:t xml:space="preserve"> Tranquility </x:t>
  </x:si>
  <x:si>
    <x:t xml:space="preserve">2023-02-28 16:20:00</x:t>
  </x:si>
  <x:si>
    <x:t xml:space="preserve"> KyotoBambooSeeker </x:t>
  </x:si>
  <x:si>
    <x:t xml:space="preserve"> #Tranquility #ZenWisdom </x:t>
  </x:si>
  <x:si>
    <x:t xml:space="preserve">Cruising the fjords of Norway, each icy landscape a breathtaking masterpiece of nature's grandeur. </x:t>
  </x:si>
  <x:si>
    <x:t xml:space="preserve"> Grandeur </x:t>
  </x:si>
  <x:si>
    <x:t xml:space="preserve">2018-05-28 18:30:00</x:t>
  </x:si>
  <x:si>
    <x:t xml:space="preserve"> NorwayFjordExplorer </x:t>
  </x:si>
  <x:si>
    <x:t xml:space="preserve"> #Grandeur #IcyMasterpiece </x:t>
  </x:si>
  <x:si>
    <x:t xml:space="preserve"> Norway </x:t>
  </x:si>
  <x:si>
    <x:t xml:space="preserve">At the front row of Adele's concert, each note of 'Someone Like You' resonates with soul-stirring emotion. </x:t>
  </x:si>
  <x:si>
    <x:t xml:space="preserve"> Emotion </x:t>
  </x:si>
  <x:si>
    <x:t xml:space="preserve">2022-09-15 20:00:00</x:t>
  </x:si>
  <x:si>
    <x:t xml:space="preserve"> AdeleConcertGoer </x:t>
  </x:si>
  <x:si>
    <x:t xml:space="preserve"> #Emotion #AdeleConcert </x:t>
  </x:si>
  <x:si>
    <x:t xml:space="preserve">Dancing under the stars at Beyoncé's live show, feeling the power of 'Single Ladies' in every move. </x:t>
  </x:si>
  <x:si>
    <x:t xml:space="preserve"> Energy </x:t>
  </x:si>
  <x:si>
    <x:t xml:space="preserve">2019-07-28 21:30:00</x:t>
  </x:si>
  <x:si>
    <x:t xml:space="preserve"> BeyonceDancer </x:t>
  </x:si>
  <x:si>
    <x:t xml:space="preserve"> #Energy #BeyonceConcert </x:t>
  </x:si>
  <x:si>
    <x:t xml:space="preserve">In the crowd of a Taylor Swift concert, the lyrics of 'Love Story' create an enchanting fairy tale. </x:t>
  </x:si>
  <x:si>
    <x:t xml:space="preserve">2021-05-10 19:45:00</x:t>
  </x:si>
  <x:si>
    <x:t xml:space="preserve"> SwiftieDreamer </x:t>
  </x:si>
  <x:si>
    <x:t xml:space="preserve"> #Enchantment #TaylorSwift </x:t>
  </x:si>
  <x:si>
    <x:t xml:space="preserve">Rocking out to the guitar solos at a Queen tribute concert, a journey back in time with Freddie's spirit. </x:t>
  </x:si>
  <x:si>
    <x:t xml:space="preserve">2018-12-02 22:15:00</x:t>
  </x:si>
  <x:si>
    <x:t xml:space="preserve"> QueenTributeFan </x:t>
  </x:si>
  <x:si>
    <x:t xml:space="preserve"> #Nostalgia #QueenTribute </x:t>
  </x:si>
  <x:si>
    <x:t xml:space="preserve">Swaying to Ed Sheeran's acoustic melodies, a serene evening filled with 'Perfect' moments. </x:t>
  </x:si>
  <x:si>
    <x:t xml:space="preserve">2020-08-18 19:00:00</x:t>
  </x:si>
  <x:si>
    <x:t xml:space="preserve"> SheeranMelodyLover </x:t>
  </x:si>
  <x:si>
    <x:t xml:space="preserve"> #Serenity #EdSheeranConcert </x:t>
  </x:si>
  <x:si>
    <x:t xml:space="preserve">Immersed in the pulsating beats of a Bruno Mars concert, where 'Uptown Funk' becomes a city of joy. </x:t>
  </x:si>
  <x:si>
    <x:t xml:space="preserve">2017-03-28 20:30:00</x:t>
  </x:si>
  <x:si>
    <x:t xml:space="preserve"> MarsJoyExplorer </x:t>
  </x:si>
  <x:si>
    <x:t xml:space="preserve"> #Joy #BrunoMars </x:t>
  </x:si>
  <x:si>
    <x:t xml:space="preserve">At a Michael Jackson tribute show, moonwalking through the hits, a celebration of the King of Pop. </x:t>
  </x:si>
  <x:si>
    <x:t xml:space="preserve"> Celebration </x:t>
  </x:si>
  <x:si>
    <x:t xml:space="preserve">2022-01-15 21:15:00</x:t>
  </x:si>
  <x:si>
    <x:t xml:space="preserve"> MJTributeDancer </x:t>
  </x:si>
  <x:si>
    <x:t xml:space="preserve"> #Celebration #MJTribute </x:t>
  </x:si>
  <x:si>
    <x:t xml:space="preserve">Swinging to the rhythms of a Frank Sinatra tribute, feeling the timeless charm of 'Fly Me to the Moon'. </x:t>
  </x:si>
  <x:si>
    <x:t xml:space="preserve"> Charm </x:t>
  </x:si>
  <x:si>
    <x:t xml:space="preserve">2019-06-10 18:45:00</x:t>
  </x:si>
  <x:si>
    <x:t xml:space="preserve"> SinatraCharmListener </x:t>
  </x:si>
  <x:si>
    <x:t xml:space="preserve"> #Charm #SinatraTribute </x:t>
  </x:si>
  <x:si>
    <x:t xml:space="preserve">In the mosh pit of a Metallica concert, the thunderous chords create a symphony of headbanging ecstasy. </x:t>
  </x:si>
  <x:si>
    <x:t xml:space="preserve"> Ecstasy </x:t>
  </x:si>
  <x:si>
    <x:t xml:space="preserve">2023-03-20 22:30:00</x:t>
  </x:si>
  <x:si>
    <x:t xml:space="preserve"> MetallicaMoshWarrior </x:t>
  </x:si>
  <x:si>
    <x:t xml:space="preserve"> #Ecstasy #MetallicaConcert </x:t>
  </x:si>
  <x:si>
    <x:t xml:space="preserve">Experiencing the magic of a Coldplay concert, where 'Fix You' becomes a beacon of hope in the night. </x:t>
  </x:si>
  <x:si>
    <x:t xml:space="preserve"> Hope </x:t>
  </x:si>
  <x:si>
    <x:t xml:space="preserve"> ColdplayHopeSeeker </x:t>
  </x:si>
  <x:si>
    <x:t xml:space="preserve"> #Hope #ColdplayMagic </x:t>
  </x:si>
  <x:si>
    <x:t xml:space="preserve">At a Justin Bieber concert, the infectious beats of 'Baby' create a dance floor of unbridled enthusiasm. </x:t>
  </x:si>
  <x:si>
    <x:t xml:space="preserve">2018-08-05 20:00:00</x:t>
  </x:si>
  <x:si>
    <x:t xml:space="preserve"> BieberDanceEnthusiast </x:t>
  </x:si>
  <x:si>
    <x:t xml:space="preserve"> #Enthusiasm #JustinBieber </x:t>
  </x:si>
  <x:si>
    <x:t xml:space="preserve">In the spotlight at a Lady Gaga show, each costume change is a metamorphosis of creativity and artistry. </x:t>
  </x:si>
  <x:si>
    <x:t xml:space="preserve"> Creativity </x:t>
  </x:si>
  <x:si>
    <x:t xml:space="preserve">2021-04-15 21:30:00</x:t>
  </x:si>
  <x:si>
    <x:t xml:space="preserve"> GagaArtisticChameleon </x:t>
  </x:si>
  <x:si>
    <x:t xml:space="preserve"> #Creativity #LadyGaga </x:t>
  </x:si>
  <x:si>
    <x:t xml:space="preserve">Immersed in the soulful melodies of Adele, tears flow freely, moved by the emotion of 'Hello'. </x:t>
  </x:si>
  <x:si>
    <x:t xml:space="preserve">2019-11-28 19:45:00</x:t>
  </x:si>
  <x:si>
    <x:t xml:space="preserve"> AdeleMelodyTearjerker </x:t>
  </x:si>
  <x:si>
    <x:t xml:space="preserve"> #Emotion #AdeleMelodies </x:t>
  </x:si>
  <x:si>
    <x:t xml:space="preserve">Drenched in confetti at a Katy Perry concert, a kaleidoscope of colors igniting the night sky. </x:t>
  </x:si>
  <x:si>
    <x:t xml:space="preserve"> Colorful </x:t>
  </x:si>
  <x:si>
    <x:t xml:space="preserve">2020-06-22 22:00:00</x:t>
  </x:si>
  <x:si>
    <x:t xml:space="preserve"> KatyPerryColorExplosion </x:t>
  </x:si>
  <x:si>
    <x:t xml:space="preserve"> #Colorful #KatyPerry </x:t>
  </x:si>
  <x:si>
    <x:t xml:space="preserve">In the audience of a Jay-Z performance, the lyrics of 'Empire State of Mind' become an anthem of pride. </x:t>
  </x:si>
  <x:si>
    <x:t xml:space="preserve"> Pride </x:t>
  </x:si>
  <x:si>
    <x:t xml:space="preserve">2017-09-10 20:15:00</x:t>
  </x:si>
  <x:si>
    <x:t xml:space="preserve"> JayZEmpireListener </x:t>
  </x:si>
  <x:si>
    <x:t xml:space="preserve"> #Pride #JayZAnthem </x:t>
  </x:si>
  <x:si>
    <x:t xml:space="preserve">Dancing to Shakira's rhythmic beats, hips swaying to the hypnotic charm of 'Hips Don't Lie'. </x:t>
  </x:si>
  <x:si>
    <x:t xml:space="preserve"> Hypnotic </x:t>
  </x:si>
  <x:si>
    <x:t xml:space="preserve">2022-02-28 21:15:00</x:t>
  </x:si>
  <x:si>
    <x:t xml:space="preserve"> ShakiraHipsDancer </x:t>
  </x:si>
  <x:si>
    <x:t xml:space="preserve"> #Hypnotic #ShakiraRhythms </x:t>
  </x:si>
  <x:si>
    <x:t xml:space="preserve"> Colombia </x:t>
  </x:si>
  <x:si>
    <x:t xml:space="preserve">At a U2 concert, the anthemic chords of 'With or Without You' create a timeless moment of connection. </x:t>
  </x:si>
  <x:si>
    <x:t xml:space="preserve"> Connection </x:t>
  </x:si>
  <x:si>
    <x:t xml:space="preserve">2016-05-15 19:30:00</x:t>
  </x:si>
  <x:si>
    <x:t xml:space="preserve"> U2ConnectionSeeker </x:t>
  </x:si>
  <x:si>
    <x:t xml:space="preserve"> #Connection #U2Anthem </x:t>
  </x:si>
  <x:si>
    <x:t xml:space="preserve"> Ireland </x:t>
  </x:si>
  <x:si>
    <x:t xml:space="preserve">Rocking out at a Guns N' Roses show, the iconic riffs of 'Sweet Child o' Mine' echoing in the night. </x:t>
  </x:si>
  <x:si>
    <x:t xml:space="preserve"> Iconic </x:t>
  </x:si>
  <x:si>
    <x:t xml:space="preserve">2018-12-10 22:30:00</x:t>
  </x:si>
  <x:si>
    <x:t xml:space="preserve"> GunsNRosesRiffRockstar </x:t>
  </x:si>
  <x:si>
    <x:t xml:space="preserve"> #Iconic #GNRConcert </x:t>
  </x:si>
  <x:si>
    <x:t xml:space="preserve">In the crowd of an Ariana Grande concert, the high notes of 'Into You' create a euphoric symphony. </x:t>
  </x:si>
  <x:si>
    <x:t xml:space="preserve"> Euphoria </x:t>
  </x:si>
  <x:si>
    <x:t xml:space="preserve">2023-01-22 20:00:00</x:t>
  </x:si>
  <x:si>
    <x:t xml:space="preserve"> ArianaEuphoriaChaser </x:t>
  </x:si>
  <x:si>
    <x:t xml:space="preserve"> #Euphoria #ArianaGrande </x:t>
  </x:si>
  <x:si>
    <x:t xml:space="preserve">Swaying to the reggae vibes of Bob Marley's tribute concert, each chord a journey to Jamaica's soul. </x:t>
  </x:si>
  <x:si>
    <x:t xml:space="preserve"> Journey </x:t>
  </x:si>
  <x:si>
    <x:t xml:space="preserve">2020-03-05 18:45:00</x:t>
  </x:si>
  <x:si>
    <x:t xml:space="preserve"> MarleyReggaeTraveler </x:t>
  </x:si>
  <x:si>
    <x:t xml:space="preserve"> #Journey #BobMarleyTribute </x:t>
  </x:si>
  <x:si>
    <x:t xml:space="preserve"> Jamaica </x:t>
  </x:si>
  <x:si>
    <x:t xml:space="preserve">Captivated by the spellbinding plot twists, the audience applauds, experiencing a rollercoaster of emotions at the movie premiere. </x:t>
  </x:si>
  <x:si>
    <x:t xml:space="preserve">2018-10-12 20:00:00</x:t>
  </x:si>
  <x:si>
    <x:t xml:space="preserve"> MovieEnthusiastPremiereAttendee </x:t>
  </x:si>
  <x:si>
    <x:t xml:space="preserve"> #Excitement #MoviePremiereThrills </x:t>
  </x:si>
  <x:si>
    <x:t xml:space="preserve">As the credits roll, a profound sense of nostalgia washes over, reminiscent of cherished moments in classic films. </x:t>
  </x:si>
  <x:si>
    <x:t xml:space="preserve">2019-06-25 22:15:00</x:t>
  </x:si>
  <x:si>
    <x:t xml:space="preserve"> FilmLoverNostalgiaSeeker </x:t>
  </x:si>
  <x:si>
    <x:t xml:space="preserve"> #Nostalgia #ClassicFilmMoments </x:t>
  </x:si>
  <x:si>
    <x:t xml:space="preserve">Streaming the latest web series, the viewer is engrossed in the characters' journey, feeling a sense of connection and empathy. </x:t>
  </x:si>
  <x:si>
    <x:t xml:space="preserve"> Engagement </x:t>
  </x:si>
  <x:si>
    <x:t xml:space="preserve">2020-07-08 19:30:00</x:t>
  </x:si>
  <x:si>
    <x:t xml:space="preserve"> WebSeriesViewerCharacterConnection </x:t>
  </x:si>
  <x:si>
    <x:t xml:space="preserve"> #Engagement #WebSeriesJourney </x:t>
  </x:si>
  <x:si>
    <x:t xml:space="preserve">At the film festival, the indie filmmaker's creation receives a standing ovation, evoking pride and a sense of accomplishment. </x:t>
  </x:si>
  <x:si>
    <x:t xml:space="preserve">2017-09-18 21:45:00</x:t>
  </x:si>
  <x:si>
    <x:t xml:space="preserve"> IndieFilmmakerFestivalSuccess </x:t>
  </x:si>
  <x:si>
    <x:t xml:space="preserve"> #Pride #IndieFilmSuccess </x:t>
  </x:si>
  <x:si>
    <x:t xml:space="preserve">Watching a heartwarming family drama, tears flow freely as the characters overcome challenges, leaving the viewer with a warm glow. </x:t>
  </x:si>
  <x:si>
    <x:t xml:space="preserve"> Touched </x:t>
  </x:si>
  <x:si>
    <x:t xml:space="preserve">2021-01-15 18:00:00</x:t>
  </x:si>
  <x:si>
    <x:t xml:space="preserve"> DramaEnthusiastHeartwarmingMoments </x:t>
  </x:si>
  <x:si>
    <x:t xml:space="preserve"> #Touched #FamilyDramaMoments </x:t>
  </x:si>
  <x:si>
    <x:t xml:space="preserve">At the Oscars, the actor graciously accepts an award, radiating joy and gratitude for the recognition of their outstanding performance. </x:t>
  </x:si>
  <x:si>
    <x:t xml:space="preserve">2016-02-28 20:30:00</x:t>
  </x:si>
  <x:si>
    <x:t xml:space="preserve"> AwardWinningActorOscarsRecipient </x:t>
  </x:si>
  <x:si>
    <x:t xml:space="preserve"> #Gratitude #OscarWinningMoment </x:t>
  </x:si>
  <x:si>
    <x:t xml:space="preserve">Discovering a hidden gem in the world of documentaries, the viewer is enlightened and inspired, feeling a renewed sense of curiosity. </x:t>
  </x:si>
  <x:si>
    <x:t xml:space="preserve">2022-04-20 17:30:00</x:t>
  </x:si>
  <x:si>
    <x:t xml:space="preserve"> DocumentaryEnthusiastHiddenGemFinder </x:t>
  </x:si>
  <x:si>
    <x:t xml:space="preserve"> #Inspiration #HiddenGemDiscovery </x:t>
  </x:si>
  <x:si>
    <x:t xml:space="preserve">As the movie credits roll, the viewer experiences a mix of awe and contemplation, pondering the deeper meanings woven into the storyline. </x:t>
  </x:si>
  <x:si>
    <x:t xml:space="preserve">2019-11-05 21:15:00</x:t>
  </x:si>
  <x:si>
    <x:t xml:space="preserve"> FilmBuffContemplativeViewer </x:t>
  </x:si>
  <x:si>
    <x:t xml:space="preserve"> #Contemplation #DeepMeanings </x:t>
  </x:si>
  <x:si>
    <x:t xml:space="preserve">Binge-watching a thrilling crime series, the suspense keeps the viewer on the edge of their seat, creating a rush of adrenaline. </x:t>
  </x:si>
  <x:si>
    <x:t xml:space="preserve"> Suspense </x:t>
  </x:si>
  <x:si>
    <x:t xml:space="preserve">2015-07-12 22:00:00</x:t>
  </x:si>
  <x:si>
    <x:t xml:space="preserve"> CrimeSeriesEnthusiastThrillSeeker </x:t>
  </x:si>
  <x:si>
    <x:t xml:space="preserve"> #Suspense #CrimeSeriesThrills </x:t>
  </x:si>
  <x:si>
    <x:t xml:space="preserve">As the closing scene unfolds, a sense of satisfaction washes over, completing the cinematic journey with a profound and fulfilling ending. </x:t>
  </x:si>
  <x:si>
    <x:t xml:space="preserve"> Satisfaction </x:t>
  </x:si>
  <x:si>
    <x:t xml:space="preserve">2020-09-10 19:45:00</x:t>
  </x:si>
  <x:si>
    <x:t xml:space="preserve"> FilmCriticSatisfactionSeeker </x:t>
  </x:si>
  <x:si>
    <x:t xml:space="preserve"> #Satisfaction #FulfillingEnding </x:t>
  </x:si>
  <x:si>
    <x:t xml:space="preserve">Celebrating a historic victory in the World Cup, the nation erupts in joy, united by the triumph of their football team. </x:t>
  </x:si>
  <x:si>
    <x:t xml:space="preserve">2018-07-15 21:30:00</x:t>
  </x:si>
  <x:si>
    <x:t xml:space="preserve"> FootballFanWorldCupCelebration </x:t>
  </x:si>
  <x:si>
    <x:t xml:space="preserve"> #Joy #WorldCupTriumph </x:t>
  </x:si>
  <x:si>
    <x:t xml:space="preserve">At the Olympics, the athlete's perseverance shines through, earning a gold medal and inspiring a generation with their remarkable achievement. </x:t>
  </x:si>
  <x:si>
    <x:t xml:space="preserve">2020-08-08 19:45:00</x:t>
  </x:si>
  <x:si>
    <x:t xml:space="preserve"> OlympicsEnthusiastGoldMedalWinner </x:t>
  </x:si>
  <x:si>
    <x:t xml:space="preserve"> #Inspiration #OlympicAchievement </x:t>
  </x:si>
  <x:si>
    <x:t xml:space="preserve">In the cricket championship, a nail-biting finish leaves fans on the edge of their seats, experiencing a rollercoaster of emotions. </x:t>
  </x:si>
  <x:si>
    <x:t xml:space="preserve"> CricketFanChampionshipThrills </x:t>
  </x:si>
  <x:si>
    <x:t xml:space="preserve"> #Excitement #CricketChampionship </x:t>
  </x:si>
  <x:si>
    <x:t xml:space="preserve">Witnessing a record-breaking marathon, spectators are filled with awe and admiration for the endurance and dedication of the runners. </x:t>
  </x:si>
  <x:si>
    <x:t xml:space="preserve"> Admiration </x:t>
  </x:si>
  <x:si>
    <x:t xml:space="preserve">2021-11-07 17:30:00</x:t>
  </x:si>
  <x:si>
    <x:t xml:space="preserve"> MarathonSpectatorRecordBreaking </x:t>
  </x:si>
  <x:si>
    <x:t xml:space="preserve"> #Admiration #MarathonRecords </x:t>
  </x:si>
  <x:si>
    <x:t xml:space="preserve"> Kenya </x:t>
  </x:si>
  <x:si>
    <x:t xml:space="preserve">In the tennis grand slam, a fierce rivalry unfolds, captivating fans with a display of skill and sportsmanship on the world stage. </x:t>
  </x:si>
  <x:si>
    <x:t xml:space="preserve"> TennisEnthusiastGrandSlamDrama </x:t>
  </x:si>
  <x:si>
    <x:t xml:space="preserve"> #Captivation #TennisRivalry </x:t>
  </x:si>
  <x:si>
    <x:t xml:space="preserve">Cheering for the underdog in the basketball finals, the crowd erupts in applause as the team defies odds to claim the championship title. </x:t>
  </x:si>
  <x:si>
    <x:t xml:space="preserve"> Triumph </x:t>
  </x:si>
  <x:si>
    <x:t xml:space="preserve">2022-06-20 21:00:00</x:t>
  </x:si>
  <x:si>
    <x:t xml:space="preserve"> BasketballFanUnderdogTriumph </x:t>
  </x:si>
  <x:si>
    <x:t xml:space="preserve"> #Triumph #BasketballFinals </x:t>
  </x:si>
  <x:si>
    <x:t xml:space="preserve">At the golf tournament, the golfer's precision and focus lead to a stunning victory, leaving spectators in awe of their exceptional skill. </x:t>
  </x:si>
  <x:si>
    <x:t xml:space="preserve">2016-04-10 18:30:00</x:t>
  </x:si>
  <x:si>
    <x:t xml:space="preserve"> GolfEnthusiastPrecisionVictory </x:t>
  </x:si>
  <x:si>
    <x:t xml:space="preserve"> #Awe #GolfVictory </x:t>
  </x:si>
  <x:si>
    <x:t xml:space="preserve"> Scotland </x:t>
  </x:si>
  <x:si>
    <x:t xml:space="preserve">Experiencing the thrill of a high-speed Formula 1 race, fans are on the edge of their seats as drivers compete for the championship. </x:t>
  </x:si>
  <x:si>
    <x:t xml:space="preserve">2019-11-24 19:45:00</x:t>
  </x:si>
  <x:si>
    <x:t xml:space="preserve"> F1FanHighSpeedRaceExcitement </x:t>
  </x:si>
  <x:si>
    <x:t xml:space="preserve"> #Thrill #Formula1Championship </x:t>
  </x:si>
  <x:si>
    <x:t xml:space="preserve">In the cycling world championship, the climber conquers challenging terrains, symbolizing determination and achievement against all odds. </x:t>
  </x:si>
  <x:si>
    <x:t xml:space="preserve">2015-09-28 22:30:00</x:t>
  </x:si>
  <x:si>
    <x:t xml:space="preserve"> CyclingEnthusiastWorldChampion </x:t>
  </x:si>
  <x:si>
    <x:t xml:space="preserve"> #Determination #CyclingChampion </x:t>
  </x:si>
  <x:si>
    <x:t xml:space="preserve">Witnessing a heartwarming comeback in the hockey finals, fans share tears of joy as the team secures a historic victory after adversity. </x:t>
  </x:si>
  <x:si>
    <x:t xml:space="preserve"> Heartwarming </x:t>
  </x:si>
  <x:si>
    <x:t xml:space="preserve">2020-12-12 20:00:00</x:t>
  </x:si>
  <x:si>
    <x:t xml:space="preserve"> HockeyFanComebackVictory </x:t>
  </x:si>
  <x:si>
    <x:t xml:space="preserve"> #Heartwarming #HockeyFinalsComeback </x:t>
  </x:si>
  <x:si>
    <x:t xml:space="preserve">After a series of defeats, the soccer team faces disappointment, struggling to find the silver lining in a challenging season. </x:t>
  </x:si>
  <x:si>
    <x:t xml:space="preserve">2019-11-02 18:45:00</x:t>
  </x:si>
  <x:si>
    <x:t xml:space="preserve"> SoccerFanTeamDefeats </x:t>
  </x:si>
  <x:si>
    <x:t xml:space="preserve"> #Disappointment #SoccerDefeats </x:t>
  </x:si>
  <x:si>
    <x:t xml:space="preserve">In the tennis tournament, a highly anticipated player experiences a setback, leaving fans in shock and questioning the unforeseen turn of events. </x:t>
  </x:si>
  <x:si>
    <x:t xml:space="preserve">2018-07-10 21:15:00</x:t>
  </x:si>
  <x:si>
    <x:t xml:space="preserve"> TennisEnthusiastUnexpectedSetback </x:t>
  </x:si>
  <x:si>
    <x:t xml:space="preserve"> #Frustration #TennisSetback </x:t>
  </x:si>
  <x:si>
    <x:t xml:space="preserve">Facing a defeat in the championship, the boxer reflects on the challenges, vowing to return stronger and more determined in the next bout. </x:t>
  </x:si>
  <x:si>
    <x:t xml:space="preserve">2020-09-18 19:30:00</x:t>
  </x:si>
  <x:si>
    <x:t xml:space="preserve"> BoxingFanChampionshipDefeat </x:t>
  </x:si>
  <x:si>
    <x:t xml:space="preserve"> #Reflection #BoxingDefeat </x:t>
  </x:si>
  <x:si>
    <x:t xml:space="preserve">In the midst of a cycling race, a tire blowout leads to frustration for the cyclist, who valiantly tries to overcome the unexpected obstacle. </x:t>
  </x:si>
  <x:si>
    <x:t xml:space="preserve"> Obstacle </x:t>
  </x:si>
  <x:si>
    <x:t xml:space="preserve">2017-05-15 22:00:00</x:t>
  </x:si>
  <x:si>
    <x:t xml:space="preserve"> CyclingEnthusiastTireBlowout </x:t>
  </x:si>
  <x:si>
    <x:t xml:space="preserve"> #Obstacle #CyclingFrustration </x:t>
  </x:si>
  <x:si>
    <x:t xml:space="preserve">The gymnast's unexpected fall during a routine sparks a wave of sympathy from the audience, highlighting the vulnerability of sports. </x:t>
  </x:si>
  <x:si>
    <x:t xml:space="preserve"> Sympathy </x:t>
  </x:si>
  <x:si>
    <x:t xml:space="preserve">2021-04-05 20:15:00</x:t>
  </x:si>
  <x:si>
    <x:t xml:space="preserve"> GymnasticsFanRoutineFall </x:t>
  </x:si>
  <x:si>
    <x:t xml:space="preserve"> #Sympathy #GymnasticsFall </x:t>
  </x:si>
  <x:si>
    <x:t xml:space="preserve">In the golf tournament, a missed crucial putt results in defeat, causing the golfer to reflect on the pressure of high-stakes competition. </x:t>
  </x:si>
  <x:si>
    <x:t xml:space="preserve"> Pressure </x:t>
  </x:si>
  <x:si>
    <x:t xml:space="preserve">2016-08-20 18:30:00</x:t>
  </x:si>
  <x:si>
    <x:t xml:space="preserve"> GolfEnthusiastMissedPutt </x:t>
  </x:si>
  <x:si>
    <x:t xml:space="preserve"> #Pressure #GolfDefeat </x:t>
  </x:si>
  <x:si>
    <x:t xml:space="preserve">Experiencing a series of losses in the basketball season, the team grapples with frustration, determined to turn the tide with renewed effort. </x:t>
  </x:si>
  <x:si>
    <x:t xml:space="preserve"> Renewed Effort </x:t>
  </x:si>
  <x:si>
    <x:t xml:space="preserve">2019-02-12 19:45:00</x:t>
  </x:si>
  <x:si>
    <x:t xml:space="preserve"> BasketballFanTeamLosses </x:t>
  </x:si>
  <x:si>
    <x:t xml:space="preserve"> #RenewedEffort #BasketballStruggles </x:t>
  </x:si>
  <x:si>
    <x:t xml:space="preserve">Despite meticulous training, the swimmer faces disappointment as a split-second miscalculation costs them the lead in a crucial race. </x:t>
  </x:si>
  <x:si>
    <x:t xml:space="preserve"> Miscalculation </x:t>
  </x:si>
  <x:si>
    <x:t xml:space="preserve">2015-06-28 20:00:00</x:t>
  </x:si>
  <x:si>
    <x:t xml:space="preserve"> SwimmingEnthusiastRaceSetback </x:t>
  </x:si>
  <x:si>
    <x:t xml:space="preserve"> #Miscalculation #SwimmingDisappointment </x:t>
  </x:si>
  <x:si>
    <x:t xml:space="preserve">The weightlifter's failed attempt at a personal record results in frustration, highlighting the challenging nature of pushing physical limits. </x:t>
  </x:si>
  <x:si>
    <x:t xml:space="preserve"> Challenge </x:t>
  </x:si>
  <x:si>
    <x:t xml:space="preserve">2022-01-08 21:30:00</x:t>
  </x:si>
  <x:si>
    <x:t xml:space="preserve"> WeightliftingFanFailedRecord </x:t>
  </x:si>
  <x:si>
    <x:t xml:space="preserve"> #Challenge #WeightliftingFailure </x:t>
  </x:si>
  <x:si>
    <x:t xml:space="preserve">In the midst of a soccer match, an unexpected own goal creates a moment of despair for the player, as teammates console and encourage them. </x:t>
  </x:si>
  <x:si>
    <x:t xml:space="preserve">2018-12-15 20:15:00</x:t>
  </x:si>
  <x:si>
    <x:t xml:space="preserve"> SoccerPlayerOwnGoalMoment </x:t>
  </x:si>
  <x:si>
    <x:t xml:space="preserve"> #Despair #OwnGoal </x:t>
  </x:si>
  <x:si>
    <x:t xml:space="preserve">In the serene beauty of a sunset, nature unfolds a canvas of colors, evoking a sense of tranquility and wonder. </x:t>
  </x:si>
  <x:si>
    <x:t xml:space="preserve">2021-07-10 19:00:00</x:t>
  </x:si>
  <x:si>
    <x:t xml:space="preserve"> NatureEnthusiastSunsetWonder </x:t>
  </x:si>
  <x:si>
    <x:t xml:space="preserve"> #Tranquility #SunsetBeauty </x:t>
  </x:si>
  <x:si>
    <x:t xml:space="preserve">Embarking on a spontaneous road trip, the traveler discovers hidden gems, creating memories that will be cherished for a lifetime. </x:t>
  </x:si>
  <x:si>
    <x:t xml:space="preserve">2019-09-28 20:30:00</x:t>
  </x:si>
  <x:si>
    <x:t xml:space="preserve"> TravelEnthusiastRoadTripDiscovery </x:t>
  </x:si>
  <x:si>
    <x:t xml:space="preserve"> #Adventure #RoadTripMemories </x:t>
  </x:si>
  <x:si>
    <x:t xml:space="preserve">Amidst the bustling city, a quiet café becomes a sanctuary for reflection, where a cup of coffee brings solace to the wandering mind. </x:t>
  </x:si>
  <x:si>
    <x:t xml:space="preserve"> Solace </x:t>
  </x:si>
  <x:si>
    <x:t xml:space="preserve">2022-03-15 18:45:00</x:t>
  </x:si>
  <x:si>
    <x:t xml:space="preserve"> UrbanExplorerCafeSolitude </x:t>
  </x:si>
  <x:si>
    <x:t xml:space="preserve"> #Solace #CafeReflection </x:t>
  </x:si>
  <x:si>
    <x:t xml:space="preserve">Exploring the vibrant street art of a cultural neighborhood, each mural tells a story, infusing the city with creativity and expression. </x:t>
  </x:si>
  <x:si>
    <x:t xml:space="preserve">2017-11-05 21:15:00</x:t>
  </x:si>
  <x:si>
    <x:t xml:space="preserve"> ArtEnthusiastStreetArtExploration </x:t>
  </x:si>
  <x:si>
    <x:t xml:space="preserve"> #Creativity #StreetArtVibes </x:t>
  </x:si>
  <x:si>
    <x:t xml:space="preserve">In the world of science, a breakthrough discovery unfolds, pushing the boundaries of knowledge and opening new frontiers of exploration. </x:t>
  </x:si>
  <x:si>
    <x:t xml:space="preserve"> Breakthrough </x:t>
  </x:si>
  <x:si>
    <x:t xml:space="preserve">2020-05-20 16:30:00</x:t>
  </x:si>
  <x:si>
    <x:t xml:space="preserve"> ScienceEnthusiastDiscoveryMoment </x:t>
  </x:si>
  <x:si>
    <x:t xml:space="preserve"> #Breakthrough #ScientificDiscovery </x:t>
  </x:si>
  <x:si>
    <x:t xml:space="preserve">Connecting with the melody of a live orchestra, the music enthusiast experiences a symphony that resonates deep within the soul. </x:t>
  </x:si>
  <x:si>
    <x:t xml:space="preserve"> Harmony </x:t>
  </x:si>
  <x:si>
    <x:t xml:space="preserve">2016-08-22 19:45:00</x:t>
  </x:si>
  <x:si>
    <x:t xml:space="preserve"> MusicLoverLiveOrchestraExperience </x:t>
  </x:si>
  <x:si>
    <x:t xml:space="preserve"> #Harmony #OrchestraMelody </x:t>
  </x:si>
  <x:si>
    <x:t xml:space="preserve">Embracing the aroma of freshly baked bread, the home chef finds joy in the art of baking, creating delicious memories for loved ones. </x:t>
  </x:si>
  <x:si>
    <x:t xml:space="preserve"> Joy in Baking </x:t>
  </x:si>
  <x:si>
    <x:t xml:space="preserve">2023-04-10 17:15:00</x:t>
  </x:si>
  <x:si>
    <x:t xml:space="preserve"> HomeBakerDeliciousMemories </x:t>
  </x:si>
  <x:si>
    <x:t xml:space="preserve"> #JoyInBaking #HomemadeDelights </x:t>
  </x:si>
  <x:si>
    <x:t xml:space="preserve">Wandering through a historical museum, the history enthusiast becomes immersed in the tales of the past, envisioning bygone eras. </x:t>
  </x:si>
  <x:si>
    <x:t xml:space="preserve"> Envisioning History </x:t>
  </x:si>
  <x:si>
    <x:t xml:space="preserve">2015-12-18 18:00:00</x:t>
  </x:si>
  <x:si>
    <x:t xml:space="preserve"> HistoryBuffMuseumExploration </x:t>
  </x:si>
  <x:si>
    <x:t xml:space="preserve"> #EnvisioningHistory #MuseumTales </x:t>
  </x:si>
  <x:si>
    <x:t xml:space="preserve">In the realm of literature, a captivating novel transports the reader to distant lands, weaving a tapestry of imagination and escape. </x:t>
  </x:si>
  <x:si>
    <x:t xml:space="preserve"> Imagination </x:t>
  </x:si>
  <x:si>
    <x:t xml:space="preserve">2021-10-08 20:30:00</x:t>
  </x:si>
  <x:si>
    <x:t xml:space="preserve"> BookwormCaptivatingNovelEscape </x:t>
  </x:si>
  <x:si>
    <x:t xml:space="preserve"> #Imagination #LiteraryEscape </x:t>
  </x:si>
  <x:si>
    <x:t xml:space="preserve">Capturing the essence of a bustling market, the photographer freezes moments in time, each frame telling a unique and vibrant story. </x:t>
  </x:si>
  <x:si>
    <x:t xml:space="preserve"> Vibrancy </x:t>
  </x:si>
  <x:si>
    <x:t xml:space="preserve">2019-03-22 21:45:00</x:t>
  </x:si>
  <x:si>
    <x:t xml:space="preserve"> PhotographyEnthusiastMarketMoments </x:t>
  </x:si>
  <x:si>
    <x:t xml:space="preserve"> #Vibrancy #MarketStories </x:t>
  </x:si>
  <x:si>
    <x:t xml:space="preserve">Underneath the city lights, the dancer expresses emotions through graceful movements, creating a mesmerizing performance under the night sky. </x:t>
  </x:si>
  <x:si>
    <x:t xml:space="preserve"> Mesmerizing </x:t>
  </x:si>
  <x:si>
    <x:t xml:space="preserve">2018-06-15 22:00:00</x:t>
  </x:si>
  <x:si>
    <x:t xml:space="preserve"> DanceEnthusiastCityNightPerformance </x:t>
  </x:si>
  <x:si>
    <x:t xml:space="preserve"> #Mesmerizing #NightDancePerformance </x:t>
  </x:si>
  <x:si>
    <x:t xml:space="preserve">In the heart of a bustling market, the street food connoisseur indulges in a culinary adventure, savoring diverse flavors and aromas. </x:t>
  </x:si>
  <x:si>
    <x:t xml:space="preserve"> Culinary Adventure </x:t>
  </x:si>
  <x:si>
    <x:t xml:space="preserve">2019-08-28 19:30:00</x:t>
  </x:si>
  <x:si>
    <x:t xml:space="preserve"> FoodieMarketStreetFoodExploration </x:t>
  </x:si>
  <x:si>
    <x:t xml:space="preserve"> #CulinaryAdventure #StreetFoodDelights </x:t>
  </x:si>
  <x:si>
    <x:t xml:space="preserve"> Thailand </x:t>
  </x:si>
  <x:si>
    <x:t xml:space="preserve">As the first snowflake descends, the winter enthusiast eagerly prepares for a season of frosty delights, anticipating the magic of snow-covered landscapes. </x:t>
  </x:si>
  <x:si>
    <x:t xml:space="preserve"> Winter Magic </x:t>
  </x:si>
  <x:si>
    <x:t xml:space="preserve">2022-12-01 17:45:00</x:t>
  </x:si>
  <x:si>
    <x:t xml:space="preserve"> SnowLoverWinterEnthusiast </x:t>
  </x:si>
  <x:si>
    <x:t xml:space="preserve"> #WinterMagic #SnowyLandscapes </x:t>
  </x:si>
  <x:si>
    <x:t xml:space="preserve">Amidst the pages of a captivating mystery novel, the reader unravels clues and secrets, experiencing a thrilling journey of suspense and revelation. </x:t>
  </x:si>
  <x:si>
    <x:t xml:space="preserve"> Thrilling Journey </x:t>
  </x:si>
  <x:si>
    <x:t xml:space="preserve">2017-04-10 21:15:00</x:t>
  </x:si>
  <x:si>
    <x:t xml:space="preserve"> MysteryBookwormSuspensefulRead </x:t>
  </x:si>
  <x:si>
    <x:t xml:space="preserve"> #ThrillingJourney #MysteryNovel </x:t>
  </x:si>
  <x:si>
    <x:t xml:space="preserve">Surrounded by the vibrant colors of a flower garden, the gardener nurtures blossoms, finding joy in the beauty of nature's ever-changing canvas. </x:t>
  </x:si>
  <x:si>
    <x:t xml:space="preserve"> Nature's Beauty </x:t>
  </x:si>
  <x:si>
    <x:t xml:space="preserve">2020-05-15 18:30:00</x:t>
  </x:si>
  <x:si>
    <x:t xml:space="preserve"> GardeningEnthusiastFlowerGarden </x:t>
  </x:si>
  <x:si>
    <x:t xml:space="preserve"> #NaturesBeauty #FloralJoy </x:t>
  </x:si>
  <x:si>
    <x:t xml:space="preserve">At the astronomy observatory, the stargazer marvels at the vastness of the cosmos, contemplating the mysteries hidden within the celestial expanse. </x:t>
  </x:si>
  <x:si>
    <x:t xml:space="preserve"> Celestial Wonder </x:t>
  </x:si>
  <x:si>
    <x:t xml:space="preserve">2016-09-22 20:00:00</x:t>
  </x:si>
  <x:si>
    <x:t xml:space="preserve"> AstronomyEnthusiastStargazing </x:t>
  </x:si>
  <x:si>
    <x:t xml:space="preserve"> #CelestialWonder #Stargazing </x:t>
  </x:si>
  <x:si>
    <x:t xml:space="preserve">Engulfed in the aroma of freshly brewed coffee, the writer finds inspiration in every sip, embarking on a journey of creativity and prose. </x:t>
  </x:si>
  <x:si>
    <x:t xml:space="preserve"> Creative Inspiration </x:t>
  </x:si>
  <x:si>
    <x:t xml:space="preserve">2023-02-12 19:45:00</x:t>
  </x:si>
  <x:si>
    <x:t xml:space="preserve"> CoffeeLoverWritersRetreat </x:t>
  </x:si>
  <x:si>
    <x:t xml:space="preserve"> #CreativeInspiration #CoffeeJourney </x:t>
  </x:si>
  <x:si>
    <x:t xml:space="preserve">In the realm of fashion, the designer unveils a collection that tells a story, blending innovation and tradition on the runway of creativity. </x:t>
  </x:si>
  <x:si>
    <x:t xml:space="preserve"> Runway Creativity </x:t>
  </x:si>
  <x:si>
    <x:t xml:space="preserve">2015-11-10 21:00:00</x:t>
  </x:si>
  <x:si>
    <x:t xml:space="preserve"> FashionEnthusiastDesignerShowcase </x:t>
  </x:si>
  <x:si>
    <x:t xml:space="preserve"> #RunwayCreativity #FashionInnovation </x:t>
  </x:si>
  <x:si>
    <x:t xml:space="preserve">As the waves crash against the shore, the surfer embraces the thrill of riding the ocean's energy, capturing the essence of freedom in each wave. </x:t>
  </x:si>
  <x:si>
    <x:t xml:space="preserve"> Ocean's Freedom </x:t>
  </x:si>
  <x:si>
    <x:t xml:space="preserve">2021-07-20 18:15:00</x:t>
  </x:si>
  <x:si>
    <x:t xml:space="preserve"> SurfingEnthusiastWaveRider </x:t>
  </x:si>
  <x:si>
    <x:t xml:space="preserve"> #OceansFreedom #SurfingThrills </x:t>
  </x:si>
  <x:si>
    <x:t xml:space="preserve">Exploring the historical architecture of an ancient city, the traveler is transported to a bygone era, where each monument whispers tales of the past. </x:t>
  </x:si>
  <x:si>
    <x:t xml:space="preserve"> Whispers of the Past </x:t>
  </x:si>
  <x:si>
    <x:t xml:space="preserve">2019-04-18 20:30:00</x:t>
  </x:si>
  <x:si>
    <x:t xml:space="preserve"> HistoryExplorerAncientCityTour </x:t>
  </x:si>
  <x:si>
    <x:t xml:space="preserve"> #WhispersOfThePast #HistoricalTour </x:t>
  </x:si>
  <x:si>
    <x:t xml:space="preserve">Successfully avoided eye contact with my crush in the hallway. Mission accomplished. #TeenCrush #StealthMode </x:t>
  </x:si>
  <x:si>
    <x:t xml:space="preserve">2023-05-20 19:45:00</x:t>
  </x:si>
  <x:si>
    <x:t xml:space="preserve"> CrushAvoider </x:t>
  </x:si>
  <x:si>
    <x:t xml:space="preserve"> #CrushStruggles #AvoidingEyeContact </x:t>
  </x:si>
  <x:si>
    <x:t xml:space="preserve"> USA</x:t>
  </x:si>
  <x:si>
    <x:t xml:space="preserve">Ran out of snacks during a movie marathon. Crisis level: Emergency! #MovieNightStruggles #TeenProblems </x:t>
  </x:si>
  <x:si>
    <x:t xml:space="preserve"> Boredom </x:t>
  </x:si>
  <x:si>
    <x:t xml:space="preserve">2023-05-21 21:00:00</x:t>
  </x:si>
  <x:si>
    <x:t xml:space="preserve"> MovieBuff </x:t>
  </x:si>
  <x:si>
    <x:t xml:space="preserve"> #SnackCrisis #TeenLife </x:t>
  </x:si>
  <x:si>
    <x:t xml:space="preserve"> Canada</x:t>
  </x:si>
  <x:si>
    <x:t xml:space="preserve">Spent an hour choosing the perfect filter for a selfie. The struggle for that Instagram aesthetic is real. #SelfieQueen #TeenVibes </x:t>
  </x:si>
  <x:si>
    <x:t xml:space="preserve">2023-05-22 14:30:00</x:t>
  </x:si>
  <x:si>
    <x:t xml:space="preserve"> SelfieAddict </x:t>
  </x:si>
  <x:si>
    <x:t xml:space="preserve"> #SelfieStruggle #TeenConfessions </x:t>
  </x:si>
  <x:si>
    <x:t xml:space="preserve"> UK</x:t>
  </x:si>
  <x:si>
    <x:t xml:space="preserve">Lost my headphones again. How do they vanish into thin air? #HeadphoneMystery #TeenLife </x:t>
  </x:si>
  <x:si>
    <x:t xml:space="preserve">2023-05-23 16:45:00</x:t>
  </x:si>
  <x:si>
    <x:t xml:space="preserve"> AudioExplorer </x:t>
  </x:si>
  <x:si>
    <x:t xml:space="preserve"> #TeenProblems #LostHeadphones </x:t>
  </x:si>
  <x:si>
    <x:t xml:space="preserve">Decided to study for exams but ended up making memes about studying instead. Procrastination level: Expert. #ProcrastinationNation #TeenConfessions </x:t>
  </x:si>
  <x:si>
    <x:t xml:space="preserve">2023-05-24 13:15:00</x:t>
  </x:si>
  <x:si>
    <x:t xml:space="preserve"> MemeCreator </x:t>
  </x:si>
  <x:si>
    <x:t xml:space="preserve"> #StudyingMemes #TeenLife </x:t>
  </x:si>
  <x:si>
    <x:t xml:space="preserve">Got dressed for the day, then remembered it's Saturday. Oops. #WeekendVibes #TeenStruggles </x:t>
  </x:si>
  <x:si>
    <x:t xml:space="preserve"> Indifference </x:t>
  </x:si>
  <x:si>
    <x:t xml:space="preserve">2023-05-25 19:00:00</x:t>
  </x:si>
  <x:si>
    <x:t xml:space="preserve"> FashionBlunder </x:t>
  </x:si>
  <x:si>
    <x:t xml:space="preserve"> #WeekendOops #TeenFashion </x:t>
  </x:si>
  <x:si>
    <x:t xml:space="preserve">Survived a group project without any drama. Miracles do happen. #GroupProjectSuccess #TeenAchievements </x:t>
  </x:si>
  <x:si>
    <x:t xml:space="preserve">2023-05-26 14:20:00</x:t>
  </x:si>
  <x:si>
    <x:t xml:space="preserve"> GroupGenius </x:t>
  </x:si>
  <x:si>
    <x:t xml:space="preserve"> #TeenSuccess #ProjectMiracle </x:t>
  </x:si>
  <x:si>
    <x:t xml:space="preserve">Entered the kitchen with the intention to cook. Left with a bag of chips. Cooking is overrated, anyway. #MasterChefInTraining #TeenHumor </x:t>
  </x:si>
  <x:si>
    <x:t xml:space="preserve"> Disgust </x:t>
  </x:si>
  <x:si>
    <x:t xml:space="preserve">2023-05-27 21:15:00</x:t>
  </x:si>
  <x:si>
    <x:t xml:space="preserve"> ChipExplorer </x:t>
  </x:si>
  <x:si>
    <x:t xml:space="preserve"> #TeenChef #CookingFail </x:t>
  </x:si>
  <x:si>
    <x:t xml:space="preserve">Staring at the clock in class, waiting for the bell to ring like it's the most exciting event of the day. #ClassCountdown #TeenLife </x:t>
  </x:si>
  <x:si>
    <x:t xml:space="preserve">2023-05-28 12:00:00</x:t>
  </x:si>
  <x:si>
    <x:t xml:space="preserve"> ExcitementSeeker </x:t>
  </x:si>
  <x:si>
    <x:t xml:space="preserve"> #ClassEvent #TeenExcitement </x:t>
  </x:si>
  <x:si>
    <x:t xml:space="preserve">Discovered a new book series and spent the whole night reading. Who needs sleep, anyway? #BookwormLife #LateNightReading </x:t>
  </x:si>
  <x:si>
    <x:t xml:space="preserve">2023-05-29 23:30:00</x:t>
  </x:si>
  <x:si>
    <x:t xml:space="preserve"> NightReader </x:t>
  </x:si>
  <x:si>
    <x:t xml:space="preserve"> #BookDiscoveries #TeenReading </x:t>
  </x:si>
  <x:si>
    <x:t xml:space="preserve">Bought a new video game, played for hours, forgot to eat. The ultimate gaming session. #GamerLife #NoFoodGaming </x:t>
  </x:si>
  <x:si>
    <x:t xml:space="preserve">2023-05-30 20:45:00</x:t>
  </x:si>
  <x:si>
    <x:t xml:space="preserve"> GamingEnthusiast </x:t>
  </x:si>
  <x:si>
    <x:t xml:space="preserve"> #GameOn #TeenGamer </x:t>
  </x:si>
  <x:si>
    <x:t xml:space="preserve">Spent the day binge-watching a new series. Productivity level: Zero. #LazyDay #TVSeriesMarathon </x:t>
  </x:si>
  <x:si>
    <x:t xml:space="preserve">2023-05-31 15:30:00</x:t>
  </x:si>
  <x:si>
    <x:t xml:space="preserve"> LazyWatcher </x:t>
  </x:si>
  <x:si>
    <x:t xml:space="preserve"> #BingeWatchDay #TeenLife </x:t>
  </x:si>
  <x:si>
    <x:t xml:space="preserve">Caught up on the latest fashion trends and now planning a shopping spree. #Fashionista #TrendyTeen </x:t>
  </x:si>
  <x:si>
    <x:t xml:space="preserve">2023-06-01 18:00:00</x:t>
  </x:si>
  <x:si>
    <x:t xml:space="preserve"> TrendExplorer </x:t>
  </x:si>
  <x:si>
    <x:t xml:space="preserve"> #FashionGoals #TeenStyle </x:t>
  </x:si>
  <x:si>
    <x:t xml:space="preserve">Decided to learn a new instrument. Day one: Still trying to figure out how to hold it. #MusicNovice #LearningJourney </x:t>
  </x:si>
  <x:si>
    <x:t xml:space="preserve">2023-06-02 14:30:00</x:t>
  </x:si>
  <x:si>
    <x:t xml:space="preserve"> MusicalExplorer </x:t>
  </x:si>
  <x:si>
    <x:t xml:space="preserve"> #InstrumentLearning #TeenMusic </x:t>
  </x:si>
  <x:si>
    <x:t xml:space="preserve">Spent hours creating the perfect playlist for every mood. Music is my therapy. #PlaylistMaker #TeenMusicLover </x:t>
  </x:si>
  <x:si>
    <x:t xml:space="preserve">2023-06-03 21:15:00</x:t>
  </x:si>
  <x:si>
    <x:t xml:space="preserve"> MusicAficionado </x:t>
  </x:si>
  <x:si>
    <x:t xml:space="preserve"> #MusicTherapy #TeenPlaylist </x:t>
  </x:si>
  <x:si>
    <x:t xml:space="preserve">Successfully cooked a gourmet meal for the family. Chef skills unlocked! #ChefMode #TeenChef </x:t>
  </x:si>
  <x:si>
    <x:t xml:space="preserve">2023-06-04 19:30:00</x:t>
  </x:si>
  <x:si>
    <x:t xml:space="preserve"> HomeChef </x:t>
  </x:si>
  <x:si>
    <x:t xml:space="preserve"> #CookingSuccess #TeenCook </x:t>
  </x:si>
  <x:si>
    <x:t xml:space="preserve">Spontaneously booked a weekend getaway. Adventure awaits! #TravelBug #WeekendEscape </x:t>
  </x:si>
  <x:si>
    <x:t xml:space="preserve">2023-06-05 10:00:00</x:t>
  </x:si>
  <x:si>
    <x:t xml:space="preserve"> AdventureSeeker </x:t>
  </x:si>
  <x:si>
    <x:t xml:space="preserve"> #GetawayGoals #TeenTravel </x:t>
  </x:si>
  <x:si>
    <x:t xml:space="preserve">Attended a concert and danced the night away. Music is the heartbeat of life. #ConcertVibes #DanceAllNight </x:t>
  </x:si>
  <x:si>
    <x:t xml:space="preserve">2023-06-06 22:30:00</x:t>
  </x:si>
  <x:si>
    <x:t xml:space="preserve"> #MusicMagic #TeenConcert </x:t>
  </x:si>
  <x:si>
    <x:t xml:space="preserve">Rediscovered childhood cartoons and had a nostalgia-filled marathon. #CartoonNostalgia #TeenMemories </x:t>
  </x:si>
  <x:si>
    <x:t xml:space="preserve">2023-06-07 12:45:00</x:t>
  </x:si>
  <x:si>
    <x:t xml:space="preserve"> NostalgiaExplorer </x:t>
  </x:si>
  <x:si>
    <x:t xml:space="preserve"> #ChildhoodMemories #TeenCartoons </x:t>
  </x:si>
  <x:si>
    <x:t xml:space="preserve">Embarked on a DIY home decor project. Let's hope it turns out better than last time. #DIYAdventure #TeenHomeDecor </x:t>
  </x:si>
  <x:si>
    <x:t xml:space="preserve">2023-06-08 16:00:00</x:t>
  </x:si>
  <x:si>
    <x:t xml:space="preserve"> HomeDecorator </x:t>
  </x:si>
  <x:si>
    <x:t xml:space="preserve"> #DIYGoals #TeenCreative </x:t>
  </x:si>
  <x:si>
    <x:t xml:space="preserve">Spent the afternoon at a museum, pretending to be cultured. Art enthusiast in the making. #MuseumDay #TeenArtLover </x:t>
  </x:si>
  <x:si>
    <x:t xml:space="preserve">2023-06-09 14:00:00</x:t>
  </x:si>
  <x:si>
    <x:t xml:space="preserve"> ArtExplorer </x:t>
  </x:si>
  <x:si>
    <x:t xml:space="preserve"> #CulturalDay #TeenCuriosity </x:t>
  </x:si>
  <x:si>
    <x:t xml:space="preserve">Started a blog about random thoughts and musings. Blogging is the new diary. #BloggerLife #TeenBlogger </x:t>
  </x:si>
  <x:si>
    <x:t xml:space="preserve">2023-06-10 17:30:00</x:t>
  </x:si>
  <x:si>
    <x:t xml:space="preserve"> ThoughtfulBlogger </x:t>
  </x:si>
  <x:si>
    <x:t xml:space="preserve"> #BloggingJourney #TeenThoughts </x:t>
  </x:si>
  <x:si>
    <x:t xml:space="preserve">Relishing a peaceful afternoon with a classic novel. Quiet moments are the best moments. #BookLover #PeacefulAfternoon </x:t>
  </x:si>
  <x:si>
    <x:t xml:space="preserve">2023-06-11 15:30:00</x:t>
  </x:si>
  <x:si>
    <x:t xml:space="preserve"> NovelEnthusiast </x:t>
  </x:si>
  <x:si>
    <x:t xml:space="preserve"> #QuietMoments #BookishEscape </x:t>
  </x:si>
  <x:si>
    <x:t xml:space="preserve">Reflecting on a lifetime of memories, each wrinkle tells a story. Embracing the beauty of aging. #LifeReflections #BeautyInAging </x:t>
  </x:si>
  <x:si>
    <x:t xml:space="preserve">2023-06-12 18:00:00</x:t>
  </x:si>
  <x:si>
    <x:t xml:space="preserve"> WiseSoul </x:t>
  </x:si>
  <x:si>
    <x:t xml:space="preserve"> #AgingGracefully #Memories </x:t>
  </x:si>
  <x:si>
    <x:t xml:space="preserve">Exploring the world of digital art. It's never too late to discover new passions. #DigitalArtistry #LateBloomer </x:t>
  </x:si>
  <x:si>
    <x:t xml:space="preserve">2023-06-13 14:45:00</x:t>
  </x:si>
  <x:si>
    <x:t xml:space="preserve"> ArtAdventurer </x:t>
  </x:si>
  <x:si>
    <x:t xml:space="preserve"> #ArtDiscovery #SeniorArtist </x:t>
  </x:si>
  <x:si>
    <x:t xml:space="preserve">Savoring the flavors of a home-cooked meal. Simple joys are the heart of happiness. #HomeCooking #SimpleJoys </x:t>
  </x:si>
  <x:si>
    <x:t xml:space="preserve">2023-06-14 19:30:00</x:t>
  </x:si>
  <x:si>
    <x:t xml:space="preserve"> HomeChefSenior </x:t>
  </x:si>
  <x:si>
    <x:t xml:space="preserve"> #HappinessInFood #SeniorLife </x:t>
  </x:si>
  <x:si>
    <x:t xml:space="preserve">Embarking on a journey of learning a new language. The mind stays young with every new word. #LanguageLearning #NeverTooLate </x:t>
  </x:si>
  <x:si>
    <x:t xml:space="preserve">2023-06-15 12:15:00</x:t>
  </x:si>
  <x:si>
    <x:t xml:space="preserve"> LinguisticExplorer </x:t>
  </x:si>
  <x:si>
    <x:t xml:space="preserve"> #MindEnrichment #SeniorLearning </x:t>
  </x:si>
  <x:si>
    <x:t xml:space="preserve">Attended a classical music concert, feeling the timeless melodies resonate. Music transcends generations. #ClassicalMusic #TimelessMelodies </x:t>
  </x:si>
  <x:si>
    <x:t xml:space="preserve">2023-06-16 21:45:00</x:t>
  </x:si>
  <x:si>
    <x:t xml:space="preserve"> MusicConnoisseur </x:t>
  </x:si>
  <x:si>
    <x:t xml:space="preserve"> #MusicLover #SeniorConcert </x:t>
  </x:si>
  <x:si>
    <x:t xml:space="preserve">Capturing the beauty of nature through photography. Every snapshot is a treasure. #NaturePhotography #SeniorPhotographer </x:t>
  </x:si>
  <x:si>
    <x:t xml:space="preserve">2023-06-17 15:00:00</x:t>
  </x:si>
  <x:si>
    <x:t xml:space="preserve"> PhotographySenior </x:t>
  </x:si>
  <x:si>
    <x:t xml:space="preserve"> #NatureCapture #SeniorMoments </x:t>
  </x:si>
  <x:si>
    <x:t xml:space="preserve">Reconnecting with old friends over a cup of tea. Friendship, the true essence of companionship. #OldFriends #Companionship </x:t>
  </x:si>
  <x:si>
    <x:t xml:space="preserve">2023-06-18 11:30:00</x:t>
  </x:si>
  <x:si>
    <x:t xml:space="preserve"> TeaTimeSenior </x:t>
  </x:si>
  <x:si>
    <x:t xml:space="preserve"> #FriendshipGoals #SeniorBonding </x:t>
  </x:si>
  <x:si>
    <x:t xml:space="preserve">Embarked on a road trip to revisit cherished places from the past. Nostalgia, the ultimate travel companion. #RoadTrip #NostalgiaTour </x:t>
  </x:si>
  <x:si>
    <x:t xml:space="preserve">2023-06-19 16:30:00</x:t>
  </x:si>
  <x:si>
    <x:t xml:space="preserve"> RoadTripSenior </x:t>
  </x:si>
  <x:si>
    <x:t xml:space="preserve"> #CherishedPlaces #SeniorTravel </x:t>
  </x:si>
  <x:si>
    <x:t xml:space="preserve">Joined a community choir, harmonizing with fellow voices. Music creates bonds that withstand time. #CommunityChoir #HarmonyInAging </x:t>
  </x:si>
  <x:si>
    <x:t xml:space="preserve">2023-06-20 14:20:00</x:t>
  </x:si>
  <x:si>
    <x:t xml:space="preserve"> ChoirEnthusiast </x:t>
  </x:si>
  <x:si>
    <x:t xml:space="preserve"> #MusicHarmony #SeniorVoices </x:t>
  </x:si>
  <x:si>
    <x:t xml:space="preserve">Exploring the art of meditation, finding tranquility in the stillness of the mind. #MeditationJourney #TranquilMind </x:t>
  </x:si>
  <x:si>
    <x:t xml:space="preserve">2023-06-21 19:00:00</x:t>
  </x:si>
  <x:si>
    <x:t xml:space="preserve"> MeditationSenior </x:t>
  </x:si>
  <x:si>
    <x:t xml:space="preserve"> #MindfulLiving #SeniorCalm </x:t>
  </x:si>
  <x:si>
    <x:t xml:space="preserve">Taking a stroll in the garden, appreciating the beauty of blooming flowers. Nature's wonders never cease. #GardenWalk #FloralBeauty </x:t>
  </x:si>
  <x:si>
    <x:t xml:space="preserve">2023-06-22 13:45:00</x:t>
  </x:si>
  <x:si>
    <x:t xml:space="preserve"> #NatureWonders #SeniorGarden </x:t>
  </x:si>
  <x:si>
    <x:t xml:space="preserve">Sipping on a favorite vintage wine, each sip telling a story of the years gone by. Cheers to a life well-lived. #WineLover #VintageCheers </x:t>
  </x:si>
  <x:si>
    <x:t xml:space="preserve">2023-06-23 18:45:00</x:t>
  </x:si>
  <x:si>
    <x:t xml:space="preserve"> WineConnoisseur </x:t>
  </x:si>
  <x:si>
    <x:t xml:space="preserve"> #LifeWellLived #SeniorWine </x:t>
  </x:si>
  <x:si>
    <x:t xml:space="preserve">Participated in a community art class, unleashing creativity in the golden years. Art has no age limit. #ArtClass #SeniorArtistry </x:t>
  </x:si>
  <x:si>
    <x:t xml:space="preserve">2023-06-24 16:15:00</x:t>
  </x:si>
  <x:si>
    <x:t xml:space="preserve"> ArtisticSenior </x:t>
  </x:si>
  <x:si>
    <x:t xml:space="preserve"> #CreativityAtAnyAge #SeniorCreativity </x:t>
  </x:si>
  <x:si>
    <x:t xml:space="preserve">Embarking on a journey of writing a memoir, documenting a lifetime of experiences. Every story matters. #MemoirWriting #SeniorStories </x:t>
  </x:si>
  <x:si>
    <x:t xml:space="preserve">2023-06-25 20:30:00</x:t>
  </x:si>
  <x:si>
    <x:t xml:space="preserve"> MemoiristSenior </x:t>
  </x:si>
  <x:si>
    <x:t xml:space="preserve"> #LifetimeExperiences #SeniorMemoir </x:t>
  </x:si>
  <x:si>
    <x:t xml:space="preserve">Attended a lecture on history, always fascinated by the lessons from the past. Learning is a lifelong adventure. #HistoryLecture #SeniorLearning </x:t>
  </x:si>
  <x:si>
    <x:t xml:space="preserve">2023-06-26 14:00:00</x:t>
  </x:si>
  <x:si>
    <x:t xml:space="preserve"> HistoryEnthusiast </x:t>
  </x:si>
  <x:si>
    <x:t xml:space="preserve"> #LifetimeAdventure #SeniorCuriosity </x:t>
  </x:si>
  <x:si>
    <x:t xml:space="preserve">Rediscovered the joy of cooking traditional family recipes. The kitchen, a place of cherished memories. #FamilyRecipes #SeniorCooking </x:t>
  </x:si>
  <x:si>
    <x:t xml:space="preserve">2023-06-27 17:45:00</x:t>
  </x:si>
  <x:si>
    <x:t xml:space="preserve"> FamilyChefSenior </x:t>
  </x:si>
  <x:si>
    <x:t xml:space="preserve"> #KitchenMemories #SeniorCulinary </x:t>
  </x:si>
  <x:si>
    <x:t xml:space="preserve">Joined a nature photography club, capturing the beauty of the great outdoors. Every click is a connection to nature. #NaturePhotography #SeniorPhotographer </x:t>
  </x:si>
  <x:si>
    <x:t xml:space="preserve">2023-06-28 22:15:00</x:t>
  </x:si>
  <x:si>
    <x:t xml:space="preserve"> NaturePhotographySenior </x:t>
  </x:si>
  <x:si>
    <x:t xml:space="preserve"> #OutdoorBeauty #SeniorClicks </x:t>
  </x:si>
  <x:si>
    <x:t xml:space="preserve">Attended a jazz concert and swayed to the rhythm of timeless tunes. Music, a constant companion in the golden years. #JazzConcert #SeniorMusic </x:t>
  </x:si>
  <x:si>
    <x:t xml:space="preserve">2023-06-29 16:30:00</x:t>
  </x:si>
  <x:si>
    <x:t xml:space="preserve"> JazzMusicLover </x:t>
  </x:si>
  <x:si>
    <x:t xml:space="preserve"> #TimelessTunes #SeniorJazz </x:t>
  </x:si>
  <x:si>
    <x:t xml:space="preserve">Joined a writing group, penning down thoughts and reflections. Writing, a journey into the depths of the soul. #WritingGroup #SeniorWriter </x:t>
  </x:si>
  <x:si>
    <x:t xml:space="preserve">2023-06-30 19:30:00</x:t>
  </x:si>
  <x:si>
    <x:t xml:space="preserve"> SeniorWordsmith </x:t>
  </x:si>
  <x:si>
    <x:t xml:space="preserve"> #SoulfulWriting #SeniorReflections </x:t>
  </x:si>
  <x:si>
    <x:t xml:space="preserve">Embarked on a solo travel adventure, discovering the beauty of new places at my own pace. #SoloTravel #SeniorExplorer </x:t>
  </x:si>
  <x:si>
    <x:t xml:space="preserve">2023-07-01 14:00:00</x:t>
  </x:si>
  <x:si>
    <x:t xml:space="preserve"> SoloAdventurer </x:t>
  </x:si>
  <x:si>
    <x:t xml:space="preserve"> #DiscoverNewPlaces #SeniorTravel </x:t>
  </x:si>
  <x:si>
    <x:t xml:space="preserve">Attended a vintage car show, reminiscing about the classics that once ruled the roads. Nostalgia in every rev. #VintageCars #ClassicRides </x:t>
  </x:si>
  <x:si>
    <x:t xml:space="preserve">2023-07-02 18:30:00</x:t>
  </x:si>
  <x:si>
    <x:t xml:space="preserve"> CarEnthusiastSenior </x:t>
  </x:si>
  <x:si>
    <x:t xml:space="preserve"> #RoadTripDownMemoryLane #SeniorCars </x:t>
  </x:si>
  <x:si>
    <x:t xml:space="preserve">Started a community garden, growing not just plants but friendships too. Green thumbs unite! #CommunityGarden #SeniorGardener </x:t>
  </x:si>
  <x:si>
    <x:t xml:space="preserve">2023-07-03 12:45:00</x:t>
  </x:si>
  <x:si>
    <x:t xml:space="preserve"> GreenThumbSenior </x:t>
  </x:si>
  <x:si>
    <x:t xml:space="preserve"> #GardenFriends #SeniorGreenThumb </x:t>
  </x:si>
  <x:si>
    <x:t xml:space="preserve">Hosted a family dinner, where laughter echoed louder than the clinking of utensils. Family, the heart of happiness. #FamilyDinner #SeniorHost </x:t>
  </x:si>
  <x:si>
    <x:t xml:space="preserve">2023-07-04 17:00:00</x:t>
  </x:si>
  <x:si>
    <x:t xml:space="preserve"> FamilyHostSenior </x:t>
  </x:si>
  <x:si>
    <x:t xml:space="preserve"> #HeartwarmingMoments #SeniorFamily </x:t>
  </x:si>
  <x:si>
    <x:t xml:space="preserve">Enrolled in a dance class for seniors, moving to the rhythm of life. Age is just a number on the dance floor. #DanceClass #SeniorDancer </x:t>
  </x:si>
  <x:si>
    <x:t xml:space="preserve">2023-07-05 20:15:00</x:t>
  </x:si>
  <x:si>
    <x:t xml:space="preserve"> DanceEnthusiastSenior </x:t>
  </x:si>
  <x:si>
    <x:t xml:space="preserve"> #DanceLife #SeniorMoves </x:t>
  </x:si>
  <x:si>
    <x:t xml:space="preserve">Visited an art gallery, appreciating the brushstrokes that tell tales of creativity. Art, an eternal companion. #ArtGallery #SeniorArtLover </x:t>
  </x:si>
  <x:si>
    <x:t xml:space="preserve">2023-07-06 14:30:00</x:t>
  </x:si>
  <x:si>
    <x:t xml:space="preserve"> ArtGalleryVisitor </x:t>
  </x:si>
  <x:si>
    <x:t xml:space="preserve"> #CreativeExpressions #SeniorArt </x:t>
  </x:si>
  <x:si>
    <x:t xml:space="preserve">Started a book club for seniors, where discussions are as lively as the characters in the novels. #BookClub #SeniorReaders </x:t>
  </x:si>
  <x:si>
    <x:t xml:space="preserve">2023-07-07 19:45:00</x:t>
  </x:si>
  <x:si>
    <x:t xml:space="preserve"> SeniorBookClub </x:t>
  </x:si>
  <x:si>
    <x:t xml:space="preserve"> #BookishTalks #SeniorBookworms </x:t>
  </x:si>
  <x:si>
    <x:t xml:space="preserve">Hosted a picnic in the park, basking in the warmth of friendship and sunshine. Simple joys, timeless memories. #ParkPicnic #SeniorJoy </x:t>
  </x:si>
  <x:si>
    <x:t xml:space="preserve">2023-07-08 16:00:00</x:t>
  </x:si>
  <x:si>
    <x:t xml:space="preserve"> SeniorPicnicHost </x:t>
  </x:si>
  <x:si>
    <x:t xml:space="preserve"> #FriendshipSunshine #SeniorMemories </x:t>
  </x:si>
  <x:si>
    <x:t xml:space="preserve">Participated in a local theater production, proving that the stage belongs to every age. #TheaterProduction #SeniorActor </x:t>
  </x:si>
  <x:si>
    <x:t xml:space="preserve">2023-07-09 22:30:00</x:t>
  </x:si>
  <x:si>
    <x:t xml:space="preserve"> SeniorActor </x:t>
  </x:si>
  <x:si>
    <x:t xml:space="preserve"> #StagePassion #SeniorTheater </x:t>
  </x:si>
  <x:si>
    <x:t xml:space="preserve">Embarked on a hiking adventure, conquering trails and relishing the beauty of nature. Age is just a number on the mountaintop. #HikingAdventure #SeniorHiker </x:t>
  </x:si>
  <x:si>
    <x:t xml:space="preserve">2023-07-10 14:20:00</x:t>
  </x:si>
  <x:si>
    <x:t xml:space="preserve"> SeniorHikerExplorer </x:t>
  </x:si>
  <x:si>
    <x:t xml:space="preserve"> #NatureTrailBlazer #SeniorExplorer </x:t>
  </x:si>
  <x:si>
    <x:t xml:space="preserve">Hosted a photography exhibition featuring snapshots of a life well-lived. Every photo has a story to tell. #PhotographyExhibition #SeniorPhotographer </x:t>
  </x:si>
  <x:si>
    <x:t xml:space="preserve">2023-07-11 18:45:00</x:t>
  </x:si>
  <x:si>
    <x:t xml:space="preserve"> SeniorPhotographerExhibitor </x:t>
  </x:si>
  <x:si>
    <x:t xml:space="preserve"> #LifeInPictures #SeniorExhibition </x:t>
  </x:si>
  <x:si>
    <x:t xml:space="preserve">Joined a seniors' cycling club, feeling the wind in my hair and the freedom of the open road. #CyclingClub #SeniorCyclist </x:t>
  </x:si>
  <x:si>
    <x:t xml:space="preserve">2023-07-12 13:45:00</x:t>
  </x:si>
  <x:si>
    <x:t xml:space="preserve"> SeniorCyclingEnthusiast </x:t>
  </x:si>
  <x:si>
    <x:t xml:space="preserve"> #OpenRoadAdventures #SeniorCycling </x:t>
  </x:si>
  <x:si>
    <x:t xml:space="preserve">Attended a wine tasting event, savoring the richness of flavors that age like fine wine. Cheers to the golden years! #WineTasting #SeniorWineLover </x:t>
  </x:si>
  <x:si>
    <x:t xml:space="preserve">2023-07-13 20:00:00</x:t>
  </x:si>
  <x:si>
    <x:t xml:space="preserve"> SeniorWineConnoisseur </x:t>
  </x:si>
  <x:si>
    <x:t xml:space="preserve"> #AgedToPerfection #SeniorCheers </x:t>
  </x:si>
  <x:si>
    <x:t xml:space="preserve">Started learning ballroom dancing, gliding gracefully across the dance floor. Ageless elegance in every step. #BallroomDancing #SeniorDancer </x:t>
  </x:si>
  <x:si>
    <x:t xml:space="preserve">2023-07-14 16:15:00</x:t>
  </x:si>
  <x:si>
    <x:t xml:space="preserve"> SeniorBallroomDancer </x:t>
  </x:si>
  <x:si>
    <x:t xml:space="preserve"> #GracefulMoves #SeniorDance </x:t>
  </x:si>
  <x:si>
    <x:t xml:space="preserve">Organized a community painting event, turning blank canvases into a masterpiece of shared creativity. #PaintingEvent #SeniorArtist </x:t>
  </x:si>
  <x:si>
    <x:t xml:space="preserve">2023-07-15 19:30:00</x:t>
  </x:si>
  <x:si>
    <x:t xml:space="preserve"> SeniorPaintingOrganizer </x:t>
  </x:si>
  <x:si>
    <x:t xml:space="preserve"> #CommunityArt #SeniorCreativity </x:t>
  </x:si>
  <x:si>
    <x:t xml:space="preserve">Hosted a 'memory lane' evening with old friends, reminiscing about the adventures that shaped our lives. #MemoryLane #SeniorReminiscing </x:t>
  </x:si>
  <x:si>
    <x:t xml:space="preserve">2023-07-16 14:00:00</x:t>
  </x:si>
  <x:si>
    <x:t xml:space="preserve"> SeniorMemoriesHost </x:t>
  </x:si>
  <x:si>
    <x:t xml:space="preserve"> #FriendshipAdventures #SeniorNostalgia </x:t>
  </x:si>
  <x:si>
    <x:t xml:space="preserve">Joined a seniors' astronomy club, stargazing and finding wonder in the vastness of the cosmos. #AstronomyClub #SeniorStargazer </x:t>
  </x:si>
  <x:si>
    <x:t xml:space="preserve">2023-07-17 22:15:00</x:t>
  </x:si>
  <x:si>
    <x:t xml:space="preserve"> SeniorStargazer </x:t>
  </x:si>
  <x:si>
    <x:t xml:space="preserve"> #CelestialWonders #SeniorAstronomy </x:t>
  </x:si>
  <x:si>
    <x:t xml:space="preserve">Attended a local jazz festival, tapping toes to the tunes that have stood the test of time. Music, a lifelong love affair. #JazzFestival #SeniorMusicLover </x:t>
  </x:si>
  <x:si>
    <x:t xml:space="preserve">2023-07-18 16:30:00</x:t>
  </x:si>
  <x:si>
    <x:t xml:space="preserve"> SeniorJazzFestivalGoer </x:t>
  </x:si>
  <x:si>
    <x:t xml:space="preserve">Started a blog sharing the wisdom gained through the years, proving that every day is a chance to learn and grow. #SeniorWisdom #Blog </x:t>
  </x:si>
  <x:si>
    <x:t xml:space="preserve">2023-07-19 19:45:00</x:t>
  </x:si>
  <x:si>
    <x:t xml:space="preserve"> WisdomBloggerSenior </x:t>
  </x:si>
  <x:si>
    <x:t xml:space="preserve"> #LifeLessons #SeniorBlog </x:t>
  </x:si>
  <x:si>
    <x:t xml:space="preserve">Participated in a charity run, proving that age is no barrier to supporting meaningful causes. #CharityRun #SeniorRunner </x:t>
  </x:si>
  <x:si>
    <x:t xml:space="preserve">2023-07-20 17:00:00</x:t>
  </x:si>
  <x:si>
    <x:t xml:space="preserve"> SeniorCharityRunner </x:t>
  </x:si>
  <x:si>
    <x:t xml:space="preserve"> #RunForACause #SeniorSupport </x:t>
  </x:si>
  <x:si>
    <x:t xml:space="preserve">Survived a challenging physics exam. Equations, you won't defeat me! </x:t>
  </x:si>
  <x:si>
    <x:t xml:space="preserve"> Relief </x:t>
  </x:si>
  <x:si>
    <x:t xml:space="preserve">2023-08-01 13:30:00</x:t>
  </x:si>
  <x:si>
    <x:t xml:space="preserve"> PhysicsWhizHighSchool </x:t>
  </x:si>
  <x:si>
    <x:t xml:space="preserve"> #PhysicsSurvivor #HighSchoolAdventures </x:t>
  </x:si>
  <x:si>
    <x:t xml:space="preserve">Exploring the world of coding. Debugging is an adventure on its own! #CodingJourney #HighSchoolCoder </x:t>
  </x:si>
  <x:si>
    <x:t xml:space="preserve">2023-08-02 14:45:00</x:t>
  </x:si>
  <x:si>
    <x:t xml:space="preserve"> CodeExplorerHighSchool </x:t>
  </x:si>
  <x:si>
    <x:t xml:space="preserve"> #CodingAdventure #HighSchoolCoderLife </x:t>
  </x:si>
  <x:si>
    <x:t xml:space="preserve">Joined the school debate team. Words are my weapons, and I'm ready for battle! </x:t>
  </x:si>
  <x:si>
    <x:t xml:space="preserve">2023-08-03 12:15:00</x:t>
  </x:si>
  <x:si>
    <x:t xml:space="preserve"> DebateWarriorHighSchool </x:t>
  </x:si>
  <x:si>
    <x:t xml:space="preserve"> #DebateWarrior #HighSchoolDebater </x:t>
  </x:si>
  <x:si>
    <x:t xml:space="preserve">Started a photography club at school. Capturing moments, one snapshot at a time! </x:t>
  </x:si>
  <x:si>
    <x:t xml:space="preserve">2023-08-04 16:30:00</x:t>
  </x:si>
  <x:si>
    <x:t xml:space="preserve"> PhotoClubHighSchool </x:t>
  </x:si>
  <x:si>
    <x:t xml:space="preserve"> #PhotographyClub #HighSchoolPhotographer </x:t>
  </x:si>
  <x:si>
    <x:t xml:space="preserve">Daydreaming about the upcoming prom. The dress, the dance – it's a fairytale in the making! </x:t>
  </x:si>
  <x:si>
    <x:t xml:space="preserve">2023-08-05 19:45:00</x:t>
  </x:si>
  <x:si>
    <x:t xml:space="preserve"> PromDreamerHighSchool </x:t>
  </x:si>
  <x:si>
    <x:t xml:space="preserve"> #PromDreams #HighSchoolFairytale </x:t>
  </x:si>
  <x:si>
    <x:t xml:space="preserve">Convinced the teacher to have class outdoors. Learning equations with a side of fresh air! </x:t>
  </x:si>
  <x:si>
    <x:t xml:space="preserve"> Positive </x:t>
  </x:si>
  <x:si>
    <x:t xml:space="preserve">2023-08-06 14:00:00</x:t>
  </x:si>
  <x:si>
    <x:t xml:space="preserve"> OutdoorClassHighSchool </x:t>
  </x:si>
  <x:si>
    <x:t xml:space="preserve"> #OutdoorClassroom #HighSchoolExplorer </x:t>
  </x:si>
  <x:si>
    <x:t xml:space="preserve">Accidentally spilled paint in art class. Abstract art, right? #ArtClassAdventures #HighSchoolArtist </x:t>
  </x:si>
  <x:si>
    <x:t xml:space="preserve"> Embarrassed </x:t>
  </x:si>
  <x:si>
    <x:t xml:space="preserve">2023-08-07 19:45:00</x:t>
  </x:si>
  <x:si>
    <x:t xml:space="preserve"> PaintSpillHighSchool </x:t>
  </x:si>
  <x:si>
    <x:t xml:space="preserve"> #ArtisticMishaps #HighSchoolArt </x:t>
  </x:si>
  <x:si>
    <x:t xml:space="preserve">Trying to master the perfect kickflip on my skateboard. Skating into the weekend like a pro! </x:t>
  </x:si>
  <x:si>
    <x:t xml:space="preserve">2023-08-08 16:00:00</x:t>
  </x:si>
  <x:si>
    <x:t xml:space="preserve"> SkateProHighSchool </x:t>
  </x:si>
  <x:si>
    <x:t xml:space="preserve"> #SkaterLife #HighSchoolSkater </x:t>
  </x:si>
  <x:si>
    <x:t xml:space="preserve">Bonding with friends over the latest K-pop sensation. Fangirling at its finest! </x:t>
  </x:si>
  <x:si>
    <x:t xml:space="preserve">2023-08-09 22:30:00</x:t>
  </x:si>
  <x:si>
    <x:t xml:space="preserve"> KpopFangirlHighSchool </x:t>
  </x:si>
  <x:si>
    <x:t xml:space="preserve"> #KpopFangirl #HighSchoolMusic </x:t>
  </x:si>
  <x:si>
    <x:t xml:space="preserve">Spent hours perfecting a chemistry experiment. Mixing potions like a wizard! </x:t>
  </x:si>
  <x:si>
    <x:t xml:space="preserve">2023-08-10 14:20:00</x:t>
  </x:si>
  <x:si>
    <x:t xml:space="preserve"> ChemistryWizardHighSchool </x:t>
  </x:si>
  <x:si>
    <x:t xml:space="preserve"> #ChemistryWizard #HighSchoolScientist </x:t>
  </x:si>
  <x:si>
    <x:t xml:space="preserve">Successfully organized a surprise birthday party for a friend. Party planning expert mode: Achieved! </x:t>
  </x:si>
  <x:si>
    <x:t xml:space="preserve">2023-08-11 18:45:00</x:t>
  </x:si>
  <x:si>
    <x:t xml:space="preserve"> BirthdayPartyPlannerHighSchool </x:t>
  </x:si>
  <x:si>
    <x:t xml:space="preserve"> #BirthdayParty #HighSchoolCelebration </x:t>
  </x:si>
  <x:si>
    <x:t xml:space="preserve">Joined the drama club to unleash my inner actor. Lights, camera, action! </x:t>
  </x:si>
  <x:si>
    <x:t xml:space="preserve">2023-08-12 13:45:00</x:t>
  </x:si>
  <x:si>
    <x:t xml:space="preserve"> DramaClubStarHighSchool </x:t>
  </x:si>
  <x:si>
    <x:t xml:space="preserve"> #DramaClubStar #HighSchoolActor </x:t>
  </x:si>
  <x:si>
    <x:t xml:space="preserve">Got my hands on the latest fantasy novel. Diving into realms of magic and adventure! </x:t>
  </x:si>
  <x:si>
    <x:t xml:space="preserve">2023-08-13 20:00:00</x:t>
  </x:si>
  <x:si>
    <x:t xml:space="preserve"> FantasyBookNerdHighSchool </x:t>
  </x:si>
  <x:si>
    <x:t xml:space="preserve"> #FantasyBookNerd #HighSchoolReader </x:t>
  </x:si>
  <x:si>
    <x:t xml:space="preserve">Mastering the art of the perfect doodle during boring classes. Doodles: A+! </x:t>
  </x:si>
  <x:si>
    <x:t xml:space="preserve">2023-08-14 16:15:00</x:t>
  </x:si>
  <x:si>
    <x:t xml:space="preserve"> DoodleMasterHighSchool </x:t>
  </x:si>
  <x:si>
    <x:t xml:space="preserve"> #DoodleMaster #HighSchoolArt </x:t>
  </x:si>
  <x:si>
    <x:t xml:space="preserve">Attempting to break the school record for the longest handstand. Wish me luck! </x:t>
  </x:si>
  <x:si>
    <x:t xml:space="preserve">2023-08-15 19:30:00</x:t>
  </x:si>
  <x:si>
    <x:t xml:space="preserve"> HandstandChallengeHighSchool </x:t>
  </x:si>
  <x:si>
    <x:t xml:space="preserve"> #HandstandChallenge #HighSchoolAthlete </x:t>
  </x:si>
  <x:si>
    <x:t xml:space="preserve">Sneaking snacks into class like a pro. The art of snack-smuggling is a sacred skill! </x:t>
  </x:si>
  <x:si>
    <x:t xml:space="preserve"> Mischievous </x:t>
  </x:si>
  <x:si>
    <x:t xml:space="preserve">2023-08-16 14:00:00</x:t>
  </x:si>
  <x:si>
    <x:t xml:space="preserve"> SnackSmugglerHighSchool </x:t>
  </x:si>
  <x:si>
    <x:t xml:space="preserve"> #SnackSmuggler #HighSchoolSnacks </x:t>
  </x:si>
  <x:si>
    <x:t xml:space="preserve">Hosting a sleepover with friends this weekend. Preparing for a night of laughter and memories! </x:t>
  </x:si>
  <x:si>
    <x:t xml:space="preserve">2023-08-17 22:15:00</x:t>
  </x:si>
  <x:si>
    <x:t xml:space="preserve"> SleepoverHostHighSchool </x:t>
  </x:si>
  <x:si>
    <x:t xml:space="preserve"> #SleepoverFun #HighSchoolMemories </x:t>
  </x:si>
  <x:si>
    <x:t xml:space="preserve">Spent hours on a TikTok dance, only to realize I have two left feet. Dance fail: Unleashed! </x:t>
  </x:si>
  <x:si>
    <x:t xml:space="preserve">2023-08-18 16:30:00</x:t>
  </x:si>
  <x:si>
    <x:t xml:space="preserve"> TikTokFailHighSchool </x:t>
  </x:si>
  <x:si>
    <x:t xml:space="preserve"> #DanceFail #HighSchoolTikTok </x:t>
  </x:si>
  <x:si>
    <x:t xml:space="preserve">Accidentally liked my crush's old photo while stalking their profile. Awkward level: Maximum! </x:t>
  </x:si>
  <x:si>
    <x:t xml:space="preserve">2023-08-19 19:45:00</x:t>
  </x:si>
  <x:si>
    <x:t xml:space="preserve"> SocialMediaBlunderHighSchool </x:t>
  </x:si>
  <x:si>
    <x:t xml:space="preserve"> #SocialMediaBlunder #HighSchoolAwkward </x:t>
  </x:si>
  <x:si>
    <x:t xml:space="preserve">Tried to impress my crush with a smooth conversation. Ended up spilling my drink. Smooth level: Nonexistent! </x:t>
  </x:si>
  <x:si>
    <x:t xml:space="preserve">2023-08-20 17:00:00</x:t>
  </x:si>
  <x:si>
    <x:t xml:space="preserve"> CrushFailHighSchool </x:t>
  </x:si>
  <x:si>
    <x:t xml:space="preserve"> #CrushFail #HighSchoolEmbarrassment </x:t>
  </x:si>
  <x:si>
    <x:t xml:space="preserve">Mastered the art of creating paper airplanes during lecture. Paper planes: Soaring to new heights! </x:t>
  </x:si>
  <x:si>
    <x:t xml:space="preserve">2023-08-21 15:45:00</x:t>
  </x:si>
  <x:si>
    <x:t xml:space="preserve"> PaperPlaneExpertHighSchool </x:t>
  </x:si>
  <x:si>
    <x:t xml:space="preserve"> #PaperPlaneExpert #HighSchoolArt </x:t>
  </x:si>
  <x:si>
    <x:t xml:space="preserve">Trying to set a new trend by juggling textbooks between classes. Academic juggling: A unique skill! </x:t>
  </x:si>
  <x:si>
    <x:t xml:space="preserve">2023-08-22 12:30:00</x:t>
  </x:si>
  <x:si>
    <x:t xml:space="preserve"> JugglingProHighSchool </x:t>
  </x:si>
  <x:si>
    <x:t xml:space="preserve"> #TextbookJuggling #HighSchoolSkills </x:t>
  </x:si>
  <x:si>
    <x:t xml:space="preserve">Hiding a snack stash in my backpack for emergency cravings. Snack ninja mode: Activated! </x:t>
  </x:si>
  <x:si>
    <x:t xml:space="preserve">2023-08-23 16:45:00</x:t>
  </x:si>
  <x:si>
    <x:t xml:space="preserve"> SnackNinjaHighSchool </x:t>
  </x:si>
  <x:si>
    <x:t xml:space="preserve"> #SnackNinja #HighSchoolSnacks </x:t>
  </x:si>
  <x:si>
    <x:t xml:space="preserve">Planning a surprise scavenger hunt for friends. Anticipating the thrill and excitement! </x:t>
  </x:si>
  <x:si>
    <x:t xml:space="preserve">2023-08-24 18:20:00</x:t>
  </x:si>
  <x:si>
    <x:t xml:space="preserve"> ScavengerHuntMasterHighSchool </x:t>
  </x:si>
  <x:si>
    <x:t xml:space="preserve"> #SurpriseAdventure #HighSchoolFun </x:t>
  </x:si>
  <x:si>
    <x:t xml:space="preserve">Danced in the rain to celebrate the end of exams. Rain dance: Unexpectedly refreshing! </x:t>
  </x:si>
  <x:si>
    <x:t xml:space="preserve">2023-08-25 14:15:00</x:t>
  </x:si>
  <x:si>
    <x:t xml:space="preserve"> RainDanceCelebrationHighSchool </x:t>
  </x:si>
  <x:si>
    <x:t xml:space="preserve"> #RainDance #HighSchoolJoy </x:t>
  </x:si>
  <x:si>
    <x:t xml:space="preserve">Accidentally sent a text meant for a friend to the class group chat. Texting fail: Oops moment! </x:t>
  </x:si>
  <x:si>
    <x:t xml:space="preserve">2023-08-26 17:30:00</x:t>
  </x:si>
  <x:si>
    <x:t xml:space="preserve"> GroupChatBlunderHighSchool </x:t>
  </x:si>
  <x:si>
    <x:t xml:space="preserve"> #TextingFail #HighSchoolAwkward </x:t>
  </x:si>
  <x:si>
    <x:t xml:space="preserve">Tried a magic trick to impress classmates. Magic fail: Where did that rabbit go? </x:t>
  </x:si>
  <x:si>
    <x:t xml:space="preserve">2023-08-27 20:45:00</x:t>
  </x:si>
  <x:si>
    <x:t xml:space="preserve"> MagicFailHighSchool </x:t>
  </x:si>
  <x:si>
    <x:t xml:space="preserve"> #MagicFail #HighSchoolMagic </x:t>
  </x:si>
  <x:si>
    <x:t xml:space="preserve">Perfecting the art of creating origami during a dull lecture. Origami mastery: A+! </x:t>
  </x:si>
  <x:si>
    <x:t xml:space="preserve">2023-08-28 16:00:00</x:t>
  </x:si>
  <x:si>
    <x:t xml:space="preserve"> OrigamiProHighSchool </x:t>
  </x:si>
  <x:si>
    <x:t xml:space="preserve"> #OrigamiMaster #HighSchoolArt </x:t>
  </x:si>
  <x:si>
    <x:t xml:space="preserve">Attempting to set a new record for the most consecutive hacky sack kicks. Hacky sack skills: Unleashed! </x:t>
  </x:si>
  <x:si>
    <x:t xml:space="preserve">2023-08-29 13:45:00</x:t>
  </x:si>
  <x:si>
    <x:t xml:space="preserve"> HackySackChampionHighSchool </x:t>
  </x:si>
  <x:si>
    <x:t xml:space="preserve"> #HackySackChallenge #HighSchoolAthlete </x:t>
  </x:si>
  <x:si>
    <x:t xml:space="preserve">Creating a secret handshake with friends. Friendship level: Expert! </x:t>
  </x:si>
  <x:si>
    <x:t xml:space="preserve">2023-08-30 17:30:00</x:t>
  </x:si>
  <x:si>
    <x:t xml:space="preserve"> SecretHandshakeHighSchool </x:t>
  </x:si>
  <x:si>
    <x:t xml:space="preserve"> #FriendshipGoals #HighSchoolMemories </x:t>
  </x:si>
  <x:si>
    <x:t xml:space="preserve">Embarking on a mission to find the best burger joint in town. Burger connoisseur: Reporting for duty! </x:t>
  </x:si>
  <x:si>
    <x:t xml:space="preserve">2023-08-31 20:15:00</x:t>
  </x:si>
  <x:si>
    <x:t xml:space="preserve"> BurgerQuestHighSchool </x:t>
  </x:si>
  <x:si>
    <x:t xml:space="preserve"> #BurgerQuest #HighSchoolFoodie </x:t>
  </x:si>
  <x:si>
    <x:t xml:space="preserve">Practicing a stand-up comedy routine for the upcoming talent show. Comedy gig: In the making! </x:t>
  </x:si>
  <x:si>
    <x:t xml:space="preserve">2023-09-01 14:45:00</x:t>
  </x:si>
  <x:si>
    <x:t xml:space="preserve"> ComedyGeniusHighSchool </x:t>
  </x:si>
  <x:si>
    <x:t xml:space="preserve"> #StandUpComedy #HighSchoolTalent </x:t>
  </x:si>
  <x:si>
    <x:t xml:space="preserve">Accidentally sent a love letter to the wrong person. Love note fail: Maximum embarrassment! </x:t>
  </x:si>
  <x:si>
    <x:t xml:space="preserve">2023-09-02 18:30:00</x:t>
  </x:si>
  <x:si>
    <x:t xml:space="preserve"> LoveLetterBlunderHighSchool </x:t>
  </x:si>
  <x:si>
    <x:t xml:space="preserve"> #LoveLetterFail #HighSchoolAwkward </x:t>
  </x:si>
  <x:si>
    <x:t xml:space="preserve">Attempting to impress the teacher with an elaborate science experiment. Science geek mode: Activated! </x:t>
  </x:si>
  <x:si>
    <x:t xml:space="preserve">2023-09-03 22:00:00</x:t>
  </x:si>
  <x:si>
    <x:t xml:space="preserve"> ScienceExperimentProHighSchool </x:t>
  </x:si>
  <x:si>
    <x:t xml:space="preserve"> #ScienceGeek #HighSchoolExperiments </x:t>
  </x:si>
  <x:si>
    <x:t xml:space="preserve">Crafting intricate friendship bracelets for the whole squad. Friendship level: Expert weaver! </x:t>
  </x:si>
  <x:si>
    <x:t xml:space="preserve">2023-09-04 15:15:00</x:t>
  </x:si>
  <x:si>
    <x:t xml:space="preserve"> BraceletCraftsmanHighSchool </x:t>
  </x:si>
  <x:si>
    <x:t xml:space="preserve"> #FriendshipBracelets #HighSchoolCrafts </x:t>
  </x:si>
  <x:si>
    <x:t xml:space="preserve">Attempting to beat the record for the most consecutive cartwheels. Cartwheel challenge: Underway! </x:t>
  </x:si>
  <x:si>
    <x:t xml:space="preserve">2023-09-05 12:30:00</x:t>
  </x:si>
  <x:si>
    <x:t xml:space="preserve"> CartwheelMasterHighSchool </x:t>
  </x:si>
  <x:si>
    <x:t xml:space="preserve"> #CartwheelChallenge #HighSchoolAthlete </x:t>
  </x:si>
  <x:si>
    <x:t xml:space="preserve">Organizing a movie marathon with friends. Popcorn and cinematic adventures await! </x:t>
  </x:si>
  <x:si>
    <x:t xml:space="preserve">2023-09-06 16:45:00</x:t>
  </x:si>
  <x:si>
    <x:t xml:space="preserve"> MovieMarathonHostHighSchool </x:t>
  </x:si>
  <x:si>
    <x:t xml:space="preserve"> #MovieNight #HighSchoolMemories </x:t>
  </x:si>
  <x:si>
    <x:t xml:space="preserve">Experimenting with a new hair color. A bold change for a bold semester! </x:t>
  </x:si>
  <x:si>
    <x:t xml:space="preserve">2023-09-07 18:20:00</x:t>
  </x:si>
  <x:si>
    <x:t xml:space="preserve"> HairColorExperimentHighSchool </x:t>
  </x:si>
  <x:si>
    <x:t xml:space="preserve"> #HairExperiment #HighSchoolStyle </x:t>
  </x:si>
  <x:si>
    <x:t xml:space="preserve">Building a time capsule to capture memories for the future. Time-traveling emotions! </x:t>
  </x:si>
  <x:si>
    <x:t xml:space="preserve">2023-09-08 14:15:00</x:t>
  </x:si>
  <x:si>
    <x:t xml:space="preserve"> TimeCapsuleCreatorHighSchool </x:t>
  </x:si>
  <x:si>
    <x:t xml:space="preserve"> #TimeCapsule #HighSchoolNostalgia </x:t>
  </x:si>
  <x:si>
    <x:t xml:space="preserve">Accidentally walked into the wrong classroom on the first day. Classroom mix-up: Awkward start! </x:t>
  </x:si>
  <x:si>
    <x:t xml:space="preserve">2023-09-09 17:30:00</x:t>
  </x:si>
  <x:si>
    <x:t xml:space="preserve"> ClassroomBlunderHighSchool </x:t>
  </x:si>
  <x:si>
    <x:t xml:space="preserve"> #FirstDayOops #HighSchoolEmbarrassment </x:t>
  </x:si>
  <x:si>
    <x:t xml:space="preserve">Trying out a new smoothie recipe for a healthy start to the week. Smoothie enthusiast: Level up! </x:t>
  </x:si>
  <x:si>
    <x:t xml:space="preserve">2023-09-10 20:45:00</x:t>
  </x:si>
  <x:si>
    <x:t xml:space="preserve"> SmoothieConnoisseurHighSchool </x:t>
  </x:si>
  <x:si>
    <x:t xml:space="preserve"> #HealthyLiving #HighSchoolWellness </x:t>
  </x:si>
  <x:si>
    <x:t xml:space="preserve">Reflecting on the challenges of the school year. Feeling a bit overwhelmed with assignments. </x:t>
  </x:si>
  <x:si>
    <x:t xml:space="preserve"> Sad </x:t>
  </x:si>
  <x:si>
    <x:t xml:space="preserve">2023-09-11 15:45:00</x:t>
  </x:si>
  <x:si>
    <x:t xml:space="preserve"> OverwhelmedHighSchoolStudent </x:t>
  </x:si>
  <x:si>
    <x:t xml:space="preserve"> #SchoolChallenges #HighSchoolStruggles </x:t>
  </x:si>
  <x:si>
    <x:t xml:space="preserve">Encountered some mean-spirited comments online. Dealing with online hate is never easy. </x:t>
  </x:si>
  <x:si>
    <x:t xml:space="preserve"> Hate </x:t>
  </x:si>
  <x:si>
    <x:t xml:space="preserve">2023-09-12 12:30:00</x:t>
  </x:si>
  <x:si>
    <x:t xml:space="preserve"> DealingWithHateHighSchool </x:t>
  </x:si>
  <x:si>
    <x:t xml:space="preserve"> #OnlineHate #HighSchoolReality </x:t>
  </x:si>
  <x:si>
    <x:t xml:space="preserve">Had a bad day at school. Everything seems to be going wrong. </x:t>
  </x:si>
  <x:si>
    <x:t xml:space="preserve"> Bad </x:t>
  </x:si>
  <x:si>
    <x:t xml:space="preserve">2023-09-13 16:45:00</x:t>
  </x:si>
  <x:si>
    <x:t xml:space="preserve"> ToughDayHighSchool </x:t>
  </x:si>
  <x:si>
    <x:t xml:space="preserve"> #BadDay #HighSchoolBlues </x:t>
  </x:si>
  <x:si>
    <x:t xml:space="preserve">Feeling down after not making the sports team. Disappointment lingers. </x:t>
  </x:si>
  <x:si>
    <x:t xml:space="preserve">2023-09-14 18:20:00</x:t>
  </x:si>
  <x:si>
    <x:t xml:space="preserve"> SportsTeamRejectionHighSchool </x:t>
  </x:si>
  <x:si>
    <x:t xml:space="preserve"> #Disappointment #HighSchoolSports </x:t>
  </x:si>
  <x:si>
    <x:t xml:space="preserve">Witnessed a heated argument in the cafeteria. Unpleasant atmosphere at lunch. </x:t>
  </x:si>
  <x:si>
    <x:t xml:space="preserve">2023-09-15 14:15:00</x:t>
  </x:si>
  <x:si>
    <x:t xml:space="preserve"> CafeteriaConflictHighSchool </x:t>
  </x:si>
  <x:si>
    <x:t xml:space="preserve"> #CafeteriaDrama #HighSchoolTension </x:t>
  </x:si>
  <x:si>
    <x:t xml:space="preserve">Received a not-so-great grade on a major project. Academic frustration setting in. </x:t>
  </x:si>
  <x:si>
    <x:t xml:space="preserve">2023-09-16 17:30:00</x:t>
  </x:si>
  <x:si>
    <x:t xml:space="preserve"> ProjectGradeDisappointmentHighSchool </x:t>
  </x:si>
  <x:si>
    <x:t xml:space="preserve"> #AcademicFrustration #HighSchoolStress </x:t>
  </x:si>
  <x:si>
    <x:t xml:space="preserve">Dealing with a personal setback. Sometimes life throws unexpected challenges. </x:t>
  </x:si>
  <x:si>
    <x:t xml:space="preserve">2023-09-17 20:45:00</x:t>
  </x:si>
  <x:si>
    <x:t xml:space="preserve"> PersonalSetbackHighSchool </x:t>
  </x:si>
  <x:si>
    <x:t xml:space="preserve"> #LifeChallenges #HighSchoolStruggles </x:t>
  </x:si>
  <x:si>
    <x:t xml:space="preserve">Feeling lonely on a Saturday night. Sometimes solitude hits harder than expected. </x:t>
  </x:si>
  <x:si>
    <x:t xml:space="preserve">2023-09-18 22:00:00</x:t>
  </x:si>
  <x:si>
    <x:t xml:space="preserve"> LonelySaturdayHighSchool </x:t>
  </x:si>
  <x:si>
    <x:t xml:space="preserve"> #LonelyNights #HighSchoolEmotions </x:t>
  </x:si>
  <x:si>
    <x:t xml:space="preserve">Experiencing cyberbullying. Hateful messages online are disheartening. </x:t>
  </x:si>
  <x:si>
    <x:t xml:space="preserve">2023-09-19 15:15:00</x:t>
  </x:si>
  <x:si>
    <x:t xml:space="preserve"> CyberbullyingVictimHighSchool </x:t>
  </x:si>
  <x:si>
    <x:t xml:space="preserve"> #StopCyberbullying #HighSchoolReality </x:t>
  </x:si>
  <x:si>
    <x:t xml:space="preserve">Caught in a torrential rainstorm without an umbrella. Today's weather is just bad luck. </x:t>
  </x:si>
  <x:si>
    <x:t xml:space="preserve">2023-09-20 12:30:00</x:t>
  </x:si>
  <x:si>
    <x:t xml:space="preserve"> RainyDayBluesHighSchool </x:t>
  </x:si>
  <x:si>
    <x:t xml:space="preserve"> #BadLuck #HighSchoolWeather </x:t>
  </x:si>
  <x:si>
    <x:t xml:space="preserve">Missing an important event due to unforeseen circumstances. A day filled with sadness. </x:t>
  </x:si>
  <x:si>
    <x:t xml:space="preserve">2023-09-21 16:45:00</x:t>
  </x:si>
  <x:si>
    <x:t xml:space="preserve"> MissedOpportunityHighSchool </x:t>
  </x:si>
  <x:si>
    <x:t xml:space="preserve"> #MissedChances #HighSchoolRegret </x:t>
  </x:si>
  <x:si>
    <x:t xml:space="preserve">Dealing with unfounded rumors circulating about personal life. Rumors can be hurtful. </x:t>
  </x:si>
  <x:si>
    <x:t xml:space="preserve">2023-09-22 18:20:00</x:t>
  </x:si>
  <x:si>
    <x:t xml:space="preserve"> RumorVictimHighSchool </x:t>
  </x:si>
  <x:si>
    <x:t xml:space="preserve"> #RumorMills #HighSchoolDrama </x:t>
  </x:si>
  <x:si>
    <x:t xml:space="preserve">Got a flat tire on the way to an important meeting. Talk about a series of bad events! </x:t>
  </x:si>
  <x:si>
    <x:t xml:space="preserve">2023-09-23 14:15:00</x:t>
  </x:si>
  <x:si>
    <x:t xml:space="preserve"> FlatTireWoesHighSchool </x:t>
  </x:si>
  <x:si>
    <x:t xml:space="preserve"> #BadLuckDay #HighSchoolStruggles </x:t>
  </x:si>
  <x:si>
    <x:t xml:space="preserve">Feeling a sense of emptiness after a close friend moves away. Farewells are always sad. </x:t>
  </x:si>
  <x:si>
    <x:t xml:space="preserve">2023-09-24 17:30:00</x:t>
  </x:si>
  <x:si>
    <x:t xml:space="preserve"> FriendMovingAwayHighSchool </x:t>
  </x:si>
  <x:si>
    <x:t xml:space="preserve"> #SayingGoodbye #HighSchoolEmotions </x:t>
  </x:si>
  <x:si>
    <x:t xml:space="preserve">Facing rejection from a dream college. Disheartened but determined to explore other paths. </x:t>
  </x:si>
  <x:si>
    <x:t xml:space="preserve">2023-09-25 20:45:00</x:t>
  </x:si>
  <x:si>
    <x:t xml:space="preserve"> CollegeRejectionHighSchool </x:t>
  </x:si>
  <x:si>
    <x:t xml:space="preserve"> #CollegeDreams #HighSchoolJourney </x:t>
  </x:si>
  <x:si>
    <x:t xml:space="preserve">Encountering online toxicity during a gaming session. Hateful comments can ruin the fun. </x:t>
  </x:si>
  <x:si>
    <x:t xml:space="preserve">2023-09-26 14:15:00</x:t>
  </x:si>
  <x:si>
    <x:t xml:space="preserve"> GamingToxicityHighSchool </x:t>
  </x:si>
  <x:si>
    <x:t xml:space="preserve"> #OnlineGaming #HighSchoolGamer </x:t>
  </x:si>
  <x:si>
    <x:t xml:space="preserve">Having a bad hair day and feeling self-conscious. Bad hair days can affect confidence. </x:t>
  </x:si>
  <x:si>
    <x:t xml:space="preserve">2023-09-27 17:30:00</x:t>
  </x:si>
  <x:si>
    <x:t xml:space="preserve"> BadHairDayBluesHighSchool </x:t>
  </x:si>
  <x:si>
    <x:t xml:space="preserve"> #BadHairDay #HighSchoolConfidence </x:t>
  </x:si>
  <x:si>
    <x:t xml:space="preserve">Feeling a sense of despair after a major project failure. Hard work didn't pay off this time. </x:t>
  </x:si>
  <x:si>
    <x:t xml:space="preserve">2023-09-28 22:00:00</x:t>
  </x:si>
  <x:si>
    <x:t xml:space="preserve"> ProjectFailureDespairHighSchool </x:t>
  </x:si>
  <x:si>
    <x:t xml:space="preserve"> #ProjectStruggles #HighSchoolHardships </x:t>
  </x:si>
  <x:si>
    <x:t xml:space="preserve">Experiencing hate comments for expressing personal opinions. Online negativity prevails. </x:t>
  </x:si>
  <x:si>
    <x:t xml:space="preserve">2023-09-29 15:45:00</x:t>
  </x:si>
  <x:si>
    <x:t xml:space="preserve"> OpinionsHateHighSchool </x:t>
  </x:si>
  <x:si>
    <x:t xml:space="preserve"> #OnlineOpinions #HighSchoolCriticism </x:t>
  </x:si>
  <x:si>
    <x:t xml:space="preserve">Having a string of bad luck with constant technology malfunctions. Tech troubles galore! </x:t>
  </x:si>
  <x:si>
    <x:t xml:space="preserve">2023-09-30 18:20:00</x:t>
  </x:si>
  <x:si>
    <x:t xml:space="preserve"> TechMalfunctionWoesHighSchool </x:t>
  </x:si>
  <x:si>
    <x:t xml:space="preserve"> #TechIssues #HighSchoolTech </x:t>
  </x:si>
  <x:si>
    <x:t xml:space="preserve">Missing out on a long-anticipated event due to unexpected circumstances. A day filled with sadness. </x:t>
  </x:si>
  <x:si>
    <x:t xml:space="preserve">2023-10-01 14:15:00</x:t>
  </x:si>
  <x:si>
    <x:t xml:space="preserve"> MissedEventBluesHighSchool </x:t>
  </x:si>
  <x:si>
    <x:t xml:space="preserve"> #MissedMoments #HighSchoolRegret </x:t>
  </x:si>
  <x:si>
    <x:t xml:space="preserve">Trying out a new study technique for upcoming exams. Exploring different learning strategies. </x:t>
  </x:si>
  <x:si>
    <x:t xml:space="preserve"> Neutral </x:t>
  </x:si>
  <x:si>
    <x:t xml:space="preserve">2023-10-02 16:45:00</x:t>
  </x:si>
  <x:si>
    <x:t xml:space="preserve"> StudyTechniqueExperimentHighSchool </x:t>
  </x:si>
  <x:si>
    <x:t xml:space="preserve"> #StudyStrategies #HighSchoolExams </x:t>
  </x:si>
  <x:si>
    <x:t xml:space="preserve">Organizing a community cleanup event for a cleaner neighborhood. Promoting environmental awareness. </x:t>
  </x:si>
  <x:si>
    <x:t xml:space="preserve">2023-10-03 12:30:00</x:t>
  </x:si>
  <x:si>
    <x:t xml:space="preserve"> CommunityCleanupHighSchool </x:t>
  </x:si>
  <x:si>
    <x:t xml:space="preserve"> #EnvironmentalEfforts #HighSchoolCommunity </x:t>
  </x:si>
  <x:si>
    <x:t xml:space="preserve">Sharing favorite book recommendations with classmates. Building a mini book club. </x:t>
  </x:si>
  <x:si>
    <x:t xml:space="preserve">2023-10-04 18:20:00</x:t>
  </x:si>
  <x:si>
    <x:t xml:space="preserve"> BookRecommendationsHighSchool </x:t>
  </x:si>
  <x:si>
    <x:t xml:space="preserve"> #BookClub #HighSchoolReads </x:t>
  </x:si>
  <x:si>
    <x:t xml:space="preserve">Experimenting with a new recipe for a school bake sale. Baking adventures in the kitchen. </x:t>
  </x:si>
  <x:si>
    <x:t xml:space="preserve">2023-10-05 14:15:00</x:t>
  </x:si>
  <x:si>
    <x:t xml:space="preserve"> BakeSaleRecipeExperimentHighSchool </x:t>
  </x:si>
  <x:si>
    <x:t xml:space="preserve"> #BakingAdventures #HighSchoolBakes </x:t>
  </x:si>
  <x:si>
    <x:t xml:space="preserve">Collaborating on a school project with peers. Teamwork makes the dream work. </x:t>
  </x:si>
  <x:si>
    <x:t xml:space="preserve">2023-10-06 17:30:00</x:t>
  </x:si>
  <x:si>
    <x:t xml:space="preserve"> SchoolProjectCollaborationHighSchool </x:t>
  </x:si>
  <x:si>
    <x:t xml:space="preserve"> #Teamwork #HighSchoolProjects </x:t>
  </x:si>
  <x:si>
    <x:t xml:space="preserve">Attending a school club meeting to explore new interests. Dabbling in extracurricular activities. </x:t>
  </x:si>
  <x:si>
    <x:t xml:space="preserve">2023-10-07 20:45:00</x:t>
  </x:si>
  <x:si>
    <x:t xml:space="preserve"> ExtracurricularExplorationHighSchool </x:t>
  </x:si>
  <x:si>
    <x:t xml:space="preserve"> #SchoolClubs #HighSchoolInterests </x:t>
  </x:si>
  <x:si>
    <x:t xml:space="preserve">Exploring a new part-time job opportunity for gaining work experience. Career development in progress. </x:t>
  </x:si>
  <x:si>
    <x:t xml:space="preserve">2023-10-08 15:15:00</x:t>
  </x:si>
  <x:si>
    <x:t xml:space="preserve"> PartTimeJobExplorationHighSchool </x:t>
  </x:si>
  <x:si>
    <x:t xml:space="preserve"> #CareerDevelopment #HighSchoolJobs </x:t>
  </x:si>
  <x:si>
    <x:t xml:space="preserve">Attending a school assembly to stay informed about upcoming events and announcements. Staying connected with school activities. </x:t>
  </x:si>
  <x:si>
    <x:t xml:space="preserve">2023-10-09 22:00:00</x:t>
  </x:si>
  <x:si>
    <x:t xml:space="preserve"> SchoolAssemblyParticipationHighSchool </x:t>
  </x:si>
  <x:si>
    <x:t xml:space="preserve"> #SchoolEvents #HighSchoolConnectivity </x:t>
  </x:si>
  <x:si>
    <x:t xml:space="preserve">Exploring a new hobby of photography during free time. Capturing moments through a lens. </x:t>
  </x:si>
  <x:si>
    <x:t xml:space="preserve">2023-10-10 14:15:00</x:t>
  </x:si>
  <x:si>
    <x:t xml:space="preserve"> PhotographyHobbyHighSchool </x:t>
  </x:si>
  <x:si>
    <x:t xml:space="preserve"> #PhotographyJourney #HighSchoolHobbies </x:t>
  </x:si>
  <x:si>
    <x:t xml:space="preserve">Participating in a science fair to showcase a unique experiment. Sharing knowledge with peers. </x:t>
  </x:si>
  <x:si>
    <x:t xml:space="preserve">2023-10-11 16:45:00</x:t>
  </x:si>
  <x:si>
    <x:t xml:space="preserve"> ScienceFairParticipationHighSchool </x:t>
  </x:si>
  <x:si>
    <x:t xml:space="preserve"> #ScienceFair #HighSchoolScience </x:t>
  </x:si>
  <x:si>
    <x:t xml:space="preserve">Attending a workshop on time management to enhance organizational skills. Striving for efficiency. </x:t>
  </x:si>
  <x:si>
    <x:t xml:space="preserve">2023-10-12 18:20:00</x:t>
  </x:si>
  <x:si>
    <x:t xml:space="preserve"> TimeManagementWorkshopHighSchool </x:t>
  </x:si>
  <x:si>
    <x:t xml:space="preserve"> #EfficiencyGoals #HighSchoolSkills </x:t>
  </x:si>
  <x:si>
    <x:t xml:space="preserve">Volunteering at a local charity event to give back to the community. Contributing to social causes. </x:t>
  </x:si>
  <x:si>
    <x:t xml:space="preserve">2023-10-13 12:30:00</x:t>
  </x:si>
  <x:si>
    <x:t xml:space="preserve"> CharityEventVolunteerHighSchool </x:t>
  </x:si>
  <x:si>
    <x:t xml:space="preserve"> #CommunityService #HighSchoolVolunteer </x:t>
  </x:si>
  <x:si>
    <x:t xml:space="preserve">Collaborating on a group project to promote teamwork and shared responsibilities. Group effort in action. </x:t>
  </x:si>
  <x:si>
    <x:t xml:space="preserve">2023-10-14 17:30:00</x:t>
  </x:si>
  <x:si>
    <x:t xml:space="preserve"> GroupProjectCollaborationHighSchool </x:t>
  </x:si>
  <x:si>
    <x:t xml:space="preserve"> #TeamSpirit #HighSchoolProjects </x:t>
  </x:si>
  <x:si>
    <x:t xml:space="preserve">Participating in a debate club to enhance critical thinking and communication skills. Intellectual engagement in progress. </x:t>
  </x:si>
  <x:si>
    <x:t xml:space="preserve">2023-10-15 20:45:00</x:t>
  </x:si>
  <x:si>
    <x:t xml:space="preserve"> DebateClubParticipationHighSchool </x:t>
  </x:si>
  <x:si>
    <x:t xml:space="preserve"> #DebateSkills #HighSchoolIntellect </x:t>
  </x:si>
  <x:si>
    <x:t xml:space="preserve">Celebrating a friend's birthday with a surprise party. Joyful moments and laughter all around! </x:t>
  </x:si>
  <x:si>
    <x:t xml:space="preserve"> Happy </x:t>
  </x:si>
  <x:si>
    <x:t xml:space="preserve">2023-10-16 15:45:00</x:t>
  </x:si>
  <x:si>
    <x:t xml:space="preserve"> BirthdaySurpriseHighSchool </x:t>
  </x:si>
  <x:si>
    <x:t xml:space="preserve"> #SurpriseParty #HighSchoolCelebration </x:t>
  </x:si>
  <x:si>
    <x:t xml:space="preserve">Successfully completing a challenging coding project. Excitement for overcoming coding hurdles! </x:t>
  </x:si>
  <x:si>
    <x:t xml:space="preserve">2023-10-17 12:30:00</x:t>
  </x:si>
  <x:si>
    <x:t xml:space="preserve"> CodingSuccessHighSchool </x:t>
  </x:si>
  <x:si>
    <x:t xml:space="preserve"> #CodingTriumph #HighSchoolTech </x:t>
  </x:si>
  <x:si>
    <x:t xml:space="preserve">Attending a school talent show to support classmates. Applauding the diverse talents on display! </x:t>
  </x:si>
  <x:si>
    <x:t xml:space="preserve">2023-10-18 16:45:00</x:t>
  </x:si>
  <x:si>
    <x:t xml:space="preserve"> TalentShowSupportHighSchool </x:t>
  </x:si>
  <x:si>
    <x:t xml:space="preserve"> #TalentShow #HighSchoolEntertainment </x:t>
  </x:si>
  <x:si>
    <x:t xml:space="preserve">Exploring a new hiking trail with friends over the weekend. Nature, laughter, and good vibes! </x:t>
  </x:si>
  <x:si>
    <x:t xml:space="preserve">2023-10-19 18:20:00</x:t>
  </x:si>
  <x:si>
    <x:t xml:space="preserve"> WeekendHikeHighSchool </x:t>
  </x:si>
  <x:si>
    <x:t xml:space="preserve"> #NatureAdventures #HighSchoolFriends </x:t>
  </x:si>
  <x:si>
    <x:t xml:space="preserve">Winning a friendly sports competition against rival schools. Victory celebrations in full swing! </x:t>
  </x:si>
  <x:si>
    <x:t xml:space="preserve">2023-10-20 14:15:00</x:t>
  </x:si>
  <x:si>
    <x:t xml:space="preserve"> SportsVictoryHighSchool </x:t>
  </x:si>
  <x:si>
    <x:t xml:space="preserve"> #SportsTriumph #HighSchoolAthletics </x:t>
  </x:si>
  <x:si>
    <x:t xml:space="preserve">Receiving a heartfelt letter from a pen pal in another country. Connecting across the globe! </x:t>
  </x:si>
  <x:si>
    <x:t xml:space="preserve">2023-10-21 17:30:00</x:t>
  </x:si>
  <x:si>
    <x:t xml:space="preserve"> PenPalConnectionHighSchool </x:t>
  </x:si>
  <x:si>
    <x:t xml:space="preserve"> #GlobalFriendship #HighSchoolCorrespondence </x:t>
  </x:si>
  <x:si>
    <x:t xml:space="preserve">Creating a beautiful mural with fellow art enthusiasts. The power of collaboration and creativity! </x:t>
  </x:si>
  <x:si>
    <x:t xml:space="preserve">2023-10-22 20:45:00</x:t>
  </x:si>
  <x:si>
    <x:t xml:space="preserve"> MuralCreationHighSchool </x:t>
  </x:si>
  <x:si>
    <x:t xml:space="preserve"> #ArtCollaboration #HighSchoolCreativity </x:t>
  </x:si>
  <x:si>
    <x:t xml:space="preserve">Participating in a school-wide art exhibition. Witnessing creativity and spreading positive vibes! </x:t>
  </x:si>
  <x:si>
    <x:t xml:space="preserve">2015-11-10 16:45:00</x:t>
  </x:si>
  <x:si>
    <x:t xml:space="preserve"> ArtExhibitionJoyHighSchool </x:t>
  </x:si>
  <x:si>
    <x:t xml:space="preserve"> #ArtisticExpression #HighSchoolCreativity </x:t>
  </x:si>
  <x:si>
    <x:t xml:space="preserve">Achieving a personal best in a track and field competition. The thrill of victory and self-improvement! </x:t>
  </x:si>
  <x:si>
    <x:t xml:space="preserve">2016-09-14 12:30:00</x:t>
  </x:si>
  <x:si>
    <x:t xml:space="preserve"> TrackFieldSuccessHighSchool </x:t>
  </x:si>
  <x:si>
    <x:t xml:space="preserve"> #AthleticAchievement #HighSchoolSports </x:t>
  </x:si>
  <x:si>
    <x:t xml:space="preserve">Collaborating on a science project that received recognition at a regional fair. Science triumphs and smiles! </x:t>
  </x:si>
  <x:si>
    <x:t xml:space="preserve">2017-08-18 18:20:00</x:t>
  </x:si>
  <x:si>
    <x:t xml:space="preserve"> ScienceProjectSuccessHighSchool </x:t>
  </x:si>
  <x:si>
    <x:t xml:space="preserve"> #ScienceFairWinner #HighSchoolScience </x:t>
  </x:si>
  <x:si>
    <x:t xml:space="preserve">Attending a surprise birthday party organized by friends. Surrounded by love, laughter, and good company! </x:t>
  </x:si>
  <x:si>
    <x:t xml:space="preserve">2018-06-22 14:15:00</x:t>
  </x:si>
  <x:si>
    <x:t xml:space="preserve"> BirthdayPartyJoyHighSchool </x:t>
  </x:si>
  <x:si>
    <x:t xml:space="preserve"> #SurpriseCelebration #HighSchoolFriendship </x:t>
  </x:si>
  <x:si>
    <x:t xml:space="preserve">Successfully fundraising for a school charity initiative. The joy of giving back to the community! </x:t>
  </x:si>
  <x:si>
    <x:t xml:space="preserve"> CharityFundraisingTriumphHighSchool </x:t>
  </x:si>
  <x:si>
    <x:t xml:space="preserve"> #CommunityGiving #HighSchoolPhilanthropy </x:t>
  </x:si>
  <x:si>
    <x:t xml:space="preserve">Participating in a multicultural festival, celebrating diversity with music, dance, and delicious food! </x:t>
  </x:si>
  <x:si>
    <x:t xml:space="preserve">2020-02-29 20:45:00</x:t>
  </x:si>
  <x:si>
    <x:t xml:space="preserve"> MulticulturalFestivalJoyHighSchool </x:t>
  </x:si>
  <x:si>
    <x:t xml:space="preserve"> #CulturalCelebration #HighSchoolUnity </x:t>
  </x:si>
  <x:si>
    <x:t xml:space="preserve">Organizing a virtual talent show during challenging times, bringing smiles to classmates' faces! </x:t>
  </x:si>
  <x:si>
    <x:t xml:space="preserve">2020-11-15 15:15:00</x:t>
  </x:si>
  <x:si>
    <x:t xml:space="preserve"> VirtualTalentShowSuccessHighSchool </x:t>
  </x:si>
  <x:si>
    <x:t xml:space="preserve"> #VirtualEntertainment #HighSchoolPositivity </x:t>
  </x:si>
  <x:si>
    <x:t xml:space="preserve">Raw Sentiment Label</x:t>
  </x:si>
  <x:si>
    <x:t xml:space="preserve">Assigned Group</x:t>
  </x:si>
  <x:si>
    <x:t xml:space="preserve">Row Count in Dataset</x:t>
  </x:si>
  <x:si>
    <x:t xml:space="preserve">Despair</x:t>
  </x:si>
  <x:si>
    <x:t xml:space="preserve">Negative</x:t>
  </x:si>
  <x:si>
    <x:t xml:space="preserve">Grief</x:t>
  </x:si>
  <x:si>
    <x:t xml:space="preserve">Loneliness</x:t>
  </x:si>
  <x:si>
    <x:t xml:space="preserve">Sad</x:t>
  </x:si>
  <x:si>
    <x:t xml:space="preserve">Confusion</x:t>
  </x:si>
  <x:si>
    <x:t xml:space="preserve">Embarrassed</x:t>
  </x:si>
  <x:si>
    <x:t xml:space="preserve">Bad</x:t>
  </x:si>
  <x:si>
    <x:t xml:space="preserve">Frustration</x:t>
  </x:si>
  <x:si>
    <x:t xml:space="preserve">Hate</x:t>
  </x:si>
  <x:si>
    <x:t xml:space="preserve">Melancholy</x:t>
  </x:si>
  <x:si>
    <x:t xml:space="preserve">Numbness</x:t>
  </x:si>
  <x:si>
    <x:t xml:space="preserve">Regret</x:t>
  </x:si>
  <x:si>
    <x:t xml:space="preserve">Betrayal</x:t>
  </x:si>
  <x:si>
    <x:t xml:space="preserve">Bitterness</x:t>
  </x:si>
  <x:si>
    <x:t xml:space="preserve">Disgust</x:t>
  </x:si>
  <x:si>
    <x:t xml:space="preserve">Frustrated</x:t>
  </x:si>
  <x:si>
    <x:t xml:space="preserve">Boredom</x:t>
  </x:si>
  <x:si>
    <x:t xml:space="preserve">Desolation</x:t>
  </x:si>
  <x:si>
    <x:t xml:space="preserve">Overwhelmed</x:t>
  </x:si>
  <x:si>
    <x:t xml:space="preserve">Bitter</x:t>
  </x:si>
  <x:si>
    <x:t xml:space="preserve">Devastated</x:t>
  </x:si>
  <x:si>
    <x:t xml:space="preserve">Dismissive</x:t>
  </x:si>
  <x:si>
    <x:t xml:space="preserve">Envious</x:t>
  </x:si>
  <x:si>
    <x:t xml:space="preserve">Fearful</x:t>
  </x:si>
  <x:si>
    <x:t xml:space="preserve">Heartbreak</x:t>
  </x:si>
  <x:si>
    <x:t xml:space="preserve">Jealous</x:t>
  </x:si>
  <x:si>
    <x:t xml:space="preserve">Jealousy</x:t>
  </x:si>
  <x:si>
    <x:t xml:space="preserve">Resentment</x:t>
  </x:si>
  <x:si>
    <x:t xml:space="preserve">Shame</x:t>
  </x:si>
  <x:si>
    <x:t xml:space="preserve">Anger</x:t>
  </x:si>
  <x:si>
    <x:t xml:space="preserve">Anxiety</x:t>
  </x:si>
  <x:si>
    <x:t xml:space="preserve">Apprehensive</x:t>
  </x:si>
  <x:si>
    <x:t xml:space="preserve">Disappointed</x:t>
  </x:si>
  <x:si>
    <x:t xml:space="preserve">Disappointment</x:t>
  </x:si>
  <x:si>
    <x:t xml:space="preserve">Envy</x:t>
  </x:si>
  <x:si>
    <x:t xml:space="preserve">Fear</x:t>
  </x:si>
  <x:si>
    <x:t xml:space="preserve">Helplessness</x:t>
  </x:si>
  <x:si>
    <x:t xml:space="preserve">Intimidation</x:t>
  </x:si>
  <x:si>
    <x:t xml:space="preserve">Isolation</x:t>
  </x:si>
  <x:si>
    <x:t xml:space="preserve">Loss</x:t>
  </x:si>
  <x:si>
    <x:t xml:space="preserve">Sadness</x:t>
  </x:si>
  <x:si>
    <x:t xml:space="preserve">Sorrow</x:t>
  </x:si>
  <x:si>
    <x:t xml:space="preserve">Bittersweet</x:t>
  </x:si>
  <x:si>
    <x:t xml:space="preserve">Darkness</x:t>
  </x:si>
  <x:si>
    <x:t xml:space="preserve">Desperation</x:t>
  </x:si>
  <x:si>
    <x:t xml:space="preserve">EmotionalStorm</x:t>
  </x:si>
  <x:si>
    <x:t xml:space="preserve">Exhaustion</x:t>
  </x:si>
  <x:si>
    <x:t xml:space="preserve">Heartache</x:t>
  </x:si>
  <x:si>
    <x:t xml:space="preserve">Miscalculation</x:t>
  </x:si>
  <x:si>
    <x:t xml:space="preserve">Obstacle</x:t>
  </x:si>
  <x:si>
    <x:t xml:space="preserve">Pressure</x:t>
  </x:si>
  <x:si>
    <x:t xml:space="preserve">Ruins</x:t>
  </x:si>
  <x:si>
    <x:t xml:space="preserve">Solitude</x:t>
  </x:si>
  <x:si>
    <x:t xml:space="preserve">Suffering</x:t>
  </x:si>
  <x:si>
    <x:t xml:space="preserve">Suspense</x:t>
  </x:si>
  <x:si>
    <x:t xml:space="preserve">Neutral</x:t>
  </x:si>
  <x:si>
    <x:t xml:space="preserve">Nostalgia</x:t>
  </x:si>
  <x:si>
    <x:t xml:space="preserve">Ambivalence</x:t>
  </x:si>
  <x:si>
    <x:t xml:space="preserve">Indifference</x:t>
  </x:si>
  <x:si>
    <x:t xml:space="preserve">Surprise</x:t>
  </x:si>
  <x:si>
    <x:t xml:space="preserve">Reflection</x:t>
  </x:si>
  <x:si>
    <x:t xml:space="preserve">Contemplation</x:t>
  </x:si>
  <x:si>
    <x:t xml:space="preserve">Emotion</x:t>
  </x:si>
  <x:si>
    <x:t xml:space="preserve">Envisioning History</x:t>
  </x:si>
  <x:si>
    <x:t xml:space="preserve">Hypnotic</x:t>
  </x:si>
  <x:si>
    <x:t xml:space="preserve">InnerJourney</x:t>
  </x:si>
  <x:si>
    <x:t xml:space="preserve">Intrigue</x:t>
  </x:si>
  <x:si>
    <x:t xml:space="preserve">Journey</x:t>
  </x:si>
  <x:si>
    <x:t xml:space="preserve">Pensive</x:t>
  </x:si>
  <x:si>
    <x:t xml:space="preserve">Sympathy</x:t>
  </x:si>
  <x:si>
    <x:t xml:space="preserve">Whispers of the Past</x:t>
  </x:si>
  <x:si>
    <x:t xml:space="preserve">Positive</x:t>
  </x:si>
  <x:si>
    <x:t xml:space="preserve">Joy</x:t>
  </x:si>
  <x:si>
    <x:t xml:space="preserve">Excitement</x:t>
  </x:si>
  <x:si>
    <x:t xml:space="preserve">Contentment</x:t>
  </x:si>
  <x:si>
    <x:t xml:space="preserve">Gratitude</x:t>
  </x:si>
  <x:si>
    <x:t xml:space="preserve">Curiosity</x:t>
  </x:si>
  <x:si>
    <x:t xml:space="preserve">Serenity</x:t>
  </x:si>
  <x:si>
    <x:t xml:space="preserve">Happy</x:t>
  </x:si>
  <x:si>
    <x:t xml:space="preserve">Awe</x:t>
  </x:si>
  <x:si>
    <x:t xml:space="preserve">Hopeful</x:t>
  </x:si>
  <x:si>
    <x:t xml:space="preserve">Acceptance</x:t>
  </x:si>
  <x:si>
    <x:t xml:space="preserve">Determination</x:t>
  </x:si>
  <x:si>
    <x:t xml:space="preserve">Elation</x:t>
  </x:si>
  <x:si>
    <x:t xml:space="preserve">Enthusiasm</x:t>
  </x:si>
  <x:si>
    <x:t xml:space="preserve">Euphoria</x:t>
  </x:si>
  <x:si>
    <x:t xml:space="preserve">Pride</x:t>
  </x:si>
  <x:si>
    <x:t xml:space="preserve">Inspiration</x:t>
  </x:si>
  <x:si>
    <x:t xml:space="preserve">Playful</x:t>
  </x:si>
  <x:si>
    <x:t xml:space="preserve">Empowerment</x:t>
  </x:si>
  <x:si>
    <x:t xml:space="preserve">Happiness</x:t>
  </x:si>
  <x:si>
    <x:t xml:space="preserve">Hope</x:t>
  </x:si>
  <x:si>
    <x:t xml:space="preserve">Inspired</x:t>
  </x:si>
  <x:si>
    <x:t xml:space="preserve">Admiration</x:t>
  </x:si>
  <x:si>
    <x:t xml:space="preserve">Arousal</x:t>
  </x:si>
  <x:si>
    <x:t xml:space="preserve">Calmness</x:t>
  </x:si>
  <x:si>
    <x:t xml:space="preserve">Compassion</x:t>
  </x:si>
  <x:si>
    <x:t xml:space="preserve">Compassionate</x:t>
  </x:si>
  <x:si>
    <x:t xml:space="preserve">Enchantment</x:t>
  </x:si>
  <x:si>
    <x:t xml:space="preserve">Fulfillment</x:t>
  </x:si>
  <x:si>
    <x:t xml:space="preserve">Grateful</x:t>
  </x:si>
  <x:si>
    <x:t xml:space="preserve">Proud</x:t>
  </x:si>
  <x:si>
    <x:t xml:space="preserve">Reverence</x:t>
  </x:si>
  <x:si>
    <x:t xml:space="preserve">Tenderness</x:t>
  </x:si>
  <x:si>
    <x:t xml:space="preserve">Thrill</x:t>
  </x:si>
  <x:si>
    <x:t xml:space="preserve">Accomplishment</x:t>
  </x:si>
  <x:si>
    <x:t xml:space="preserve">Adventure</x:t>
  </x:si>
  <x:si>
    <x:t xml:space="preserve">Amusement</x:t>
  </x:si>
  <x:si>
    <x:t xml:space="preserve">Anticipation</x:t>
  </x:si>
  <x:si>
    <x:t xml:space="preserve">Confident</x:t>
  </x:si>
  <x:si>
    <x:t xml:space="preserve">Creativity</x:t>
  </x:si>
  <x:si>
    <x:t xml:space="preserve">Empathetic</x:t>
  </x:si>
  <x:si>
    <x:t xml:space="preserve">Free-spirited</x:t>
  </x:si>
  <x:si>
    <x:t xml:space="preserve">Harmony</x:t>
  </x:si>
  <x:si>
    <x:t xml:space="preserve">Kind</x:t>
  </x:si>
  <x:si>
    <x:t xml:space="preserve">Love</x:t>
  </x:si>
  <x:si>
    <x:t xml:space="preserve">Satisfaction</x:t>
  </x:si>
  <x:si>
    <x:t xml:space="preserve">Wonder</x:t>
  </x:si>
  <x:si>
    <x:t xml:space="preserve">Adoration</x:t>
  </x:si>
  <x:si>
    <x:t xml:space="preserve">Affection</x:t>
  </x:si>
  <x:si>
    <x:t xml:space="preserve">Captivation</x:t>
  </x:si>
  <x:si>
    <x:t xml:space="preserve">Coziness</x:t>
  </x:si>
  <x:si>
    <x:t xml:space="preserve">Enjoyment</x:t>
  </x:si>
  <x:si>
    <x:t xml:space="preserve">Exploration</x:t>
  </x:si>
  <x:si>
    <x:t xml:space="preserve">Mischievous</x:t>
  </x:si>
  <x:si>
    <x:t xml:space="preserve">Radiance</x:t>
  </x:si>
  <x:si>
    <x:t xml:space="preserve">Rejuvenation</x:t>
  </x:si>
  <x:si>
    <x:t xml:space="preserve">Resilience</x:t>
  </x:si>
  <x:si>
    <x:t xml:space="preserve">Tranquility</x:t>
  </x:si>
  <x:si>
    <x:t xml:space="preserve">Whimsy</x:t>
  </x:si>
  <x:si>
    <x:t xml:space="preserve">Yearning</x:t>
  </x:si>
  <x:si>
    <x:t xml:space="preserve">Zest</x:t>
  </x:si>
  <x:si>
    <x:t xml:space="preserve">Adrenaline</x:t>
  </x:si>
  <x:si>
    <x:t xml:space="preserve">Amazement</x:t>
  </x:si>
  <x:si>
    <x:t xml:space="preserve">Appreciation</x:t>
  </x:si>
  <x:si>
    <x:t xml:space="preserve">ArtisticBurst</x:t>
  </x:si>
  <x:si>
    <x:t xml:space="preserve">Blessed</x:t>
  </x:si>
  <x:si>
    <x:t xml:space="preserve">Breakthrough</x:t>
  </x:si>
  <x:si>
    <x:t xml:space="preserve">Celebration</x:t>
  </x:si>
  <x:si>
    <x:t xml:space="preserve">Celestial Wonder</x:t>
  </x:si>
  <x:si>
    <x:t xml:space="preserve">Challenge</x:t>
  </x:si>
  <x:si>
    <x:t xml:space="preserve">Charm</x:t>
  </x:si>
  <x:si>
    <x:t xml:space="preserve">Colorful</x:t>
  </x:si>
  <x:si>
    <x:t xml:space="preserve">Confidence</x:t>
  </x:si>
  <x:si>
    <x:t xml:space="preserve">Connection</x:t>
  </x:si>
  <x:si>
    <x:t xml:space="preserve">Creative Inspiration</x:t>
  </x:si>
  <x:si>
    <x:t xml:space="preserve">Culinary Adventure</x:t>
  </x:si>
  <x:si>
    <x:t xml:space="preserve">CulinaryOdyssey</x:t>
  </x:si>
  <x:si>
    <x:t xml:space="preserve">Dazzle</x:t>
  </x:si>
  <x:si>
    <x:t xml:space="preserve">DreamChaser</x:t>
  </x:si>
  <x:si>
    <x:t xml:space="preserve">Ecstasy</x:t>
  </x:si>
  <x:si>
    <x:t xml:space="preserve">Elegance</x:t>
  </x:si>
  <x:si>
    <x:t xml:space="preserve">Energy</x:t>
  </x:si>
  <x:si>
    <x:t xml:space="preserve">Engagement</x:t>
  </x:si>
  <x:si>
    <x:t xml:space="preserve">FestiveJoy</x:t>
  </x:si>
  <x:si>
    <x:t xml:space="preserve">Freedom</x:t>
  </x:si>
  <x:si>
    <x:t xml:space="preserve">Friendship</x:t>
  </x:si>
  <x:si>
    <x:t xml:space="preserve">Grandeur</x:t>
  </x:si>
  <x:si>
    <x:t xml:space="preserve">Heartwarming</x:t>
  </x:si>
  <x:si>
    <x:t xml:space="preserve">Iconic</x:t>
  </x:si>
  <x:si>
    <x:t xml:space="preserve">Imagination</x:t>
  </x:si>
  <x:si>
    <x:t xml:space="preserve">Immersion</x:t>
  </x:si>
  <x:si>
    <x:t xml:space="preserve">Joy in Baking</x:t>
  </x:si>
  <x:si>
    <x:t xml:space="preserve">JoyfulReunion</x:t>
  </x:si>
  <x:si>
    <x:t xml:space="preserve">Kindness</x:t>
  </x:si>
  <x:si>
    <x:t xml:space="preserve">LostLove</x:t>
  </x:si>
  <x:si>
    <x:t xml:space="preserve">Marvel</x:t>
  </x:si>
  <x:si>
    <x:t xml:space="preserve">Melodic</x:t>
  </x:si>
  <x:si>
    <x:t xml:space="preserve">Mesmerizing</x:t>
  </x:si>
  <x:si>
    <x:t xml:space="preserve">Mindfulness</x:t>
  </x:si>
  <x:si>
    <x:t xml:space="preserve">Motivation</x:t>
  </x:si>
  <x:si>
    <x:t xml:space="preserve">Nature's Beauty</x:t>
  </x:si>
  <x:si>
    <x:t xml:space="preserve">Ocean's Freedom</x:t>
  </x:si>
  <x:si>
    <x:t xml:space="preserve">Optimism</x:t>
  </x:si>
  <x:si>
    <x:t xml:space="preserve">Overjoyed</x:t>
  </x:si>
  <x:si>
    <x:t xml:space="preserve">PlayfulJoy</x:t>
  </x:si>
  <x:si>
    <x:t xml:space="preserve">Positivity</x:t>
  </x:si>
  <x:si>
    <x:t xml:space="preserve">Relief</x:t>
  </x:si>
  <x:si>
    <x:t xml:space="preserve">Renewed Effort</x:t>
  </x:si>
  <x:si>
    <x:t xml:space="preserve">Romance</x:t>
  </x:si>
  <x:si>
    <x:t xml:space="preserve">Runway Creativity</x:t>
  </x:si>
  <x:si>
    <x:t xml:space="preserve">Solace</x:t>
  </x:si>
  <x:si>
    <x:t xml:space="preserve">Spark</x:t>
  </x:si>
  <x:si>
    <x:t xml:space="preserve">Success</x:t>
  </x:si>
  <x:si>
    <x:t xml:space="preserve">Thrilling Journey</x:t>
  </x:si>
  <x:si>
    <x:t xml:space="preserve">Touched</x:t>
  </x:si>
  <x:si>
    <x:t xml:space="preserve">Triumph</x:t>
  </x:si>
  <x:si>
    <x:t xml:space="preserve">Vibrancy</x:t>
  </x:si>
  <x:si>
    <x:t xml:space="preserve">Winter Magic</x:t>
  </x:si>
  <x:si>
    <x:t xml:space="preserve">Wonderment</x:t>
  </x:si>
  <x:si>
    <x:t xml:space="preserve">Sentiment_Group</x:t>
  </x:si>
  <x:si>
    <x:t xml:space="preserve">Enjoying a beautiful day at the park!</x:t>
  </x:si>
  <x:si>
    <x:t xml:space="preserve">User123</x:t>
  </x:si>
  <x:si>
    <x:t xml:space="preserve">Twitter</x:t>
  </x:si>
  <x:si>
    <x:t xml:space="preserve">#Nature #Park</x:t>
  </x:si>
  <x:si>
    <x:t xml:space="preserve">Traffic was terrible this morning.</x:t>
  </x:si>
  <x:si>
    <x:t xml:space="preserve">CommuterX</x:t>
  </x:si>
  <x:si>
    <x:t xml:space="preserve">#Traffic #Morning</x:t>
  </x:si>
  <x:si>
    <x:t xml:space="preserve">Canada</x:t>
  </x:si>
  <x:si>
    <x:t xml:space="preserve">Just finished an amazing workout! 💪</x:t>
  </x:si>
  <x:si>
    <x:t xml:space="preserve">FitnessFan</x:t>
  </x:si>
  <x:si>
    <x:t xml:space="preserve">Instagram</x:t>
  </x:si>
  <x:si>
    <x:t xml:space="preserve">#Fitness #Workout</x:t>
  </x:si>
  <x:si>
    <x:t xml:space="preserve">Excited about the upcoming weekend getaway!</x:t>
  </x:si>
  <x:si>
    <x:t xml:space="preserve">AdventureX</x:t>
  </x:si>
  <x:si>
    <x:t xml:space="preserve">Facebook</x:t>
  </x:si>
  <x:si>
    <x:t xml:space="preserve">#Travel #Adventure</x:t>
  </x:si>
  <x:si>
    <x:t xml:space="preserve">UK</x:t>
  </x:si>
  <x:si>
    <x:t xml:space="preserve">Trying out a new recipe for dinner tonight.</x:t>
  </x:si>
  <x:si>
    <x:t xml:space="preserve">ChefCook</x:t>
  </x:si>
  <x:si>
    <x:t xml:space="preserve">#Cooking #Food</x:t>
  </x:si>
  <x:si>
    <x:t xml:space="preserve">Australia</x:t>
  </x:si>
  <x:si>
    <x:t xml:space="preserve">Feeling grateful for the little things in life.</x:t>
  </x:si>
  <x:si>
    <x:t xml:space="preserve">GratitudeNow</x:t>
  </x:si>
  <x:si>
    <x:t xml:space="preserve">#Gratitude #PositiveVibes</x:t>
  </x:si>
  <x:si>
    <x:t xml:space="preserve">India</x:t>
  </x:si>
  <x:si>
    <x:t xml:space="preserve">Rainy days call for cozy blankets and hot cocoa.</x:t>
  </x:si>
  <x:si>
    <x:t xml:space="preserve">RainyDays</x:t>
  </x:si>
  <x:si>
    <x:t xml:space="preserve">#RainyDays #Cozy</x:t>
  </x:si>
  <x:si>
    <x:t xml:space="preserve">The new movie release is a must-watch!</x:t>
  </x:si>
  <x:si>
    <x:t xml:space="preserve">MovieBuff</x:t>
  </x:si>
  <x:si>
    <x:t xml:space="preserve">#MovieNight #MustWatch</x:t>
  </x:si>
  <x:si>
    <x:t xml:space="preserve">Political discussions heating up on the timeline.</x:t>
  </x:si>
  <x:si>
    <x:t xml:space="preserve">DebateTalk</x:t>
  </x:si>
  <x:si>
    <x:t xml:space="preserve">#Politics #Debate</x:t>
  </x:si>
  <x:si>
    <x:t xml:space="preserve">Missing summer vibes and beach days.</x:t>
  </x:si>
  <x:si>
    <x:t xml:space="preserve">BeachLover</x:t>
  </x:si>
  <x:si>
    <x:t xml:space="preserve">#Summer #BeachDays</x:t>
  </x:si>
  <x:si>
    <x:t xml:space="preserve">Just published a new blog post. Check it out!</x:t>
  </x:si>
  <x:si>
    <x:t xml:space="preserve">BloggerX</x:t>
  </x:si>
  <x:si>
    <x:t xml:space="preserve">#Blogging #NewPost</x:t>
  </x:si>
  <x:si>
    <x:t xml:space="preserve">Feeling a bit under the weather today.</x:t>
  </x:si>
  <x:si>
    <x:t xml:space="preserve">WellnessCheck</x:t>
  </x:si>
  <x:si>
    <x:t xml:space="preserve">#SickDay #Health</x:t>
  </x:si>
  <x:si>
    <x:t xml:space="preserve">Exploring the city's hidden gems.</x:t>
  </x:si>
  <x:si>
    <x:t xml:space="preserve">UrbanExplorer</x:t>
  </x:si>
  <x:si>
    <x:t xml:space="preserve">#CityExplore #HiddenGems</x:t>
  </x:si>
  <x:si>
    <x:t xml:space="preserve">New year, new fitness goals! 💪</x:t>
  </x:si>
  <x:si>
    <x:t xml:space="preserve">FitJourney</x:t>
  </x:si>
  <x:si>
    <x:t xml:space="preserve">#NewYear #FitnessGoals</x:t>
  </x:si>
  <x:si>
    <x:t xml:space="preserve">Technology is changing the way we live.</x:t>
  </x:si>
  <x:si>
    <x:t xml:space="preserve">TechEnthusiast</x:t>
  </x:si>
  <x:si>
    <x:t xml:space="preserve">#Tech #Innovation</x:t>
  </x:si>
  <x:si>
    <x:t xml:space="preserve">Reflecting on the past and looking ahead.</x:t>
  </x:si>
  <x:si>
    <x:t xml:space="preserve">Reflections</x:t>
  </x:si>
  <x:si>
    <x:t xml:space="preserve">#Reflection #Future</x:t>
  </x:si>
  <x:si>
    <x:t xml:space="preserve">Just adopted a cute furry friend! 🐾</x:t>
  </x:si>
  <x:si>
    <x:t xml:space="preserve">PetAdopter</x:t>
  </x:si>
  <x:si>
    <x:t xml:space="preserve">#PetAdoption #FurryFriend</x:t>
  </x:si>
  <x:si>
    <x:t xml:space="preserve">Late-night gaming session with friends.</x:t>
  </x:si>
  <x:si>
    <x:t xml:space="preserve">GamerX</x:t>
  </x:si>
  <x:si>
    <x:t xml:space="preserve">#Gaming #LateNight</x:t>
  </x:si>
  <x:si>
    <x:t xml:space="preserve">Attending a virtual conference on AI.</x:t>
  </x:si>
  <x:si>
    <x:t xml:space="preserve">TechConference</x:t>
  </x:si>
  <x:si>
    <x:t xml:space="preserve">#AI #TechConference</x:t>
  </x:si>
  <x:si>
    <x:t xml:space="preserve">Winter blues got me feeling low.</x:t>
  </x:si>
  <x:si>
    <x:t xml:space="preserve">WinterBlues</x:t>
  </x:si>
  <x:si>
    <x:t xml:space="preserve">#WinterBlues #Mood</x:t>
  </x:si>
  <x:si>
    <x:t xml:space="preserve">Sipping coffee and enjoying a good book.</x:t>
  </x:si>
  <x:si>
    <x:t xml:space="preserve">Bookworm</x:t>
  </x:si>
  <x:si>
    <x:t xml:space="preserve">#Reading #CoffeeTime</x:t>
  </x:si>
  <x:si>
    <x:t xml:space="preserve">Exploring the world of virtual reality.</x:t>
  </x:si>
  <x:si>
    <x:t xml:space="preserve">VRExplorer</x:t>
  </x:si>
  <x:si>
    <x:t xml:space="preserve">#VR #VirtualReality</x:t>
  </x:si>
  <x:si>
    <x:t xml:space="preserve">Productive day ticking off my to-do list.</x:t>
  </x:si>
  <x:si>
    <x:t xml:space="preserve">ProductivityPro</x:t>
  </x:si>
  <x:si>
    <x:t xml:space="preserve">#Productivity #WorkFromHome</x:t>
  </x:si>
  <x:si>
    <x:t xml:space="preserve">Just finished a challenging workout routine.</x:t>
  </x:si>
  <x:si>
    <x:t xml:space="preserve">FitnessWarrior</x:t>
  </x:si>
  <x:si>
    <x:t xml:space="preserve">#Fitness #ChallengeAccepted</x:t>
  </x:si>
  <x:si>
    <x:t xml:space="preserve">Celebrating a milestone at work! 🎉</x:t>
  </x:si>
  <x:si>
    <x:t xml:space="preserve">CareerMilestone</x:t>
  </x:si>
  <x:si>
    <x:t xml:space="preserve">#Career #Milestone</x:t>
  </x:si>
  <x:si>
    <x:t xml:space="preserve">Sunday brunch with friends.</x:t>
  </x:si>
  <x:si>
    <x:t xml:space="preserve">BrunchBuddy</x:t>
  </x:si>
  <x:si>
    <x:t xml:space="preserve">#Brunch #Friends</x:t>
  </x:si>
  <x:si>
    <x:t xml:space="preserve">Learning a new language for personal growth.</x:t>
  </x:si>
  <x:si>
    <x:t xml:space="preserve">LanguageLearner</x:t>
  </x:si>
  <x:si>
    <x:t xml:space="preserve">#LanguageLearning #PersonalGrowth</x:t>
  </x:si>
  <x:si>
    <x:t xml:space="preserve">Quiet evening with a good book.</x:t>
  </x:si>
  <x:si>
    <x:t xml:space="preserve">BookLover</x:t>
  </x:si>
  <x:si>
    <x:t xml:space="preserve">#Reading #QuietTime</x:t>
  </x:si>
  <x:si>
    <x:t xml:space="preserve">Reflecting on the importance of mental health.</x:t>
  </x:si>
  <x:si>
    <x:t xml:space="preserve">MentalHealthMatters</x:t>
  </x:si>
  <x:si>
    <x:t xml:space="preserve">#MentalHealth #SelfCare</x:t>
  </x:si>
  <x:si>
    <x:t xml:space="preserve">New painting in progress! 🎨</x:t>
  </x:si>
  <x:si>
    <x:t xml:space="preserve">ArtistInAction</x:t>
  </x:si>
  <x:si>
    <x:t xml:space="preserve">#Art #PaintingInProgress</x:t>
  </x:si>
  <x:si>
    <x:t xml:space="preserve">Weekend road trip to explore scenic views.</x:t>
  </x:si>
  <x:si>
    <x:t xml:space="preserve">RoadTripper</x:t>
  </x:si>
  <x:si>
    <x:t xml:space="preserve">#RoadTrip #ScenicViews</x:t>
  </x:si>
  <x:si>
    <x:t xml:space="preserve">Enjoying a cup of tea and watching the sunset.</x:t>
  </x:si>
  <x:si>
    <x:t xml:space="preserve">SunsetWatcher</x:t>
  </x:si>
  <x:si>
    <x:t xml:space="preserve">#TeaTime #Sunset</x:t>
  </x:si>
  <x:si>
    <x:t xml:space="preserve">Coding a new project with enthusiasm.</x:t>
  </x:si>
  <x:si>
    <x:t xml:space="preserve">CodeEnthusiast</x:t>
  </x:si>
  <x:si>
    <x:t xml:space="preserve">#Coding #Enthusiasm</x:t>
  </x:si>
  <x:si>
    <x:t xml:space="preserve">Feeling inspired after attending a workshop.</x:t>
  </x:si>
  <x:si>
    <x:t xml:space="preserve">WorkshopAttendee</x:t>
  </x:si>
  <x:si>
    <x:t xml:space="preserve">#Inspiration #Workshop</x:t>
  </x:si>
  <x:si>
    <x:t xml:space="preserve">Winter sports day at the local park.</x:t>
  </x:si>
  <x:si>
    <x:t xml:space="preserve">WinterSports</x:t>
  </x:si>
  <x:si>
    <x:t xml:space="preserve">#WinterSports #Fun</x:t>
  </x:si>
  <x:si>
    <x:t xml:space="preserve">Quality time with family this weekend.</x:t>
  </x:si>
  <x:si>
    <x:t xml:space="preserve">FamilyTime</x:t>
  </x:si>
  <x:si>
    <x:t xml:space="preserve">#FamilyTime #Weekend</x:t>
  </x:si>
  <x:si>
    <x:t xml:space="preserve">Attending a live music concert tonight.</x:t>
  </x:si>
  <x:si>
    <x:t xml:space="preserve">MusicLover</x:t>
  </x:si>
  <x:si>
    <x:t xml:space="preserve">#Music #ConcertNight</x:t>
  </x:si>
  <x:si>
    <x:t xml:space="preserve">Practicing mindfulness with meditation.</x:t>
  </x:si>
  <x:si>
    <x:t xml:space="preserve">MindfulMoments</x:t>
  </x:si>
  <x:si>
    <x:t xml:space="preserve">#Mindfulness #Meditation</x:t>
  </x:si>
  <x:si>
    <x:t xml:space="preserve">Trying out a new dessert recipe.</x:t>
  </x:si>
  <x:si>
    <x:t xml:space="preserve">DessertExplorer</x:t>
  </x:si>
  <x:si>
    <x:t xml:space="preserve">#Dessert #Cooking</x:t>
  </x:si>
  <x:si>
    <x:t xml:space="preserve">Excited about the upcoming gaming tournament.</x:t>
  </x:si>
  <x:si>
    <x:t xml:space="preserve">GamingEnthusiast</x:t>
  </x:si>
  <x:si>
    <x:t xml:space="preserve">#Gaming #Tournament</x:t>
  </x:si>
  <x:si>
    <x:t xml:space="preserve">Planning a garden makeover for spring.</x:t>
  </x:si>
  <x:si>
    <x:t xml:space="preserve">GardenPlanner</x:t>
  </x:si>
  <x:si>
    <x:t xml:space="preserve">#Gardening #Spring</x:t>
  </x:si>
  <x:si>
    <x:t xml:space="preserve">Celebrating a friend's birthday tonight! 🎂</x:t>
  </x:si>
  <x:si>
    <x:t xml:space="preserve">BirthdayBash</x:t>
  </x:si>
  <x:si>
    <x:t xml:space="preserve">#Birthday #Celebration</x:t>
  </x:si>
  <x:si>
    <x:t xml:space="preserve">Feeling accomplished after a productive day.</x:t>
  </x:si>
  <x:si>
    <x:t xml:space="preserve">ProductivityWin</x:t>
  </x:si>
  <x:si>
    <x:t xml:space="preserve">#Accomplished #Success</x:t>
  </x:si>
  <x:si>
    <x:t xml:space="preserve">A cozy evening with a good movie.</x:t>
  </x:si>
  <x:si>
    <x:t xml:space="preserve">MovieNight</x:t>
  </x:si>
  <x:si>
    <x:t xml:space="preserve">#CozyNight #MovieTime</x:t>
  </x:si>
  <x:si>
    <x:t xml:space="preserve">Exploring local art galleries this weekend.</x:t>
  </x:si>
  <x:si>
    <x:t xml:space="preserve">ArtExplorer</x:t>
  </x:si>
  <x:si>
    <x:t xml:space="preserve">#Art #GalleryExplore</x:t>
  </x:si>
  <x:si>
    <x:t xml:space="preserve">New book release from my favorite author!</x:t>
  </x:si>
  <x:si>
    <x:t xml:space="preserve">BookwormX</x:t>
  </x:si>
  <x:si>
    <x:t xml:space="preserve">#BookRelease #FavoriteAuthor</x:t>
  </x:si>
  <x:si>
    <x:t xml:space="preserve">Attending a virtual reality meetup.</x:t>
  </x:si>
  <x:si>
    <x:t xml:space="preserve">VRMeetup</x:t>
  </x:si>
  <x:si>
    <x:t xml:space="preserve">#VRMeetup #VirtualReality</x:t>
  </x:si>
  <x:si>
    <x:t xml:space="preserve">Reflecting on the beauty of nature.</x:t>
  </x:si>
  <x:si>
    <x:t xml:space="preserve">NatureLover</x:t>
  </x:si>
  <x:si>
    <x:t xml:space="preserve">#Nature #Reflection</x:t>
  </x:si>
  <x:si>
    <x:t xml:space="preserve">Cooking a special dinner for loved ones.</x:t>
  </x:si>
  <x:si>
    <x:t xml:space="preserve">ChefAtHome</x:t>
  </x:si>
  <x:si>
    <x:t xml:space="preserve">#Cooking #SpecialDinner</x:t>
  </x:si>
  <x:si>
    <x:t xml:space="preserve">Feeling optimistic about the week ahead.</x:t>
  </x:si>
  <x:si>
    <x:t xml:space="preserve">OptimisticMindset</x:t>
  </x:si>
  <x:si>
    <x:t xml:space="preserve">#Optimism #NewWeek</x:t>
  </x:si>
  <x:si>
    <x:t xml:space="preserve">Starting a new fitness challenge tomorrow! 💪</x:t>
  </x:si>
  <x:si>
    <x:t xml:space="preserve">FitnessChallenge</x:t>
  </x:si>
  <x:si>
    <x:t xml:space="preserve">#FitnessChallenge #NewBeginnings</x:t>
  </x:si>
  <x:si>
    <x:t xml:space="preserve">Sunday bike ride through scenic trails.</x:t>
  </x:si>
  <x:si>
    <x:t xml:space="preserve">BikeExplorer</x:t>
  </x:si>
  <x:si>
    <x:t xml:space="preserve">#BikeRide #ScenicTrails</x:t>
  </x:si>
  <x:si>
    <x:t xml:space="preserve">Can't believe the injustice happening in our society.</x:t>
  </x:si>
  <x:si>
    <x:t xml:space="preserve">SocialJustice</x:t>
  </x:si>
  <x:si>
    <x:t xml:space="preserve">#Injustice #Angry</x:t>
  </x:si>
  <x:si>
    <x:t xml:space="preserve">Feeling a sense of fear after watching a thriller movie.</x:t>
  </x:si>
  <x:si>
    <x:t xml:space="preserve">ThrillerFan</x:t>
  </x:si>
  <x:si>
    <x:t xml:space="preserve">#Fear #ThrillerMovie</x:t>
  </x:si>
  <x:si>
    <x:t xml:space="preserve">Heartbroken after hearing the news about a natural disaster.</x:t>
  </x:si>
  <x:si>
    <x:t xml:space="preserve">EmpathyFirst</x:t>
  </x:si>
  <x:si>
    <x:t xml:space="preserve">#Sadness #NaturalDisaster</x:t>
  </x:si>
  <x:si>
    <x:t xml:space="preserve">The state of the world's environment is just disgusting.</x:t>
  </x:si>
  <x:si>
    <x:t xml:space="preserve">EcoAwareness</x:t>
  </x:si>
  <x:si>
    <x:t xml:space="preserve">#Disgust #Environment</x:t>
  </x:si>
  <x:si>
    <x:t xml:space="preserve">Pure happiness: celebrating a loved one's achievement!</x:t>
  </x:si>
  <x:si>
    <x:t xml:space="preserve">ProudFriend</x:t>
  </x:si>
  <x:si>
    <x:t xml:space="preserve">#Happiness #Celebration</x:t>
  </x:si>
  <x:si>
    <x:t xml:space="preserve">Laughter is the best medicine—enjoying a comedy show.</x:t>
  </x:si>
  <x:si>
    <x:t xml:space="preserve">ComedyFan</x:t>
  </x:si>
  <x:si>
    <x:t xml:space="preserve">#Joy #ComedyShow</x:t>
  </x:si>
  <x:si>
    <x:t xml:space="preserve">Sharing love and positive vibes with everyone! ❤️</x:t>
  </x:si>
  <x:si>
    <x:t xml:space="preserve">LoveSpreader</x:t>
  </x:si>
  <x:si>
    <x:t xml:space="preserve">#Love #SpreadLove</x:t>
  </x:si>
  <x:si>
    <x:t xml:space="preserve">An amusing incident brightened up my day!</x:t>
  </x:si>
  <x:si>
    <x:t xml:space="preserve">AmusedSoul</x:t>
  </x:si>
  <x:si>
    <x:t xml:space="preserve">#Amusement #FunTimes</x:t>
  </x:si>
  <x:si>
    <x:t xml:space="preserve">Enjoying a quiet evening with a book and some tea.</x:t>
  </x:si>
  <x:si>
    <x:t xml:space="preserve">BookLoverAgain</x:t>
  </x:si>
  <x:si>
    <x:t xml:space="preserve">#Enjoyment #BookTime</x:t>
  </x:si>
  <x:si>
    <x:t xml:space="preserve">Admiring the beauty of nature during a peaceful hike.</x:t>
  </x:si>
  <x:si>
    <x:t xml:space="preserve">NatureAdmirer</x:t>
  </x:si>
  <x:si>
    <x:t xml:space="preserve">#Admiration #Nature</x:t>
  </x:si>
  <x:si>
    <x:t xml:space="preserve">Sending affectionate vibes to all my followers!</x:t>
  </x:si>
  <x:si>
    <x:t xml:space="preserve">AffectionSender</x:t>
  </x:si>
  <x:si>
    <x:t xml:space="preserve">#Affection #PositiveVibes</x:t>
  </x:si>
  <x:si>
    <x:t xml:space="preserve">Experiencing awe at the breathtaking sunset.</x:t>
  </x:si>
  <x:si>
    <x:t xml:space="preserve">AweStruck</x:t>
  </x:si>
  <x:si>
    <x:t xml:space="preserve">#Awe #Breathtaking</x:t>
  </x:si>
  <x:si>
    <x:t xml:space="preserve">Disappointed with the service at a local restaurant.</x:t>
  </x:si>
  <x:si>
    <x:t xml:space="preserve">FoodieGoneWrong</x:t>
  </x:si>
  <x:si>
    <x:t xml:space="preserve">#Disappointed #BadService</x:t>
  </x:si>
  <x:si>
    <x:t xml:space="preserve">A surprise gift from a friend made my day!</x:t>
  </x:si>
  <x:si>
    <x:t xml:space="preserve">HappySurprise</x:t>
  </x:si>
  <x:si>
    <x:t xml:space="preserve">#Surprise #Gift</x:t>
  </x:si>
  <x:si>
    <x:t xml:space="preserve">Finding acceptance in the midst of life's challenges.</x:t>
  </x:si>
  <x:si>
    <x:t xml:space="preserve">AcceptanceSeeker</x:t>
  </x:si>
  <x:si>
    <x:t xml:space="preserve">#Acceptance #Challenges</x:t>
  </x:si>
  <x:si>
    <x:t xml:space="preserve">Overflowing with adoration for my adorable pet! 🐾</x:t>
  </x:si>
  <x:si>
    <x:t xml:space="preserve">PetAdorer</x:t>
  </x:si>
  <x:si>
    <x:t xml:space="preserve">#Adoration #PetLove</x:t>
  </x:si>
  <x:si>
    <x:t xml:space="preserve">Anticipating a thrilling adventure in the coming weeks.</x:t>
  </x:si>
  <x:si>
    <x:t xml:space="preserve">AdventureAwaits</x:t>
  </x:si>
  <x:si>
    <x:t xml:space="preserve">#Anticipation #Adventure</x:t>
  </x:si>
  <x:si>
    <x:t xml:space="preserve">A bitter experience turned into a valuable lesson.</x:t>
  </x:si>
  <x:si>
    <x:t xml:space="preserve">LearnFromBitter</x:t>
  </x:si>
  <x:si>
    <x:t xml:space="preserve">#BitterLesson #Growth</x:t>
  </x:si>
  <x:si>
    <x:t xml:space="preserve">Finding calmness in the midst of a busy day.</x:t>
  </x:si>
  <x:si>
    <x:t xml:space="preserve">ZenMaster</x:t>
  </x:si>
  <x:si>
    <x:t xml:space="preserve">#Calmness #PeacefulMind</x:t>
  </x:si>
  <x:si>
    <x:t xml:space="preserve">Confusion clouds my mind as I navigate through decisions.</x:t>
  </x:si>
  <x:si>
    <x:t xml:space="preserve">ConfusedMind</x:t>
  </x:si>
  <x:si>
    <x:t xml:space="preserve">#Confusion #DecisionMaking</x:t>
  </x:si>
  <x:si>
    <x:t xml:space="preserve">Excitement building up for the upcoming vacation!</x:t>
  </x:si>
  <x:si>
    <x:t xml:space="preserve">VacationDreamer</x:t>
  </x:si>
  <x:si>
    <x:t xml:space="preserve">#Excitement #TravelPlans</x:t>
  </x:si>
  <x:si>
    <x:t xml:space="preserve">Kindness witnessed today restored my faith in humanity.</x:t>
  </x:si>
  <x:si>
    <x:t xml:space="preserve">KindnessPrevails</x:t>
  </x:si>
  <x:si>
    <x:t xml:space="preserve">#Kindness #Humanity</x:t>
  </x:si>
  <x:si>
    <x:t xml:space="preserve">Pride in achieving a personal milestone.</x:t>
  </x:si>
  <x:si>
    <x:t xml:space="preserve">PersonalAchiever</x:t>
  </x:si>
  <x:si>
    <x:t xml:space="preserve">#Pride #Milestone</x:t>
  </x:si>
  <x:si>
    <x:t xml:space="preserve">A moment of shame for not standing up against injustice.</x:t>
  </x:si>
  <x:si>
    <x:t xml:space="preserve">ReflectiveSelf</x:t>
  </x:si>
  <x:si>
    <x:t xml:space="preserve">#Shame #Injustice</x:t>
  </x:si>
  <x:si>
    <x:t xml:space="preserve">Fuming with anger after a heated argument.</x:t>
  </x:si>
  <x:si>
    <x:t xml:space="preserve">AngryDebater</x:t>
  </x:si>
  <x:si>
    <x:t xml:space="preserve">#Anger #Argument</x:t>
  </x:si>
  <x:si>
    <x:t xml:space="preserve">The fear of the unknown is keeping me up at night.</x:t>
  </x:si>
  <x:si>
    <x:t xml:space="preserve">FearfulDreamer</x:t>
  </x:si>
  <x:si>
    <x:t xml:space="preserve">#Fear #Unknown</x:t>
  </x:si>
  <x:si>
    <x:t xml:space="preserve">Heartfelt sadness after bidding farewell to a dear friend.</x:t>
  </x:si>
  <x:si>
    <x:t xml:space="preserve">FarewellHeart</x:t>
  </x:si>
  <x:si>
    <x:t xml:space="preserve">#Sadness #Farewell</x:t>
  </x:si>
  <x:si>
    <x:t xml:space="preserve">The state of corruption in our society is utterly disgusting.</x:t>
  </x:si>
  <x:si>
    <x:t xml:space="preserve">AntiCorruption</x:t>
  </x:si>
  <x:si>
    <x:t xml:space="preserve">#Disgust #Corruption</x:t>
  </x:si>
  <x:si>
    <x:t xml:space="preserve">Overflowing happiness: welcoming a new family member!</x:t>
  </x:si>
  <x:si>
    <x:t xml:space="preserve">NewParentJoy</x:t>
  </x:si>
  <x:si>
    <x:t xml:space="preserve">#Happiness #NewFamilyMember</x:t>
  </x:si>
  <x:si>
    <x:t xml:space="preserve">Laughter is the key to joy—attending a stand-up comedy show.</x:t>
  </x:si>
  <x:si>
    <x:t xml:space="preserve">StandUpFan</x:t>
  </x:si>
  <x:si>
    <x:t xml:space="preserve">#Joy #StandUpComedy</x:t>
  </x:si>
  <x:si>
    <x:t xml:space="preserve">Sending love to all my followers on this beautiful day! ❤️</x:t>
  </x:si>
  <x:si>
    <x:t xml:space="preserve">LoveSender</x:t>
  </x:si>
  <x:si>
    <x:t xml:space="preserve">Amused by the antics of my pet—it's pure amusement!</x:t>
  </x:si>
  <x:si>
    <x:t xml:space="preserve">PetAmuser</x:t>
  </x:si>
  <x:si>
    <x:t xml:space="preserve">#Amusement #PetAntics</x:t>
  </x:si>
  <x:si>
    <x:t xml:space="preserve">Enjoying every moment of this trip—pure enjoyment!</x:t>
  </x:si>
  <x:si>
    <x:t xml:space="preserve">TravelExplorer</x:t>
  </x:si>
  <x:si>
    <x:t xml:space="preserve">#Enjoyment #Travel</x:t>
  </x:si>
  <x:si>
    <x:t xml:space="preserve">Admiring the dedication of volunteers at a local charity.</x:t>
  </x:si>
  <x:si>
    <x:t xml:space="preserve">CharityAdmirer</x:t>
  </x:si>
  <x:si>
    <x:t xml:space="preserve">#Admiration #Volunteers</x:t>
  </x:si>
  <x:si>
    <x:t xml:space="preserve">Sending affectionate vibes to friends and family.</x:t>
  </x:si>
  <x:si>
    <x:t xml:space="preserve">FamilyLover</x:t>
  </x:si>
  <x:si>
    <x:t xml:space="preserve">#Affection #FamilyLove</x:t>
  </x:si>
  <x:si>
    <x:t xml:space="preserve">Awe-struck by the beauty of the night sky.</x:t>
  </x:si>
  <x:si>
    <x:t xml:space="preserve">Stargazer</x:t>
  </x:si>
  <x:si>
    <x:t xml:space="preserve">#Awe #StarryNight</x:t>
  </x:si>
  <x:si>
    <x:t xml:space="preserve">Disappointed with the lack of progress in a personal project.</x:t>
  </x:si>
  <x:si>
    <x:t xml:space="preserve">ProjectStruggle</x:t>
  </x:si>
  <x:si>
    <x:t xml:space="preserve">#Disappointed #Project</x:t>
  </x:si>
  <x:si>
    <x:t xml:space="preserve">A surprise visit from an old friend brought tears of joy.</x:t>
  </x:si>
  <x:si>
    <x:t xml:space="preserve">#Surprise #OldFriends</x:t>
  </x:si>
  <x:si>
    <x:t xml:space="preserve">Embracing acceptance of life's ups and downs.</x:t>
  </x:si>
  <x:si>
    <x:t xml:space="preserve">LifeAcceptance</x:t>
  </x:si>
  <x:si>
    <x:t xml:space="preserve">#Acceptance #LifeJourney</x:t>
  </x:si>
  <x:si>
    <x:t xml:space="preserve">Overflowing adoration for a cute rescue puppy! 🐶</x:t>
  </x:si>
  <x:si>
    <x:t xml:space="preserve">PuppyAdmirer</x:t>
  </x:si>
  <x:si>
    <x:t xml:space="preserve">#Adoration #PuppyLove</x:t>
  </x:si>
  <x:si>
    <x:t xml:space="preserve">Anticipating the release of a much-awaited movie.</x:t>
  </x:si>
  <x:si>
    <x:t xml:space="preserve">MovieBuff2</x:t>
  </x:si>
  <x:si>
    <x:t xml:space="preserve">#Anticipation #MovieRelease</x:t>
  </x:si>
  <x:si>
    <x:t xml:space="preserve">Bitter experience at the customer service department.</x:t>
  </x:si>
  <x:si>
    <x:t xml:space="preserve">CustomerWoes</x:t>
  </x:si>
  <x:si>
    <x:t xml:space="preserve">#BitterExperience #CustomerService</x:t>
  </x:si>
  <x:si>
    <x:t xml:space="preserve">Finding calmness amidst the chaos of daily life.</x:t>
  </x:si>
  <x:si>
    <x:t xml:space="preserve">CalmSoul</x:t>
  </x:si>
  <x:si>
    <x:t xml:space="preserve">#Calmness #InnerPeace</x:t>
  </x:si>
  <x:si>
    <x:t xml:space="preserve">Confusion reigns as I try to make sense of recent events.</x:t>
  </x:si>
  <x:si>
    <x:t xml:space="preserve">ConfusedMind2</x:t>
  </x:si>
  <x:si>
    <x:t xml:space="preserve">#Confusion #MakingSense</x:t>
  </x:si>
  <x:si>
    <x:t xml:space="preserve">Excitement building up for a surprise birthday party.</x:t>
  </x:si>
  <x:si>
    <x:t xml:space="preserve">BirthdayExcite</x:t>
  </x:si>
  <x:si>
    <x:t xml:space="preserve">#Excitement #SurpriseParty</x:t>
  </x:si>
  <x:si>
    <x:t xml:space="preserve">Witnessed an act of kindness that made my day.</x:t>
  </x:si>
  <x:si>
    <x:t xml:space="preserve">KindnessObserver</x:t>
  </x:si>
  <x:si>
    <x:t xml:space="preserve">#Kindness #ActsOfKindness</x:t>
  </x:si>
  <x:si>
    <x:t xml:space="preserve">Pride in completing a challenging fitness challenge.</x:t>
  </x:si>
  <x:si>
    <x:t xml:space="preserve">FitAchiever</x:t>
  </x:si>
  <x:si>
    <x:t xml:space="preserve">#Pride #FitnessChallengeCompleted</x:t>
  </x:si>
  <x:si>
    <x:t xml:space="preserve">A moment of shame for not speaking up against injustice.</x:t>
  </x:si>
  <x:si>
    <x:t xml:space="preserve">ReflectiveSelf2</x:t>
  </x:si>
  <x:si>
    <x:t xml:space="preserve">Reflecting on the beauty of diversity in our world.</x:t>
  </x:si>
  <x:si>
    <x:t xml:space="preserve">DiversityLover</x:t>
  </x:si>
  <x:si>
    <x:t xml:space="preserve">#Acceptance #Diversity</x:t>
  </x:si>
  <x:si>
    <x:t xml:space="preserve">Excitement for a quiet evening with a good book.</x:t>
  </x:si>
  <x:si>
    <x:t xml:space="preserve">BookwormJoy</x:t>
  </x:si>
  <x:si>
    <x:t xml:space="preserve">#Excitement #BookTime</x:t>
  </x:si>
  <x:si>
    <x:t xml:space="preserve">Feeling bitter about the unfairness in the workplace.</x:t>
  </x:si>
  <x:si>
    <x:t xml:space="preserve">WorkplaceWoes</x:t>
  </x:si>
  <x:si>
    <x:t xml:space="preserve">#Bitter #Unfairness</x:t>
  </x:si>
  <x:si>
    <x:t xml:space="preserve">Calmness prevails as I practice mindfulness.</x:t>
  </x:si>
  <x:si>
    <x:t xml:space="preserve">MindfulMe</x:t>
  </x:si>
  <x:si>
    <x:t xml:space="preserve">#Calmness #Mindfulness</x:t>
  </x:si>
  <x:si>
    <x:t xml:space="preserve">Confusion surrounds me as I navigate through life's choices.</x:t>
  </x:si>
  <x:si>
    <x:t xml:space="preserve">ConfusedMind3</x:t>
  </x:si>
  <x:si>
    <x:t xml:space="preserve">#Confusion #LifeChoices</x:t>
  </x:si>
  <x:si>
    <x:t xml:space="preserve">Excitement for a weekend road trip to explore new places.</x:t>
  </x:si>
  <x:si>
    <x:t xml:space="preserve">RoadTripper2</x:t>
  </x:si>
  <x:si>
    <x:t xml:space="preserve">#Excitement #WeekendAdventure</x:t>
  </x:si>
  <x:si>
    <x:t xml:space="preserve">Kindness witnessed today restores my faith in humanity.</x:t>
  </x:si>
  <x:si>
    <x:t xml:space="preserve">KindnessPrevails2</x:t>
  </x:si>
  <x:si>
    <x:t xml:space="preserve">#Kindness #HumanityRestored</x:t>
  </x:si>
  <x:si>
    <x:t xml:space="preserve">Pride in accomplishing personal and professional goals.</x:t>
  </x:si>
  <x:si>
    <x:t xml:space="preserve">GoalAchiever</x:t>
  </x:si>
  <x:si>
    <x:t xml:space="preserve">#Pride #Accomplishments</x:t>
  </x:si>
  <x:si>
    <x:t xml:space="preserve">Shame for not being true to my values in a difficult situation.</x:t>
  </x:si>
  <x:si>
    <x:t xml:space="preserve">ReflectiveSelf3</x:t>
  </x:si>
  <x:si>
    <x:t xml:space="preserve">#Shame #Integrity</x:t>
  </x:si>
  <x:si>
    <x:t xml:space="preserve">Revisiting old memories, feeling a sense of elation.</x:t>
  </x:si>
  <x:si>
    <x:t xml:space="preserve">NostalgiaFan</x:t>
  </x:si>
  <x:si>
    <x:t xml:space="preserve">#Elation #Memories</x:t>
  </x:si>
  <x:si>
    <x:t xml:space="preserve">The victory of our team brought euphoria to the city.</x:t>
  </x:si>
  <x:si>
    <x:t xml:space="preserve">SportsFanatic</x:t>
  </x:si>
  <x:si>
    <x:t xml:space="preserve">#Euphoria #Victory</x:t>
  </x:si>
  <x:si>
    <x:t xml:space="preserve">Embracing the beauty of nature, a moment of contentment.</x:t>
  </x:si>
  <x:si>
    <x:t xml:space="preserve">NatureLover2</x:t>
  </x:si>
  <x:si>
    <x:t xml:space="preserve">#Contentment #Nature</x:t>
  </x:si>
  <x:si>
    <x:t xml:space="preserve">Meditating by the serene lake, finding inner peace.</x:t>
  </x:si>
  <x:si>
    <x:t xml:space="preserve">ZenMaster2</x:t>
  </x:si>
  <x:si>
    <x:t xml:space="preserve">#Serenity #Meditation</x:t>
  </x:si>
  <x:si>
    <x:t xml:space="preserve">Overflowing with gratitude for life's blessings.</x:t>
  </x:si>
  <x:si>
    <x:t xml:space="preserve">ThankfulHeart</x:t>
  </x:si>
  <x:si>
    <x:t xml:space="preserve">#Gratitude #Blessed</x:t>
  </x:si>
  <x:si>
    <x:t xml:space="preserve">Hopeful for a brighter tomorrow, despite challenges.</x:t>
  </x:si>
  <x:si>
    <x:t xml:space="preserve">OptimisticSoul</x:t>
  </x:si>
  <x:si>
    <x:t xml:space="preserve">#Hope #Optimism</x:t>
  </x:si>
  <x:si>
    <x:t xml:space="preserve">Empowered to make a difference in my community.</x:t>
  </x:si>
  <x:si>
    <x:t xml:space="preserve">CommunityLeader</x:t>
  </x:si>
  <x:si>
    <x:t xml:space="preserve">#Empowerment #Community</x:t>
  </x:si>
  <x:si>
    <x:t xml:space="preserve">Compassion in action: supporting a local charity event.</x:t>
  </x:si>
  <x:si>
    <x:t xml:space="preserve">CharitySupporter</x:t>
  </x:si>
  <x:si>
    <x:t xml:space="preserve">#Compassion #CharityEvent</x:t>
  </x:si>
  <x:si>
    <x:t xml:space="preserve">A moment of tenderness, connecting with loved ones.</x:t>
  </x:si>
  <x:si>
    <x:t xml:space="preserve">LovingHeart</x:t>
  </x:si>
  <x:si>
    <x:t xml:space="preserve">#Tenderness #FamilyTime</x:t>
  </x:si>
  <x:si>
    <x:t xml:space="preserve">Arousal of excitement as I await a special announcement.</x:t>
  </x:si>
  <x:si>
    <x:t xml:space="preserve">ExcitementFan</x:t>
  </x:si>
  <x:si>
    <x:t xml:space="preserve">#Arousal #Excitement</x:t>
  </x:si>
  <x:si>
    <x:t xml:space="preserve">Enthusiastically diving into a new project.</x:t>
  </x:si>
  <x:si>
    <x:t xml:space="preserve">ProjectEnthusiast</x:t>
  </x:si>
  <x:si>
    <x:t xml:space="preserve">#Enthusiasm #NewProject</x:t>
  </x:si>
  <x:si>
    <x:t xml:space="preserve">Feeling a sense of fulfillment after reaching a milestone.</x:t>
  </x:si>
  <x:si>
    <x:t xml:space="preserve">MilestoneAchiever</x:t>
  </x:si>
  <x:si>
    <x:t xml:space="preserve">#Fulfillment #Milestone</x:t>
  </x:si>
  <x:si>
    <x:t xml:space="preserve">Reverence for the beauty of a historic landmark.</x:t>
  </x:si>
  <x:si>
    <x:t xml:space="preserve">HistoryLover</x:t>
  </x:si>
  <x:si>
    <x:t xml:space="preserve">#Reverence #History</x:t>
  </x:si>
  <x:si>
    <x:t xml:space="preserve">Elation after a surprise reunion with old friends.</x:t>
  </x:si>
  <x:si>
    <x:t xml:space="preserve">JoyfulReunion2</x:t>
  </x:si>
  <x:si>
    <x:t xml:space="preserve">#Elation #OldFriends</x:t>
  </x:si>
  <x:si>
    <x:t xml:space="preserve">The euphoria of a live music concert under the stars.</x:t>
  </x:si>
  <x:si>
    <x:t xml:space="preserve">MusicEnthusiast</x:t>
  </x:si>
  <x:si>
    <x:t xml:space="preserve">#Euphoria #LiveMusic</x:t>
  </x:si>
  <x:si>
    <x:t xml:space="preserve">Contentment in the simplicity of a quiet Sunday.</x:t>
  </x:si>
  <x:si>
    <x:t xml:space="preserve">SimpleJoys</x:t>
  </x:si>
  <x:si>
    <x:t xml:space="preserve">#Contentment #SundayMood</x:t>
  </x:si>
  <x:si>
    <x:t xml:space="preserve">Serenity found in the pages of a favorite book.</x:t>
  </x:si>
  <x:si>
    <x:t xml:space="preserve">BookLover3</x:t>
  </x:si>
  <x:si>
    <x:t xml:space="preserve">#Serenity #BookTime</x:t>
  </x:si>
  <x:si>
    <x:t xml:space="preserve">Gratitude for the support received during tough times.</x:t>
  </x:si>
  <x:si>
    <x:t xml:space="preserve">SupportiveFriend</x:t>
  </x:si>
  <x:si>
    <x:t xml:space="preserve">#Gratitude #Supportive</x:t>
  </x:si>
  <x:si>
    <x:t xml:space="preserve">Hopeful about the possibilities of a new journey.</x:t>
  </x:si>
  <x:si>
    <x:t xml:space="preserve">JourneyOptimist</x:t>
  </x:si>
  <x:si>
    <x:t xml:space="preserve">#Hope #NewBeginnings</x:t>
  </x:si>
  <x:si>
    <x:t xml:space="preserve">Empowerment through learning and personal growth.</x:t>
  </x:si>
  <x:si>
    <x:t xml:space="preserve">GrowthSeeker</x:t>
  </x:si>
  <x:si>
    <x:t xml:space="preserve">#Empowerment #PersonalGrowth</x:t>
  </x:si>
  <x:si>
    <x:t xml:space="preserve">Compassion towards those in need during the holidays.</x:t>
  </x:si>
  <x:si>
    <x:t xml:space="preserve">HolidayHelper</x:t>
  </x:si>
  <x:si>
    <x:t xml:space="preserve">#Compassion #HolidaySupport</x:t>
  </x:si>
  <x:si>
    <x:t xml:space="preserve">Tenderness in the warmth of a cozy winter evening.</x:t>
  </x:si>
  <x:si>
    <x:t xml:space="preserve">WinterWarmth</x:t>
  </x:si>
  <x:si>
    <x:t xml:space="preserve">#Tenderness #CozyEvening</x:t>
  </x:si>
  <x:si>
    <x:t xml:space="preserve">Arousal of excitement for an upcoming adventure.</x:t>
  </x:si>
  <x:si>
    <x:t xml:space="preserve">#Arousal #AdventureTime</x:t>
  </x:si>
  <x:si>
    <x:t xml:space="preserve">Enthusiasm for a creative project in the making.</x:t>
  </x:si>
  <x:si>
    <x:t xml:space="preserve">CreativeSpirit</x:t>
  </x:si>
  <x:si>
    <x:t xml:space="preserve">#Enthusiasm #Creativity</x:t>
  </x:si>
  <x:si>
    <x:t xml:space="preserve">Fulfillment in completing a challenging workout routine.</x:t>
  </x:si>
  <x:si>
    <x:t xml:space="preserve">FitnessAchiever</x:t>
  </x:si>
  <x:si>
    <x:t xml:space="preserve">#Fulfillment #FitnessGoals</x:t>
  </x:si>
  <x:si>
    <x:t xml:space="preserve">Reverence for the artistry displayed in a museum.</x:t>
  </x:si>
  <x:si>
    <x:t xml:space="preserve">ArtAppreciator</x:t>
  </x:si>
  <x:si>
    <x:t xml:space="preserve">#Reverence #ArtAppreciation</x:t>
  </x:si>
  <x:si>
    <x:t xml:space="preserve">Elation after achieving a personal goal.</x:t>
  </x:si>
  <x:si>
    <x:t xml:space="preserve">GoalAchiever2</x:t>
  </x:si>
  <x:si>
    <x:t xml:space="preserve">#Elation #PersonalAchievement</x:t>
  </x:si>
  <x:si>
    <x:t xml:space="preserve">Elation over discovering a hidden gem in the city.</x:t>
  </x:si>
  <x:si>
    <x:t xml:space="preserve">UrbanExplorer2</x:t>
  </x:si>
  <x:si>
    <x:t xml:space="preserve">#Elation #HiddenGem</x:t>
  </x:si>
  <x:si>
    <x:t xml:space="preserve">The euphoria of a surprise birthday celebration.</x:t>
  </x:si>
  <x:si>
    <x:t xml:space="preserve">BirthdayJoy</x:t>
  </x:si>
  <x:si>
    <x:t xml:space="preserve">#Euphoria #BirthdaySurprise</x:t>
  </x:si>
  <x:si>
    <x:t xml:space="preserve">Contentment in the simplicity of a home-cooked meal.</x:t>
  </x:si>
  <x:si>
    <x:t xml:space="preserve">HomeChef</x:t>
  </x:si>
  <x:si>
    <x:t xml:space="preserve">#Contentment #HomeCooking</x:t>
  </x:si>
  <x:si>
    <x:t xml:space="preserve">Serenity found in the melody of a peaceful piano.</x:t>
  </x:si>
  <x:si>
    <x:t xml:space="preserve">MusicLover4</x:t>
  </x:si>
  <x:si>
    <x:t xml:space="preserve">#Serenity #PeacefulMelody</x:t>
  </x:si>
  <x:si>
    <x:t xml:space="preserve">Gratitude for the supportive community around me.</x:t>
  </x:si>
  <x:si>
    <x:t xml:space="preserve">CommunityLove</x:t>
  </x:si>
  <x:si>
    <x:t xml:space="preserve">#Gratitude #CommunitySupport</x:t>
  </x:si>
  <x:si>
    <x:t xml:space="preserve">Hopeful about the prospects of a new business venture.</x:t>
  </x:si>
  <x:si>
    <x:t xml:space="preserve">EntrepreneurHope</x:t>
  </x:si>
  <x:si>
    <x:t xml:space="preserve">#Hope #BusinessVenture</x:t>
  </x:si>
  <x:si>
    <x:t xml:space="preserve">Empowerment through mentoring and guiding others.</x:t>
  </x:si>
  <x:si>
    <x:t xml:space="preserve">MentorEmpower</x:t>
  </x:si>
  <x:si>
    <x:t xml:space="preserve">#Empowerment #Mentorship</x:t>
  </x:si>
  <x:si>
    <x:t xml:space="preserve">Compassion shown through acts of kindness in the community.</x:t>
  </x:si>
  <x:si>
    <x:t xml:space="preserve">KindnessInAction</x:t>
  </x:si>
  <x:si>
    <x:t xml:space="preserve">#Compassion #CommunityKindness</x:t>
  </x:si>
  <x:si>
    <x:t xml:space="preserve">Tenderness in a heartfelt message to a loved one.</x:t>
  </x:si>
  <x:si>
    <x:t xml:space="preserve">LoveExpress</x:t>
  </x:si>
  <x:si>
    <x:t xml:space="preserve">#Tenderness #LoveNote</x:t>
  </x:si>
  <x:si>
    <x:t xml:space="preserve">Arousal of excitement before a much-awaited trip.</x:t>
  </x:si>
  <x:si>
    <x:t xml:space="preserve">TravelExcitement</x:t>
  </x:si>
  <x:si>
    <x:t xml:space="preserve">#Arousal #TravelAdventure</x:t>
  </x:si>
  <x:si>
    <x:t xml:space="preserve">Enthusiasm for a new artistic project in the works.</x:t>
  </x:si>
  <x:si>
    <x:t xml:space="preserve">ArtisticSpirit</x:t>
  </x:si>
  <x:si>
    <x:t xml:space="preserve">#Enthusiasm #ArtisticProject</x:t>
  </x:si>
  <x:si>
    <x:t xml:space="preserve">Feeling a sense of fulfillment after helping others.</x:t>
  </x:si>
  <x:si>
    <x:t xml:space="preserve">HelperHeart</x:t>
  </x:si>
  <x:si>
    <x:t xml:space="preserve">#Fulfillment #HelpingOthers</x:t>
  </x:si>
  <x:si>
    <x:t xml:space="preserve">Reverence for the historical significance of a landmark.</x:t>
  </x:si>
  <x:si>
    <x:t xml:space="preserve">HistoryBuff</x:t>
  </x:si>
  <x:si>
    <x:t xml:space="preserve">#Reverence #HistoricalSite</x:t>
  </x:si>
  <x:si>
    <x:t xml:space="preserve">Elation after achieving a fitness milestone.</x:t>
  </x:si>
  <x:si>
    <x:t xml:space="preserve">FitnessAchiever2</x:t>
  </x:si>
  <x:si>
    <x:t xml:space="preserve">#Elation #FitnessMilestone</x:t>
  </x:si>
  <x:si>
    <x:t xml:space="preserve">The euphoria of a successful product launch.</x:t>
  </x:si>
  <x:si>
    <x:t xml:space="preserve">ProductLaunchJoy</x:t>
  </x:si>
  <x:si>
    <x:t xml:space="preserve">#Euphoria #ProductLaunchSuccess</x:t>
  </x:si>
  <x:si>
    <x:t xml:space="preserve">Contentment in the embrace of a loved one.</x:t>
  </x:si>
  <x:si>
    <x:t xml:space="preserve">LovingEmbrace</x:t>
  </x:si>
  <x:si>
    <x:t xml:space="preserve">#Contentment #Love</x:t>
  </x:si>
  <x:si>
    <x:t xml:space="preserve">Serenity found in the beauty of a sunset by the sea.</x:t>
  </x:si>
  <x:si>
    <x:t xml:space="preserve">SunsetWatcher2</x:t>
  </x:si>
  <x:si>
    <x:t xml:space="preserve">#Serenity #SunsetViews</x:t>
  </x:si>
  <x:si>
    <x:t xml:space="preserve">Gratitude for the small joys that each day brings.</x:t>
  </x:si>
  <x:si>
    <x:t xml:space="preserve">JoyfulHeart2</x:t>
  </x:si>
  <x:si>
    <x:t xml:space="preserve">#Gratitude #SmallJoys</x:t>
  </x:si>
  <x:si>
    <x:t xml:space="preserve">Hopeful about the potential for personal growth.</x:t>
  </x:si>
  <x:si>
    <x:t xml:space="preserve">GrowthOptimist</x:t>
  </x:si>
  <x:si>
    <x:t xml:space="preserve">#Hope #PersonalDevelopment</x:t>
  </x:si>
  <x:si>
    <x:t xml:space="preserve">Empowerment through learning a new skill.</x:t>
  </x:si>
  <x:si>
    <x:t xml:space="preserve">SkillEmpower</x:t>
  </x:si>
  <x:si>
    <x:t xml:space="preserve">#Empowerment #SkillBuilding</x:t>
  </x:si>
  <x:si>
    <x:t xml:space="preserve">Compassion in volunteering for a local charity.</x:t>
  </x:si>
  <x:si>
    <x:t xml:space="preserve">CharityVolunteer</x:t>
  </x:si>
  <x:si>
    <x:t xml:space="preserve">#Compassion #VolunteerWork</x:t>
  </x:si>
  <x:si>
    <x:t xml:space="preserve">Tenderness in a quiet moment shared with a pet.</x:t>
  </x:si>
  <x:si>
    <x:t xml:space="preserve">PetLove</x:t>
  </x:si>
  <x:si>
    <x:t xml:space="preserve">#Tenderness #PetLove</x:t>
  </x:si>
  <x:si>
    <x:t xml:space="preserve">Arousal of excitement for an upcoming festival.</x:t>
  </x:si>
  <x:si>
    <x:t xml:space="preserve">FestivalFan</x:t>
  </x:si>
  <x:si>
    <x:t xml:space="preserve">#Arousal #FestivalExcitement</x:t>
  </x:si>
  <x:si>
    <x:t xml:space="preserve">Enthusiasm for a DIY home improvement project.</x:t>
  </x:si>
  <x:si>
    <x:t xml:space="preserve">DIYEnthusiast</x:t>
  </x:si>
  <x:si>
    <x:t xml:space="preserve">#Enthusiasm #HomeImprovement</x:t>
  </x:si>
  <x:si>
    <x:t xml:space="preserve">Fulfillment in completing a challenging puzzle.</x:t>
  </x:si>
  <x:si>
    <x:t xml:space="preserve">PuzzleMaster</x:t>
  </x:si>
  <x:si>
    <x:t xml:space="preserve">#Fulfillment #PuzzleChallenge</x:t>
  </x:si>
  <x:si>
    <x:t xml:space="preserve">Reverence for the wonders of nature on a hiking trail.</x:t>
  </x:si>
  <x:si>
    <x:t xml:space="preserve">#Reverence #NatureExploration</x:t>
  </x:si>
  <x:si>
    <x:t xml:space="preserve">Elation after a surprise reunion with a childhood friend.</x:t>
  </x:si>
  <x:si>
    <x:t xml:space="preserve">ChildhoodJoy</x:t>
  </x:si>
  <x:si>
    <x:t xml:space="preserve">#Elation #FriendshipReunion</x:t>
  </x:si>
  <x:si>
    <x:t xml:space="preserve">Suffering from despair after another setback.</x:t>
  </x:si>
  <x:si>
    <x:t xml:space="preserve">StrugglingSoul</x:t>
  </x:si>
  <x:si>
    <x:t xml:space="preserve">#Despair #Struggle</x:t>
  </x:si>
  <x:si>
    <x:t xml:space="preserve">Overwhelmed by grief, missing a loved one dearly.</x:t>
  </x:si>
  <x:si>
    <x:t xml:space="preserve">MourningHeart</x:t>
  </x:si>
  <x:si>
    <x:t xml:space="preserve">#Grief #Loss</x:t>
  </x:si>
  <x:si>
    <x:t xml:space="preserve">Loneliness creeps in as the night grows colder.</x:t>
  </x:si>
  <x:si>
    <x:t xml:space="preserve">SolitarySoul</x:t>
  </x:si>
  <x:si>
    <x:t xml:space="preserve">#Loneliness #Isolation</x:t>
  </x:si>
  <x:si>
    <x:t xml:space="preserve">Jealousy consumes me as I witness others' success.</x:t>
  </x:si>
  <x:si>
    <x:t xml:space="preserve">EnviousObserver</x:t>
  </x:si>
  <x:si>
    <x:t xml:space="preserve">#Jealousy #Envy</x:t>
  </x:si>
  <x:si>
    <x:t xml:space="preserve">Resentment building up over past betrayals.</x:t>
  </x:si>
  <x:si>
    <x:t xml:space="preserve">BitterHeart</x:t>
  </x:si>
  <x:si>
    <x:t xml:space="preserve">#Resentment #Bitterness</x:t>
  </x:si>
  <x:si>
    <x:t xml:space="preserve">Frustration mounts as obstacles block my path.</x:t>
  </x:si>
  <x:si>
    <x:t xml:space="preserve">BlockedGoals</x:t>
  </x:si>
  <x:si>
    <x:t xml:space="preserve">#Frustration #Obstacles</x:t>
  </x:si>
  <x:si>
    <x:t xml:space="preserve">Boredom sets in, the day feels endlessly dull.</x:t>
  </x:si>
  <x:si>
    <x:t xml:space="preserve">BoredMind</x:t>
  </x:si>
  <x:si>
    <x:t xml:space="preserve">#Boredom #LackOfInterest</x:t>
  </x:si>
  <x:si>
    <x:t xml:space="preserve">Anxiety grips my heart, worry clouds my thoughts.</x:t>
  </x:si>
  <x:si>
    <x:t xml:space="preserve">WorriedMind</x:t>
  </x:si>
  <x:si>
    <x:t xml:space="preserve">#Anxiety #Worry</x:t>
  </x:si>
  <x:si>
    <x:t xml:space="preserve">Intimidation by the unknown future ahead.</x:t>
  </x:si>
  <x:si>
    <x:t xml:space="preserve">FearfulSoul</x:t>
  </x:si>
  <x:si>
    <x:t xml:space="preserve">#Intimidation #Fear</x:t>
  </x:si>
  <x:si>
    <x:t xml:space="preserve">Helplessness sinks in as challenges pile up.</x:t>
  </x:si>
  <x:si>
    <x:t xml:space="preserve">OverwhelmedHeart</x:t>
  </x:si>
  <x:si>
    <x:t xml:space="preserve">#Helplessness #Overwhelmed</x:t>
  </x:si>
  <x:si>
    <x:t xml:space="preserve">Envy eats away at me as I see others' prosperity.</x:t>
  </x:si>
  <x:si>
    <x:t xml:space="preserve">CovetousMind</x:t>
  </x:si>
  <x:si>
    <x:t xml:space="preserve">#Envy #Desire</x:t>
  </x:si>
  <x:si>
    <x:t xml:space="preserve">Regret over missed opportunities haunts my thoughts.</x:t>
  </x:si>
  <x:si>
    <x:t xml:space="preserve">RemorsefulSoul</x:t>
  </x:si>
  <x:si>
    <x:t xml:space="preserve">#Regret #MissedChances</x:t>
  </x:si>
  <x:si>
    <x:t xml:space="preserve">Disgust at the sight of injustice and cruelty.</x:t>
  </x:si>
  <x:si>
    <x:t xml:space="preserve">DisgustedHeart</x:t>
  </x:si>
  <x:si>
    <x:t xml:space="preserve">#Disgust #Injustice</x:t>
  </x:si>
  <x:si>
    <x:t xml:space="preserve">Drowning in despair, hope slipping through my fingers.</x:t>
  </x:si>
  <x:si>
    <x:t xml:space="preserve">HopelessHeart</x:t>
  </x:si>
  <x:si>
    <x:t xml:space="preserve">#Despair #Hopeless</x:t>
  </x:si>
  <x:si>
    <x:t xml:space="preserve">Grief weighs heavy, tears a constant companion.</x:t>
  </x:si>
  <x:si>
    <x:t xml:space="preserve">TearfulSoul</x:t>
  </x:si>
  <x:si>
    <x:t xml:space="preserve">#Grief #Tears</x:t>
  </x:si>
  <x:si>
    <x:t xml:space="preserve">Loneliness in a crowded room, a silent cry for connection.</x:t>
  </x:si>
  <x:si>
    <x:t xml:space="preserve">IsolatedMind</x:t>
  </x:si>
  <x:si>
    <x:t xml:space="preserve">#Loneliness #SeekingConnection</x:t>
  </x:si>
  <x:si>
    <x:t xml:space="preserve">Jealousy gnaws at my confidence, a toxic emotion.</x:t>
  </x:si>
  <x:si>
    <x:t xml:space="preserve">SelfDoubt</x:t>
  </x:si>
  <x:si>
    <x:t xml:space="preserve">#Jealousy #Insecurity</x:t>
  </x:si>
  <x:si>
    <x:t xml:space="preserve">Resentment festers, poisoning relationships.</x:t>
  </x:si>
  <x:si>
    <x:t xml:space="preserve">BrokenTrust</x:t>
  </x:si>
  <x:si>
    <x:t xml:space="preserve">#Resentment #BrokenTrust</x:t>
  </x:si>
  <x:si>
    <x:t xml:space="preserve">Frustration boils over, a volcanic eruption of emotions.</x:t>
  </x:si>
  <x:si>
    <x:t xml:space="preserve">ExplosiveMind</x:t>
  </x:si>
  <x:si>
    <x:t xml:space="preserve">#Frustration #EmotionalOutburst</x:t>
  </x:si>
  <x:si>
    <x:t xml:space="preserve">Boredom settles like dust, life feels mundane.</x:t>
  </x:si>
  <x:si>
    <x:t xml:space="preserve">MundaneHeart</x:t>
  </x:si>
  <x:si>
    <x:t xml:space="preserve">#Boredom #Monotony</x:t>
  </x:si>
  <x:si>
    <x:t xml:space="preserve">Anxiety grips my chest, a relentless grip on my thoughts.</x:t>
  </x:si>
  <x:si>
    <x:t xml:space="preserve">RestlessMind</x:t>
  </x:si>
  <x:si>
    <x:t xml:space="preserve">#Anxiety #Restlessness</x:t>
  </x:si>
  <x:si>
    <x:t xml:space="preserve">Intimidation by the challenges ahead, fear takes hold.</x:t>
  </x:si>
  <x:si>
    <x:t xml:space="preserve">FearfulJourney</x:t>
  </x:si>
  <x:si>
    <x:t xml:space="preserve">#Intimidation #FacingFear</x:t>
  </x:si>
  <x:si>
    <x:t xml:space="preserve">Helplessness engulfs me, drowning in a sea of problems.</x:t>
  </x:si>
  <x:si>
    <x:t xml:space="preserve">OverwhelmedSoul</x:t>
  </x:si>
  <x:si>
    <x:t xml:space="preserve">#Helplessness #Struggling</x:t>
  </x:si>
  <x:si>
    <x:t xml:space="preserve">Envy poisons my thoughts, coveting others' success.</x:t>
  </x:si>
  <x:si>
    <x:t xml:space="preserve">GreenEyedMonster</x:t>
  </x:si>
  <x:si>
    <x:t xml:space="preserve">#Envy #Success</x:t>
  </x:si>
  <x:si>
    <x:t xml:space="preserve">Regret for decisions that led to a painful present.</x:t>
  </x:si>
  <x:si>
    <x:t xml:space="preserve">RegretfulMind</x:t>
  </x:si>
  <x:si>
    <x:t xml:space="preserve">#Regret #PastChoices</x:t>
  </x:si>
  <x:si>
    <x:t xml:space="preserve">Disgust at the corruption that stains society.</x:t>
  </x:si>
  <x:si>
    <x:t xml:space="preserve">CorruptedHeart</x:t>
  </x:si>
  <x:si>
    <x:t xml:space="preserve">Sinking in despair, each day darker than the last.</x:t>
  </x:si>
  <x:si>
    <x:t xml:space="preserve">DrowningSoul</x:t>
  </x:si>
  <x:si>
    <x:t xml:space="preserve">#Despair #DarkDays</x:t>
  </x:si>
  <x:si>
    <x:t xml:space="preserve">Grief overwhelms, a storm of emotions within.</x:t>
  </x:si>
  <x:si>
    <x:t xml:space="preserve">StormyHeart</x:t>
  </x:si>
  <x:si>
    <x:t xml:space="preserve">#Grief #EmotionalStorm</x:t>
  </x:si>
  <x:si>
    <x:t xml:space="preserve">Loneliness echoes in empty spaces, yearning for connection.</x:t>
  </x:si>
  <x:si>
    <x:t xml:space="preserve">EchoingSoul</x:t>
  </x:si>
  <x:si>
    <x:t xml:space="preserve">#Loneliness #YearningForConnection</x:t>
  </x:si>
  <x:si>
    <x:t xml:space="preserve">Jealousy poisons my thoughts, resentment brewing within.</x:t>
  </x:si>
  <x:si>
    <x:t xml:space="preserve">PoisonedMind</x:t>
  </x:si>
  <x:si>
    <x:t xml:space="preserve">#Jealousy #Resentment</x:t>
  </x:si>
  <x:si>
    <x:t xml:space="preserve">Resentment festers, a wound that refuses to heal.</x:t>
  </x:si>
  <x:si>
    <x:t xml:space="preserve">UnforgivingSoul</x:t>
  </x:si>
  <x:si>
    <x:t xml:space="preserve">#Resentment #Unforgiving</x:t>
  </x:si>
  <x:si>
    <x:t xml:space="preserve">Frustration escalates, a thunderstorm of emotions.</x:t>
  </x:si>
  <x:si>
    <x:t xml:space="preserve">ThunderingMind</x:t>
  </x:si>
  <x:si>
    <x:t xml:space="preserve">Boredom lingers, a stagnant pool of indifference.</x:t>
  </x:si>
  <x:si>
    <x:t xml:space="preserve">StagnantHeart</x:t>
  </x:si>
  <x:si>
    <x:t xml:space="preserve">#Boredom #Stagnation</x:t>
  </x:si>
  <x:si>
    <x:t xml:space="preserve">Embarking on a journey of discovery, fueled by curiosity and a thirst for knowledge.</x:t>
  </x:si>
  <x:si>
    <x:t xml:space="preserve">InquisitiveMind</x:t>
  </x:si>
  <x:si>
    <x:t xml:space="preserve">#Curiosity #Learning</x:t>
  </x:si>
  <x:si>
    <x:t xml:space="preserve">Lost in the vast sea of information, an indifferent wave in the digital ocean.</x:t>
  </x:si>
  <x:si>
    <x:t xml:space="preserve">ApatheticObserver</x:t>
  </x:si>
  <x:si>
    <x:t xml:space="preserve">#Indifference #DigitalOverload</x:t>
  </x:si>
  <x:si>
    <x:t xml:space="preserve">The complex puzzle of life leaves me in a state of perpetual confusion, seeking answers in the chaos.</x:t>
  </x:si>
  <x:si>
    <x:t xml:space="preserve">SeekingClarity</x:t>
  </x:si>
  <x:si>
    <x:t xml:space="preserve">#Confusion #LifePuzzle</x:t>
  </x:si>
  <x:si>
    <x:t xml:space="preserve">A numbness settles over me, a shield against the overwhelming emotions life throws my way.</x:t>
  </x:si>
  <x:si>
    <x:t xml:space="preserve">EmotionallyDistant</x:t>
  </x:si>
  <x:si>
    <x:t xml:space="preserve">#Numbness #EmotionalShield</x:t>
  </x:si>
  <x:si>
    <x:t xml:space="preserve">Gazing at the sunset, a melancholic longing for moments that slip through the fingers of time.</x:t>
  </x:si>
  <x:si>
    <x:t xml:space="preserve">SunsetDreamer</x:t>
  </x:si>
  <x:si>
    <x:t xml:space="preserve">#Melancholy #SunsetMoments</x:t>
  </x:si>
  <x:si>
    <x:t xml:space="preserve">Revisiting old photographs, caught in the embrace of nostalgia's bittersweet symphony.</x:t>
  </x:si>
  <x:si>
    <x:t xml:space="preserve">MemoryLaneTraveler</x:t>
  </x:si>
  <x:si>
    <x:t xml:space="preserve">#Nostalgia #MemoryLane</x:t>
  </x:si>
  <x:si>
    <x:t xml:space="preserve">Torn between conflicting emotions, an ambivalence that paints my decisions in shades of uncertainty.</x:t>
  </x:si>
  <x:si>
    <x:t xml:space="preserve">MixedFeelings</x:t>
  </x:si>
  <x:si>
    <x:t xml:space="preserve">#Ambivalence #UncertainChoices</x:t>
  </x:si>
  <x:si>
    <x:t xml:space="preserve">Embracing the ebb and flow of life, finding acceptance in the dance of existence.</x:t>
  </x:si>
  <x:si>
    <x:t xml:space="preserve">ZenLifestyle</x:t>
  </x:si>
  <x:si>
    <x:t xml:space="preserve">Facing challenges head-on, a determination that fuels the fire within to achieve the impossible.</x:t>
  </x:si>
  <x:si>
    <x:t xml:space="preserve">ResilientSpirit</x:t>
  </x:si>
  <x:si>
    <x:t xml:space="preserve">#Determination #AchieveTheImpossible</x:t>
  </x:si>
  <x:si>
    <x:t xml:space="preserve">Serenity found in the stillness of nature, a tranquil retreat from the chaos of the modern world.</x:t>
  </x:si>
  <x:si>
    <x:t xml:space="preserve">NatureSoul</x:t>
  </x:si>
  <x:si>
    <x:t xml:space="preserve">#Serenity #NatureRetreat</x:t>
  </x:si>
  <x:si>
    <x:t xml:space="preserve">Curiosity leading me down the rabbit hole of knowledge, a perpetual student in life's classroom.</x:t>
  </x:si>
  <x:si>
    <x:t xml:space="preserve">EternalLearner</x:t>
  </x:si>
  <x:si>
    <x:t xml:space="preserve">#Curiosity #KnowledgeQuest</x:t>
  </x:si>
  <x:si>
    <x:t xml:space="preserve">Floating through the day with an air of indifference, detached from the mundane happenings around.</x:t>
  </x:si>
  <x:si>
    <x:t xml:space="preserve">AloofObserver</x:t>
  </x:si>
  <x:si>
    <x:t xml:space="preserve">#Indifference #FloatingThroughLife</x:t>
  </x:si>
  <x:si>
    <x:t xml:space="preserve">Entangled in the web of thoughts, confusion reigning as I navigate the labyrinth of ideas.</x:t>
  </x:si>
  <x:si>
    <x:t xml:space="preserve">ThoughtExplorer</x:t>
  </x:si>
  <x:si>
    <x:t xml:space="preserve">#Confusion #ThoughtLabyrinth</x:t>
  </x:si>
  <x:si>
    <x:t xml:space="preserve">Numb to the chaos, emotions locked away, a stoic facade concealing the inner turmoil.</x:t>
  </x:si>
  <x:si>
    <x:t xml:space="preserve">StoicSoul</x:t>
  </x:si>
  <x:si>
    <x:t xml:space="preserve">#Numbness #StoicFacade</x:t>
  </x:si>
  <x:si>
    <x:t xml:space="preserve">Melancholy whispers in the breeze, a silent conversation with the echoes of forgotten dreams.</x:t>
  </x:si>
  <x:si>
    <x:t xml:space="preserve">DreamerInSilence</x:t>
  </x:si>
  <x:si>
    <x:t xml:space="preserve">#Melancholy #WhispersInTheBreeze</x:t>
  </x:si>
  <x:si>
    <x:t xml:space="preserve">Stumbling upon an old journal, nostalgia flooding in waves, carrying me to moments long gone.</x:t>
  </x:si>
  <x:si>
    <x:t xml:space="preserve">JournalKeeper</x:t>
  </x:si>
  <x:si>
    <x:t xml:space="preserve">#Nostalgia #JournalMoments</x:t>
  </x:si>
  <x:si>
    <x:t xml:space="preserve">A tapestry of conflicting feelings, weaving through uncertainty, caught in the threads of ambivalence.</x:t>
  </x:si>
  <x:si>
    <x:t xml:space="preserve">ThreadWeaver</x:t>
  </x:si>
  <x:si>
    <x:t xml:space="preserve">#Ambivalence #ConflictingFeelings</x:t>
  </x:si>
  <x:si>
    <x:t xml:space="preserve">Embracing the flaws, finding acceptance in imperfection, a journey towards self-love.</x:t>
  </x:si>
  <x:si>
    <x:t xml:space="preserve">SelfLoveAdvocate</x:t>
  </x:si>
  <x:si>
    <x:t xml:space="preserve">#Acceptance #SelfLoveJourney</x:t>
  </x:si>
  <x:si>
    <x:t xml:space="preserve">Determination burning like a wildfire, overcoming obstacles, turning dreams into reality.</x:t>
  </x:si>
  <x:si>
    <x:t xml:space="preserve">#Determination #DreamsIntoReality</x:t>
  </x:si>
  <x:si>
    <x:t xml:space="preserve">Tranquil moments by the ocean, serenity washing over, a peaceful retreat within the waves' embrace.</x:t>
  </x:si>
  <x:si>
    <x:t xml:space="preserve">OceanSoul</x:t>
  </x:si>
  <x:si>
    <x:t xml:space="preserve">#Serenity #OceanRetreat</x:t>
  </x:si>
  <x:si>
    <x:t xml:space="preserve">Exploring new horizons with the spark of curiosity, an adventurer in the vast landscape of knowledge.</x:t>
  </x:si>
  <x:si>
    <x:t xml:space="preserve">HorizonExplorer</x:t>
  </x:si>
  <x:si>
    <x:t xml:space="preserve">#Curiosity #NewHorizons</x:t>
  </x:si>
  <x:si>
    <x:t xml:space="preserve">Drifting through the day with a nonchalant demeanor, embracing the art of indifference.</x:t>
  </x:si>
  <x:si>
    <x:t xml:space="preserve">NonchalantSpirit</x:t>
  </x:si>
  <x:si>
    <x:t xml:space="preserve">#Indifference #DriftingThroughLife</x:t>
  </x:si>
  <x:si>
    <x:t xml:space="preserve">Wrestling with thoughts, a perplexed mind lost in the labyrinth of life's complexities.</x:t>
  </x:si>
  <x:si>
    <x:t xml:space="preserve">ComplexThinker</x:t>
  </x:si>
  <x:si>
    <x:t xml:space="preserve">#Confusion #PerplexedMind</x:t>
  </x:si>
  <x:si>
    <x:t xml:space="preserve">Immersed in a state of emotional numbness, a shield against the storm of daily struggles.</x:t>
  </x:si>
  <x:si>
    <x:t xml:space="preserve">ShieldedHeart</x:t>
  </x:si>
  <x:si>
    <x:t xml:space="preserve">A melancholic symphony playing in the background, the soundtrack of a wistful heart.</x:t>
  </x:si>
  <x:si>
    <x:t xml:space="preserve">SymphonySoul</x:t>
  </x:si>
  <x:si>
    <x:t xml:space="preserve">#Melancholy #WistfulHeart</x:t>
  </x:si>
  <x:si>
    <x:t xml:space="preserve">Flipping through the pages of an old yearbook, nostalgia painting smiles and tears on my face.</x:t>
  </x:si>
  <x:si>
    <x:t xml:space="preserve">YearbookExplorer</x:t>
  </x:si>
  <x:si>
    <x:t xml:space="preserve">#Nostalgia #YearbookMemories</x:t>
  </x:si>
  <x:si>
    <x:t xml:space="preserve">Torn between opposing emotions, an ambivalence that colors my decisions with shades of uncertainty.</x:t>
  </x:si>
  <x:si>
    <x:t xml:space="preserve">DecisiveDilemma</x:t>
  </x:si>
  <x:si>
    <x:t xml:space="preserve">#Ambivalence #ShadesOfUncertainty</x:t>
  </x:si>
  <x:si>
    <x:t xml:space="preserve">Embracing life's imperfections, finding acceptance in the journey, scars and all.</x:t>
  </x:si>
  <x:si>
    <x:t xml:space="preserve">ImperfectHarmony</x:t>
  </x:si>
  <x:si>
    <x:t xml:space="preserve">#Acceptance #ImperfectJourney</x:t>
  </x:si>
  <x:si>
    <x:t xml:space="preserve">A fiery determination burning within, fueled by the vision of reaching unparalleled heights.</x:t>
  </x:si>
  <x:si>
    <x:t xml:space="preserve">VisionarySpirit</x:t>
  </x:si>
  <x:si>
    <x:t xml:space="preserve">#Determination #UnparalleledHeights</x:t>
  </x:si>
  <x:si>
    <x:t xml:space="preserve">Basking in the serenity of a quiet forest, where the whispers of nature bring peace to the soul.</x:t>
  </x:si>
  <x:si>
    <x:t xml:space="preserve">ForestDreamer</x:t>
  </x:si>
  <x:si>
    <x:t xml:space="preserve">#Serenity #NatureWhispers</x:t>
  </x:si>
  <x:si>
    <x:t xml:space="preserve">Indifferent to the noise of the world, a silent observer in the midst of life's cacophony.</x:t>
  </x:si>
  <x:si>
    <x:t xml:space="preserve">SilentSpectator</x:t>
  </x:si>
  <x:si>
    <x:t xml:space="preserve">#Indifference #SilentObserver</x:t>
  </x:si>
  <x:si>
    <x:t xml:space="preserve">Navigating through the labyrinth of thoughts, confusion a constant companion in the maze of ideas.</x:t>
  </x:si>
  <x:si>
    <x:t xml:space="preserve">MazeNavigator</x:t>
  </x:si>
  <x:si>
    <x:t xml:space="preserve">An impenetrable numbness shields me from the emotional storms, a fortress of stoic resilience.</x:t>
  </x:si>
  <x:si>
    <x:t xml:space="preserve">ResilientFortress</x:t>
  </x:si>
  <x:si>
    <x:t xml:space="preserve">#Numbness #StoicResilience</x:t>
  </x:si>
  <x:si>
    <x:t xml:space="preserve">Melancholy painting the world in hues of nostalgia, a canvas of bittersweet memories.</x:t>
  </x:si>
  <x:si>
    <x:t xml:space="preserve">CanvasDreamer</x:t>
  </x:si>
  <x:si>
    <x:t xml:space="preserve">#Melancholy #BittersweetMemories</x:t>
  </x:si>
  <x:si>
    <x:t xml:space="preserve">A journey into the past, flipping through the pages of an old diary, nostalgia taking the lead.</x:t>
  </x:si>
  <x:si>
    <x:t xml:space="preserve">DiaryExplorer</x:t>
  </x:si>
  <x:si>
    <x:t xml:space="preserve">#Nostalgia #DiaryJourney</x:t>
  </x:si>
  <x:si>
    <x:t xml:space="preserve">Ambivalence clouding decisions, caught in the crossroads of conflicting emotions.</x:t>
  </x:si>
  <x:si>
    <x:t xml:space="preserve">CrossroadsTraveler</x:t>
  </x:si>
  <x:si>
    <x:t xml:space="preserve">#Ambivalence #ConflictingEmotions</x:t>
  </x:si>
  <x:si>
    <x:t xml:space="preserve">Embracing imperfections, finding acceptance in the mosaic of life's beautiful chaos.</x:t>
  </x:si>
  <x:si>
    <x:t xml:space="preserve">MosaicDreamer</x:t>
  </x:si>
  <x:si>
    <x:t xml:space="preserve">#Acceptance #BeautifulChaos</x:t>
  </x:si>
  <x:si>
    <x:t xml:space="preserve">Determination as the driving force, propelling me forward on the path to extraordinary achievements.</x:t>
  </x:si>
  <x:si>
    <x:t xml:space="preserve">PathfinderSpirit</x:t>
  </x:si>
  <x:si>
    <x:t xml:space="preserve">#Determination #ExtraordinaryPath</x:t>
  </x:si>
  <x:si>
    <x:t xml:space="preserve">Seeking serenity in the melody of raindrops, a tranquil escape from the noise of everyday life.</x:t>
  </x:si>
  <x:si>
    <x:t xml:space="preserve">RaindropHarmony</x:t>
  </x:si>
  <x:si>
    <x:t xml:space="preserve">#Serenity #RaindropMelody</x:t>
  </x:si>
  <x:si>
    <x:t xml:space="preserve">Curiosity driving the exploration of the unknown, a seeker of knowledge in uncharted territories.</x:t>
  </x:si>
  <x:si>
    <x:t xml:space="preserve">SeekerOfUnknowns</x:t>
  </x:si>
  <x:si>
    <x:t xml:space="preserve">#Curiosity #SeekerOfKnowledge</x:t>
  </x:si>
  <x:si>
    <x:t xml:space="preserve">Drifting through the day with an air of nonchalance, indifferent to the trivialities of life.</x:t>
  </x:si>
  <x:si>
    <x:t xml:space="preserve">NonchalantWanderer</x:t>
  </x:si>
  <x:si>
    <x:t xml:space="preserve">Lost in the labyrinth of thoughts, confusion casting shadows on the quest for clarity.</x:t>
  </x:si>
  <x:si>
    <x:t xml:space="preserve">ShadowedSeeker</x:t>
  </x:si>
  <x:si>
    <x:t xml:space="preserve">#Confusion #LabyrinthOfThoughts</x:t>
  </x:si>
  <x:si>
    <x:t xml:space="preserve">Wrapped in the cloak of emotional numbness, a shield against the storms of life's turbulence.</x:t>
  </x:si>
  <x:si>
    <x:t xml:space="preserve">TurbulentShield</x:t>
  </x:si>
  <x:si>
    <x:t xml:space="preserve">#Numbness #EmotionalStorms</x:t>
  </x:si>
  <x:si>
    <x:t xml:space="preserve">Melancholy as a companion, painting the canvas of life with the brushstrokes of wistful yearning.</x:t>
  </x:si>
  <x:si>
    <x:t xml:space="preserve">WistfulPainter</x:t>
  </x:si>
  <x:si>
    <x:t xml:space="preserve">#Melancholy #WistfulYearning</x:t>
  </x:si>
  <x:si>
    <x:t xml:space="preserve">Leafing through the pages of an old photo album, nostalgia weaving tales of laughter and tears.</x:t>
  </x:si>
  <x:si>
    <x:t xml:space="preserve">TaleWeaver</x:t>
  </x:si>
  <x:si>
    <x:t xml:space="preserve">#Nostalgia #PhotoAlbumStories</x:t>
  </x:si>
  <x:si>
    <x:t xml:space="preserve">Ambivalence in the air, caught between the crossroads of conflicting emotions and decisions.</x:t>
  </x:si>
  <x:si>
    <x:t xml:space="preserve">CrossroadsExplorer</x:t>
  </x:si>
  <x:si>
    <x:t xml:space="preserve">#Ambivalence #CrossroadsConfusion</x:t>
  </x:si>
  <x:si>
    <x:t xml:space="preserve">Embracing the beauty in imperfections, finding acceptance in the mosaic of life's unpredictable art.</x:t>
  </x:si>
  <x:si>
    <x:t xml:space="preserve">MosaicArtist</x:t>
  </x:si>
  <x:si>
    <x:t xml:space="preserve">#Acceptance #UnpredictableArt</x:t>
  </x:si>
  <x:si>
    <x:t xml:space="preserve">Determination ablaze, forging a path through challenges, sculpting dreams into tangible realities.</x:t>
  </x:si>
  <x:si>
    <x:t xml:space="preserve">DreamSculptor</x:t>
  </x:si>
  <x:si>
    <x:t xml:space="preserve">#Determination #SculptingDreams</x:t>
  </x:si>
  <x:si>
    <x:t xml:space="preserve">Immerse in the serenity of a moonlit night, where the quiet whispers of nature bring peace to the soul.</x:t>
  </x:si>
  <x:si>
    <x:t xml:space="preserve">MoonlitSoul</x:t>
  </x:si>
  <x:si>
    <x:t xml:space="preserve">#Serenity #MoonlitPeace</x:t>
  </x:si>
  <x:si>
    <x:t xml:space="preserve">Fueled by curiosity, venturing into uncharted realms, a fearless explorer of the mysteries of the world.</x:t>
  </x:si>
  <x:si>
    <x:t xml:space="preserve">FearlessExplorer</x:t>
  </x:si>
  <x:si>
    <x:t xml:space="preserve">#Curiosity #FearlessExplorer</x:t>
  </x:si>
  <x:si>
    <x:t xml:space="preserve">Dancing through life with the exuberance of a carefree spirit, embracing joy and zest at every turn.</x:t>
  </x:si>
  <x:si>
    <x:t xml:space="preserve">JoyfulDancer</x:t>
  </x:si>
  <x:si>
    <x:t xml:space="preserve">#Zest #CarefreeSpirit</x:t>
  </x:si>
  <x:si>
    <x:t xml:space="preserve">Basking in the golden glow of contentment, a serene river flowing through the landscape of the heart.</x:t>
  </x:si>
  <x:si>
    <x:t xml:space="preserve">SereneBasker</x:t>
  </x:si>
  <x:si>
    <x:t xml:space="preserve">#Contentment #GoldenGlow</x:t>
  </x:si>
  <x:si>
    <x:t xml:space="preserve">Gazing towards the horizon with hopeful eyes, painting a canvas of dreams illuminated by the sun of optimism.</x:t>
  </x:si>
  <x:si>
    <x:t xml:space="preserve">DreamPainter</x:t>
  </x:si>
  <x:si>
    <x:t xml:space="preserve">#Hopeful #CanvasOfDreams</x:t>
  </x:si>
  <x:si>
    <x:t xml:space="preserve">Standing tall, proud as an oak, the branches of achievement reaching towards the sky of accomplishment.</x:t>
  </x:si>
  <x:si>
    <x:t xml:space="preserve">OakAchiever</x:t>
  </x:si>
  <x:si>
    <x:t xml:space="preserve">#Proud #BranchesOfAchievement</x:t>
  </x:si>
  <x:si>
    <x:t xml:space="preserve">A heart overflowing with gratitude, a garden where appreciation blooms in the soil of kindness and connection.</x:t>
  </x:si>
  <x:si>
    <x:t xml:space="preserve">HeartGardener</x:t>
  </x:si>
  <x:si>
    <x:t xml:space="preserve">#Grateful #BlossomingConnection</x:t>
  </x:si>
  <x:si>
    <x:t xml:space="preserve">Extending a hand, empathetic threads weaving a tapestry of understanding, embracing the joys and sorrows of others.</x:t>
  </x:si>
  <x:si>
    <x:t xml:space="preserve">#Empathetic #TapestryOfUnderstanding</x:t>
  </x:si>
  <x:si>
    <x:t xml:space="preserve">Compassionate clouds, heavy with care, showering empathy on the parched grounds of human suffering.</x:t>
  </x:si>
  <x:si>
    <x:t xml:space="preserve">CloudCaretaker</x:t>
  </x:si>
  <x:si>
    <x:t xml:space="preserve">#Compassionate #ShowerOfEmpathy</x:t>
  </x:si>
  <x:si>
    <x:t xml:space="preserve">Playfully dancing in the rain of laughter, a whimsical spirit twirling in the puddles of joy and lightheartedness.</x:t>
  </x:si>
  <x:si>
    <x:t xml:space="preserve">RainDancer</x:t>
  </x:si>
  <x:si>
    <x:t xml:space="preserve">#Playful #DanceInTheRain</x:t>
  </x:si>
  <x:si>
    <x:t xml:space="preserve">Soaring on the wings of a free spirit, unburdened by the chains of conformity, painting the sky with independence.</x:t>
  </x:si>
  <x:si>
    <x:t xml:space="preserve">SkyPainter</x:t>
  </x:si>
  <x:si>
    <x:t xml:space="preserve">#FreeSpirit #PaintingTheSky</x:t>
  </x:si>
  <x:si>
    <x:t xml:space="preserve">Bathed in the glow of inspiration, a creative phoenix rising from the ashes of ordinary thoughts to explore new realms.</x:t>
  </x:si>
  <x:si>
    <x:t xml:space="preserve">PhoenixExplorer</x:t>
  </x:si>
  <x:si>
    <x:t xml:space="preserve">#Inspired #CreativePhoenix</x:t>
  </x:si>
  <x:si>
    <x:t xml:space="preserve">Navigating the sea of hope, sailing towards the sunrise of possibilities, confident in the ship of positive anticipation.</x:t>
  </x:si>
  <x:si>
    <x:t xml:space="preserve">SunriseNavigator</x:t>
  </x:si>
  <x:si>
    <x:t xml:space="preserve">#Hopeful #SunriseOfPossibilities</x:t>
  </x:si>
  <x:si>
    <x:t xml:space="preserve">Striding with confidence, footprints of self-assuredness imprinted on the sands of challenges conquered and victories claimed.</x:t>
  </x:si>
  <x:si>
    <x:t xml:space="preserve">SandStrider</x:t>
  </x:si>
  <x:si>
    <x:t xml:space="preserve">#Confident #FootprintsOfAssuredness</x:t>
  </x:si>
  <x:si>
    <x:t xml:space="preserve">Lost in the symphony of the night, a moonlit serenade that whispers tales of wanderlust and moonlit dreams.</x:t>
  </x:si>
  <x:si>
    <x:t xml:space="preserve">NightSerenader</x:t>
  </x:si>
  <x:si>
    <x:t xml:space="preserve">#Serenity #MoonlitSerenade</x:t>
  </x:si>
  <x:si>
    <x:t xml:space="preserve">Unveiling the layers of curiosity, a labyrinth of questions leading to the treasure troves of undiscovered knowledge.</x:t>
  </x:si>
  <x:si>
    <x:t xml:space="preserve">KnowledgeSeeker</x:t>
  </x:si>
  <x:si>
    <x:t xml:space="preserve">#Curiosity #LabyrinthOfQuestions</x:t>
  </x:si>
  <x:si>
    <x:t xml:space="preserve">In the embrace of the autumn breeze, leaves of ambivalence dancing in a waltz between choices and uncertainties.</x:t>
  </x:si>
  <x:si>
    <x:t xml:space="preserve">BreezeWaltzer</x:t>
  </x:si>
  <x:si>
    <x:t xml:space="preserve">#Ambivalence #AutumnWaltz</x:t>
  </x:si>
  <x:si>
    <x:t xml:space="preserve">Gratitude as a guiding star, navigating the constellation of blessings in the vast universe of life's precious moments.</x:t>
  </x:si>
  <x:si>
    <x:t xml:space="preserve">StarNavigator</x:t>
  </x:si>
  <x:si>
    <x:t xml:space="preserve">#Grateful #GuidingStar</x:t>
  </x:si>
  <x:si>
    <x:t xml:space="preserve">With a zestful heart, sprinting through fields of enthusiasm, chasing sunbeams and laughter in the meadows of joy.</x:t>
  </x:si>
  <x:si>
    <x:t xml:space="preserve">MeadowSprinter</x:t>
  </x:si>
  <x:si>
    <x:t xml:space="preserve">#Zest #FieldsOfEnthusiasm</x:t>
  </x:si>
  <x:si>
    <x:t xml:space="preserve">A compassionate rain, tears of empathy falling gently, nurturing the seeds of kindness in the garden of human connections.</x:t>
  </x:si>
  <x:si>
    <x:t xml:space="preserve">RainNurturer</x:t>
  </x:si>
  <x:si>
    <x:t xml:space="preserve">#Compassionate #TearsOfEmpathy</x:t>
  </x:si>
  <x:si>
    <x:t xml:space="preserve">Proudly scaling the peaks of achievement, a mountaineer conquering challenges and planting the flag of success.</x:t>
  </x:si>
  <x:si>
    <x:t xml:space="preserve">PeakConqueror</x:t>
  </x:si>
  <x:si>
    <x:t xml:space="preserve">#Proud #ScalingPeaks</x:t>
  </x:si>
  <x:si>
    <x:t xml:space="preserve">Embraced by the hopeful dawn, a gardener sowing seeds of optimism, tending to the blooms of a brighter tomorrow.</x:t>
  </x:si>
  <x:si>
    <x:t xml:space="preserve">DawnGardener</x:t>
  </x:si>
  <x:si>
    <x:t xml:space="preserve">#Hopeful #SeedsOfOptimism</x:t>
  </x:si>
  <x:si>
    <x:t xml:space="preserve">A playful escapade in the carnival of life, carousel laughter and cotton candy dreams swirling in the joyous atmosphere.</x:t>
  </x:si>
  <x:si>
    <x:t xml:space="preserve">CarnivalDreamer</x:t>
  </x:si>
  <x:si>
    <x:t xml:space="preserve">#Playful #CarnivalEscapade</x:t>
  </x:si>
  <x:si>
    <x:t xml:space="preserve">Floating on clouds of inspiration, an artist painting the sky with strokes of creativity, creating a masterpiece of dreams.</x:t>
  </x:si>
  <x:si>
    <x:t xml:space="preserve">SkyArtist</x:t>
  </x:si>
  <x:si>
    <x:t xml:space="preserve">#Inspired #CloudsOfCreativity</x:t>
  </x:si>
  <x:si>
    <x:t xml:space="preserve">Navigating the river of contentment, a serene boat cruise through the tranquil waters of inner peace and acceptance.</x:t>
  </x:si>
  <x:si>
    <x:t xml:space="preserve">RiverNavigator</x:t>
  </x:si>
  <x:si>
    <x:t xml:space="preserve">#Contentment #TranquilWaters</x:t>
  </x:si>
  <x:si>
    <x:t xml:space="preserve">With empathy as a lantern, wandering through the dark alleys of sorrow, illuminating the path with compassion and care.</x:t>
  </x:si>
  <x:si>
    <x:t xml:space="preserve">LanternWanderer</x:t>
  </x:si>
  <x:si>
    <x:t xml:space="preserve">#Empathetic #LanternOfCompassion</x:t>
  </x:si>
  <x:si>
    <x:t xml:space="preserve">A free spirit soaring on the wings of dreams, leaving trails of independence in the azure sky of boundless possibilities.</x:t>
  </x:si>
  <x:si>
    <x:t xml:space="preserve">DreamSoarer</x:t>
  </x:si>
  <x:si>
    <x:t xml:space="preserve">#FreeSpirit #WingsOfDreams</x:t>
  </x:si>
  <x:si>
    <x:t xml:space="preserve">Bathed in the golden hues of gratefulness, a sunset of appreciation casting its warm glow on the landscapes of the heart.</x:t>
  </x:si>
  <x:si>
    <x:t xml:space="preserve">SunsetAdmirer</x:t>
  </x:si>
  <x:si>
    <x:t xml:space="preserve">#Grateful #GoldenHues</x:t>
  </x:si>
  <x:si>
    <x:t xml:space="preserve">Confident strides in the dance of life, a ballroom where self-assuredness leads, twirling through challenges with grace.</x:t>
  </x:si>
  <x:si>
    <x:t xml:space="preserve">DanceStrider</x:t>
  </x:si>
  <x:si>
    <x:t xml:space="preserve">#Confident #DanceOfLife</x:t>
  </x:si>
  <x:si>
    <x:t xml:space="preserve">Hopeful whispers of wind, carrying the promises of a brighter tomorrow, a symphony of optimism in the air of possibilities.</x:t>
  </x:si>
  <x:si>
    <x:t xml:space="preserve">WindWhisperer</x:t>
  </x:si>
  <x:si>
    <x:t xml:space="preserve">#Hopeful #BrighterTomorrows</x:t>
  </x:si>
  <x:si>
    <x:t xml:space="preserve">Playfully juggling responsibilities, a circus performer balancing the acts of work and joy, tossing laughter into the air.</x:t>
  </x:si>
  <x:si>
    <x:t xml:space="preserve">JugglingArtist</x:t>
  </x:si>
  <x:si>
    <x:t xml:space="preserve">#Playful #JugglingResponsibilities</x:t>
  </x:si>
  <x:si>
    <x:t xml:space="preserve">Whispering tales of inspiration to the stars, a storyteller crafting constellations from the threads of imagination.</x:t>
  </x:si>
  <x:si>
    <x:t xml:space="preserve">StarStoryteller</x:t>
  </x:si>
  <x:si>
    <x:t xml:space="preserve">#Inspired #TalesToTheStars</x:t>
  </x:si>
  <x:si>
    <x:t xml:space="preserve">Charting a course through the waves of hopeful anticipation, a sailor steering towards the shores of dreams yet unexplored.</x:t>
  </x:si>
  <x:si>
    <x:t xml:space="preserve">WaveNavigator</x:t>
  </x:si>
  <x:si>
    <x:t xml:space="preserve">#Hopeful #SailorOfDreams</x:t>
  </x:si>
  <x:si>
    <x:t xml:space="preserve">Drowning in the abyss of despair, a heart shattered into fragments, lost in the echoing silence of hopelessness.</x:t>
  </x:si>
  <x:si>
    <x:t xml:space="preserve">ShatteredHeart</x:t>
  </x:si>
  <x:si>
    <x:t xml:space="preserve">#Despair #EchoingSilence</x:t>
  </x:si>
  <x:si>
    <x:t xml:space="preserve">Bitterness festering like a venomous vine, entwining the soul in a web of resentment, poisoning the garden of peace.</x:t>
  </x:si>
  <x:si>
    <x:t xml:space="preserve">VenomousSoul</x:t>
  </x:si>
  <x:si>
    <x:t xml:space="preserve">#Bitterness #ResentmentWeb</x:t>
  </x:si>
  <x:si>
    <x:t xml:space="preserve">Wandering through the desert of loneliness, each step a heavy sigh, mirages of connection shimmering but never materializing.</x:t>
  </x:si>
  <x:si>
    <x:t xml:space="preserve">DesertWanderer</x:t>
  </x:si>
  <x:si>
    <x:t xml:space="preserve">#Loneliness #MiragesOfConnection</x:t>
  </x:si>
  <x:si>
    <x:t xml:space="preserve">Yearning for a touch that's not there, echoes of a distant warmth haunting the heart in the cold embrace of solitude.</x:t>
  </x:si>
  <x:si>
    <x:t xml:space="preserve">ColdEmbrace</x:t>
  </x:si>
  <x:si>
    <x:t xml:space="preserve">#Yearning #DistantWarmth</x:t>
  </x:si>
  <x:si>
    <x:t xml:space="preserve">Eyes wide open in the night, fearful shadows dancing on the walls, the mind a prisoner of imagined horrors.</x:t>
  </x:si>
  <x:si>
    <x:t xml:space="preserve">NightPrisoner</x:t>
  </x:si>
  <x:si>
    <x:t xml:space="preserve">#Fearful #ImaginedHorrors</x:t>
  </x:si>
  <x:si>
    <x:t xml:space="preserve">Apprehensive steps on the tightrope of uncertainty, a balancing act where the fall seems inevitable, anxiety a constant companion.</x:t>
  </x:si>
  <x:si>
    <x:t xml:space="preserve">TightropeWalker</x:t>
  </x:si>
  <x:si>
    <x:t xml:space="preserve">#Apprehensive #BalancingAct</x:t>
  </x:si>
  <x:si>
    <x:t xml:space="preserve">Overwhelmed by the weight of the world, Atlas with trembling shoulders, each responsibility a boulder in the landscape of exhaustion.</x:t>
  </x:si>
  <x:si>
    <x:t xml:space="preserve">AtlasBearer</x:t>
  </x:si>
  <x:si>
    <x:t xml:space="preserve">#Overwhelmed #BouldersOfExhaustion</x:t>
  </x:si>
  <x:si>
    <x:t xml:space="preserve">Jealousy, a green-eyed monster, lurking in the shadows, casting a dark cloud over the sunshine of others' success.</x:t>
  </x:si>
  <x:si>
    <x:t xml:space="preserve">GreenMonster</x:t>
  </x:si>
  <x:si>
    <x:t xml:space="preserve">#Jealous #GreenEyedMonster</x:t>
  </x:si>
  <x:si>
    <x:t xml:space="preserve">Devastated by the storm of betrayal, the wreckage of trust scattered like debris, a heart torn by the winds of broken promises.</x:t>
  </x:si>
  <x:si>
    <x:t xml:space="preserve">StormSurvivor</x:t>
  </x:si>
  <x:si>
    <x:t xml:space="preserve">#Devastated #WindsOfBrokenPromises</x:t>
  </x:si>
  <x:si>
    <x:t xml:space="preserve">Frustrated fingers tapping on the keyboard, a symphony of annoyance composing an unsolvable puzzle of unmet expectations.</x:t>
  </x:si>
  <x:si>
    <x:t xml:space="preserve">PuzzleComposer</x:t>
  </x:si>
  <x:si>
    <x:t xml:space="preserve">#Frustrated #UnsolvablePuzzle</x:t>
  </x:si>
  <x:si>
    <x:t xml:space="preserve">Envious eyes fixated on the gilded prize, a heartache fueled by the painful desire for possessions that seem forever out of reach.</x:t>
  </x:si>
  <x:si>
    <x:t xml:space="preserve">GildedHeartache</x:t>
  </x:si>
  <x:si>
    <x:t xml:space="preserve">#Envious #GildedPrize</x:t>
  </x:si>
  <x:si>
    <x:t xml:space="preserve">Dismissive glances, a fortress built with indifference, walls impenetrable to the pleas of understanding and recognition.</x:t>
  </x:si>
  <x:si>
    <x:t xml:space="preserve">IndifferentFort</x:t>
  </x:si>
  <x:si>
    <x:t xml:space="preserve">#Dismissive #ImpenetrableWalls</x:t>
  </x:si>
  <x:si>
    <x:t xml:space="preserve">Shattered dreams lie on the floor like fragments of glass, a mosaic of disappointment crafted by the hands of frustration.</x:t>
  </x:si>
  <x:si>
    <x:t xml:space="preserve">DreamMosaic</x:t>
  </x:si>
  <x:si>
    <x:t xml:space="preserve">#Frustrated #MosaicOfDisappointment</x:t>
  </x:si>
  <x:si>
    <x:t xml:space="preserve">Loneliness, a silent companion in the night, the only echo in the chamber of solitude, a heart's solitary nocturne.</x:t>
  </x:si>
  <x:si>
    <x:t xml:space="preserve">NocturnalEcho</x:t>
  </x:si>
  <x:si>
    <x:t xml:space="preserve">#Loneliness #SolitaryNocturne</x:t>
  </x:si>
  <x:si>
    <x:t xml:space="preserve">Fearful whispers in the dark, the mind haunted by the specter of the unknown, shadows dancing to the rhythm of anxiety's tune.</x:t>
  </x:si>
  <x:si>
    <x:t xml:space="preserve">DarkWhispers</x:t>
  </x:si>
  <x:si>
    <x:t xml:space="preserve">#Fearful #SpecterOfTheUnknown</x:t>
  </x:si>
  <x:si>
    <x:t xml:space="preserve">Bitterness, a bitter aftertaste lingering on the tongue, each word a reminder of wounds that refuse to heal with the passing of time.</x:t>
  </x:si>
  <x:si>
    <x:t xml:space="preserve">LingeringTaste</x:t>
  </x:si>
  <x:si>
    <x:t xml:space="preserve">#Bitterness #BitterAftertaste</x:t>
  </x:si>
  <x:si>
    <x:t xml:space="preserve">Overwhelmed by the cacophony of expectations, a drowning soul in the tempest of pressure, struggling to stay afloat.</x:t>
  </x:si>
  <x:si>
    <x:t xml:space="preserve">TempestSurvivor</x:t>
  </x:si>
  <x:si>
    <x:t xml:space="preserve">#Overwhelmed #DrowningSoul</x:t>
  </x:si>
  <x:si>
    <x:t xml:space="preserve">Jealousy, a venom that seeps through the veins, poisoning the heart and turning it into a breeding ground for discontent.</x:t>
  </x:si>
  <x:si>
    <x:t xml:space="preserve">VenomousHeart</x:t>
  </x:si>
  <x:si>
    <x:t xml:space="preserve">#Jealous #HeartOfDiscontent</x:t>
  </x:si>
  <x:si>
    <x:t xml:space="preserve">Devastated by the revelation of betrayal, the trust shattered like fragile glass, leaving shards of pain in its wake.</x:t>
  </x:si>
  <x:si>
    <x:t xml:space="preserve">FragileTrust</x:t>
  </x:si>
  <x:si>
    <x:t xml:space="preserve">#Devastated #ShatteredTrust</x:t>
  </x:si>
  <x:si>
    <x:t xml:space="preserve">Frustrated attempts to mend a broken connection, the threads of understanding slipping through the fingers like grains of sand.</x:t>
  </x:si>
  <x:si>
    <x:t xml:space="preserve">BrokenThreads</x:t>
  </x:si>
  <x:si>
    <x:t xml:space="preserve">#Frustrated #SlippingThreads</x:t>
  </x:si>
  <x:si>
    <x:t xml:space="preserve">Envious gazes cast upon the podium of success, a bitter pill swallowed, the taste lingering as a constant reminder of unattained heights.</x:t>
  </x:si>
  <x:si>
    <x:t xml:space="preserve">SuccessPill</x:t>
  </x:si>
  <x:si>
    <x:t xml:space="preserve">#Envious #BitterPill</x:t>
  </x:si>
  <x:si>
    <x:t xml:space="preserve">Dismissive gestures, a curtain drawn to shield the vulnerability, a stage where emotions take a backseat to the performance of indifference.</x:t>
  </x:si>
  <x:si>
    <x:t xml:space="preserve">CurtainShield</x:t>
  </x:si>
  <x:si>
    <x:t xml:space="preserve">#Dismissive #IndifferencePerformance</x:t>
  </x:si>
  <x:si>
    <x:t xml:space="preserve">Despair like a heavy fog, enveloping every thought, blurring the path ahead, a journey in the labyrinth of utter hopelessness.</x:t>
  </x:si>
  <x:si>
    <x:t xml:space="preserve">FoggyLabyrinth</x:t>
  </x:si>
  <x:si>
    <x:t xml:space="preserve">#Despair #LabyrinthOfHopelessness</x:t>
  </x:si>
  <x:si>
    <x:t xml:space="preserve">Bitterness, a bitter chill in the air, freezing moments into icicles of resentment that dangle precariously over the landscape of memory.</x:t>
  </x:si>
  <x:si>
    <x:t xml:space="preserve">IcyResentment</x:t>
  </x:si>
  <x:si>
    <x:t xml:space="preserve">#Bitterness #IciclesOfResentment</x:t>
  </x:si>
  <x:si>
    <x:t xml:space="preserve">Loneliness, a solitary moon in a starless sky, casting a cold glow on the landscape of isolation, where echoes bounce in empty spaces.</x:t>
  </x:si>
  <x:si>
    <x:t xml:space="preserve">SolitaryMoon</x:t>
  </x:si>
  <x:si>
    <x:t xml:space="preserve">#Loneliness #StarlessSky</x:t>
  </x:si>
  <x:si>
    <x:t xml:space="preserve">Yearning for the warmth of a vanished sun, a heartache painted in the hues of a sunset that never graced the horizon.</x:t>
  </x:si>
  <x:si>
    <x:t xml:space="preserve">VanishedSunset</x:t>
  </x:si>
  <x:si>
    <x:t xml:space="preserve">#Yearning #HuesOfSunset</x:t>
  </x:si>
  <x:si>
    <x:t xml:space="preserve">Fearful eyes scanning the shadows, a prisoner of the night, terrorized by the lurking monsters born from the mind's darkest corners.</x:t>
  </x:si>
  <x:si>
    <x:t xml:space="preserve">#Fearful #LurkingMonsters</x:t>
  </x:si>
  <x:si>
    <x:t xml:space="preserve">Apprehensive whispers in the wind, a forecast of uncertainty, the mind's weather vane spinning wildly in the storm of doubt.</x:t>
  </x:si>
  <x:si>
    <x:t xml:space="preserve">#Apprehensive #StormOfDoubt</x:t>
  </x:si>
  <x:si>
    <x:t xml:space="preserve">Overwhelmed by the maze of expectations, a minotaur of pressure lurking in the labyrinth, waiting to devour the spirit of resilience.</x:t>
  </x:si>
  <x:si>
    <x:t xml:space="preserve">MazeExplorer</x:t>
  </x:si>
  <x:si>
    <x:t xml:space="preserve">#Overwhelmed #MinotaurOfPressure</x:t>
  </x:si>
  <x:si>
    <x:t xml:space="preserve">Jealousy, a festering wound, the pain intensifying with each glance at the garden of others' achievements, blooming beyond the fence.</x:t>
  </x:si>
  <x:si>
    <x:t xml:space="preserve">WoundedGarden</x:t>
  </x:si>
  <x:si>
    <x:t xml:space="preserve">#Jealous #BloomingAchievements</x:t>
  </x:si>
  <x:si>
    <x:t xml:space="preserve">Devastated, a heart in ruins, the echoes of shattered dreams reverberating in the chambers, a requiem for what once was whole.</x:t>
  </x:si>
  <x:si>
    <x:t xml:space="preserve">RuinedHeart</x:t>
  </x:si>
  <x:si>
    <x:t xml:space="preserve">#Devastated #EchoesOfShatteredDreams</x:t>
  </x:si>
  <x:si>
    <x:t xml:space="preserve">Frustrated attempts to untangle the knot of confusion, the threads of understanding slipping further into the labyrinth of miscommunication.</x:t>
  </x:si>
  <x:si>
    <x:t xml:space="preserve">KnotUntangler</x:t>
  </x:si>
  <x:si>
    <x:t xml:space="preserve">#Frustrated #LabyrinthOfMiscommunication</x:t>
  </x:si>
  <x:si>
    <x:t xml:space="preserve">Envious eyes locked on the treasure chest of opportunities, a heartache fueled by the desire for keys that seem forever elusive.</x:t>
  </x:si>
  <x:si>
    <x:t xml:space="preserve">ElusiveKeys</x:t>
  </x:si>
  <x:si>
    <x:t xml:space="preserve">#Envious #DesireForKeys</x:t>
  </x:si>
  <x:si>
    <x:t xml:space="preserve">Awe-struck by the breathtaking sunrise over the mountains.</x:t>
  </x:si>
  <x:si>
    <x:t xml:space="preserve">#Awe #BreathtakingSunrise</x:t>
  </x:si>
  <x:si>
    <x:t xml:space="preserve">Navigating through the challenges with determination.</x:t>
  </x:si>
  <x:si>
    <x:t xml:space="preserve">GoalPursuer</x:t>
  </x:si>
  <x:si>
    <x:t xml:space="preserve">#Determination #Challenges</x:t>
  </x:si>
  <x:si>
    <x:t xml:space="preserve">Nostalgia hits while flipping through an old photo album.</x:t>
  </x:si>
  <x:si>
    <x:t xml:space="preserve">MemoryLane</x:t>
  </x:si>
  <x:si>
    <x:t xml:space="preserve">#Nostalgia #OldMemories</x:t>
  </x:si>
  <x:si>
    <x:t xml:space="preserve">Thrilled to witness the grandeur of a cultural festival.</x:t>
  </x:si>
  <x:si>
    <x:t xml:space="preserve">CultureEnthusiast</x:t>
  </x:si>
  <x:si>
    <x:t xml:space="preserve">#Thrill #CulturalCelebration</x:t>
  </x:si>
  <x:si>
    <x:t xml:space="preserve">Calmness found in the rhythm of raindrops on the windowpane.</x:t>
  </x:si>
  <x:si>
    <x:t xml:space="preserve">RainWatcher</x:t>
  </x:si>
  <x:si>
    <x:t xml:space="preserve">#Calmness #RainyDays</x:t>
  </x:si>
  <x:si>
    <x:t xml:space="preserve">PersonalJourney</x:t>
  </x:si>
  <x:si>
    <x:t xml:space="preserve">#Overwhelmed #SupportiveCommunity</x:t>
  </x:si>
  <x:si>
    <x:t xml:space="preserve">Excitement builds as the countdown to a long-awaited vacation begins.</x:t>
  </x:si>
  <x:si>
    <x:t xml:space="preserve">#Excitement #VacationCountdown</x:t>
  </x:si>
  <x:si>
    <x:t xml:space="preserve">France</x:t>
  </x:si>
  <x:si>
    <x:t xml:space="preserve">Reflecting on life's journey, grateful for the lessons learned.</x:t>
  </x:si>
  <x:si>
    <x:t xml:space="preserve">LifeLearner</x:t>
  </x:si>
  <x:si>
    <x:t xml:space="preserve">#Gratitude #LifeLessons</x:t>
  </x:si>
  <x:si>
    <x:t xml:space="preserve">Brazil</x:t>
  </x:si>
  <x:si>
    <x:t xml:space="preserve">Bittersweet emotions arise while bidding farewell to a dear friend.</x:t>
  </x:si>
  <x:si>
    <x:t xml:space="preserve">FarewellSender</x:t>
  </x:si>
  <x:si>
    <x:t xml:space="preserve">#Bittersweet #Farewell</x:t>
  </x:si>
  <x:si>
    <x:t xml:space="preserve">Japan</x:t>
  </x:si>
  <x:si>
    <x:t xml:space="preserve">Curiosity sparked by exploring a mysterious ancient ruin.</x:t>
  </x:si>
  <x:si>
    <x:t xml:space="preserve">HistoryExplorer</x:t>
  </x:si>
  <x:si>
    <x:t xml:space="preserve">#Curiosity #AncientDiscovery</x:t>
  </x:si>
  <x:si>
    <x:t xml:space="preserve">Greece</x:t>
  </x:si>
  <x:si>
    <x:t xml:space="preserve">Admiration for the intricate details of a handcrafted masterpiece.</x:t>
  </x:si>
  <x:si>
    <x:t xml:space="preserve">CraftEnthusiast</x:t>
  </x:si>
  <x:si>
    <x:t xml:space="preserve">#Admiration #HandcraftedArt</x:t>
  </x:si>
  <x:si>
    <x:t xml:space="preserve">Overjoyed by the warmth of a cozy fireplace on a winter evening.</x:t>
  </x:si>
  <x:si>
    <x:t xml:space="preserve">WinterLover</x:t>
  </x:si>
  <x:si>
    <x:t xml:space="preserve">#Overjoyed #WinterWarmth</x:t>
  </x:si>
  <x:si>
    <x:t xml:space="preserve">#Inspiration #ColorfulSunset</x:t>
  </x:si>
  <x:si>
    <x:t xml:space="preserve">Motivated to achieve fitness goals after an invigorating workout.</x:t>
  </x:si>
  <x:si>
    <x:t xml:space="preserve">FitnessJunkie</x:t>
  </x:si>
  <x:si>
    <x:t xml:space="preserve">#Motivation #FitnessGoals</x:t>
  </x:si>
  <x:si>
    <x:t xml:space="preserve">Gratitude for the simple joys found in a cup of morning coffee.</x:t>
  </x:si>
  <x:si>
    <x:t xml:space="preserve">CoffeeLover</x:t>
  </x:si>
  <x:si>
    <x:t xml:space="preserve">#Gratitude #MorningCoffee</x:t>
  </x:si>
  <x:si>
    <x:t xml:space="preserve">Feeling empowered after conquering a challenging hiking trail.</x:t>
  </x:si>
  <x:si>
    <x:t xml:space="preserve">HikingExplorer</x:t>
  </x:si>
  <x:si>
    <x:t xml:space="preserve">#Empowerment #HikingAdventure</x:t>
  </x:si>
  <x:si>
    <x:t xml:space="preserve">Amused by the antics of playful kittens during playtime.</x:t>
  </x:si>
  <x:si>
    <x:t xml:space="preserve">KittyObserver</x:t>
  </x:si>
  <x:si>
    <x:t xml:space="preserve">#Amusement #PlayfulKittens</x:t>
  </x:si>
  <x:si>
    <x:t xml:space="preserve">Contemplating life's mysteries under the starry night sky.</x:t>
  </x:si>
  <x:si>
    <x:t xml:space="preserve">#Contemplation #StarryNight</x:t>
  </x:si>
  <x:si>
    <x:t xml:space="preserve">Joyful reunion with long-lost friends after years of separation.</x:t>
  </x:si>
  <x:si>
    <x:t xml:space="preserve">FriendshipRenewal</x:t>
  </x:si>
  <x:si>
    <x:t xml:space="preserve">#JoyfulReunion #Friendship</x:t>
  </x:si>
  <x:si>
    <x:t xml:space="preserve">Excitement builds while preparing for a surprise celebration.</x:t>
  </x:si>
  <x:si>
    <x:t xml:space="preserve">CelebrationPlanner</x:t>
  </x:si>
  <x:si>
    <x:t xml:space="preserve">#Excitement #SurpriseCelebration</x:t>
  </x:si>
  <x:si>
    <x:t xml:space="preserve">Satisfaction derived from successfully completing a DIY project.</x:t>
  </x:si>
  <x:si>
    <x:t xml:space="preserve">#Satisfaction #DIYProject</x:t>
  </x:si>
  <x:si>
    <x:t xml:space="preserve">Feeling blessed for the supportive community in times of need.</x:t>
  </x:si>
  <x:si>
    <x:t xml:space="preserve">CommunityHelper</x:t>
  </x:si>
  <x:si>
    <x:t xml:space="preserve">#Blessed #SupportiveCommunity</x:t>
  </x:si>
  <x:si>
    <x:t xml:space="preserve">Captivated by the serenity of a tranquil garden in full bloom.</x:t>
  </x:si>
  <x:si>
    <x:t xml:space="preserve">GardenEnthusiast</x:t>
  </x:si>
  <x:si>
    <x:t xml:space="preserve">#Serenity #TranquilGarden</x:t>
  </x:si>
  <x:si>
    <x:t xml:space="preserve">Anticipation for an upcoming adventure in an exotic destination.</x:t>
  </x:si>
  <x:si>
    <x:t xml:space="preserve">Wanderlust</x:t>
  </x:si>
  <x:si>
    <x:t xml:space="preserve">#Anticipation #AdventureAwaits</x:t>
  </x:si>
  <x:si>
    <x:t xml:space="preserve">Reflecting on personal growth achieved through life experiences.</x:t>
  </x:si>
  <x:si>
    <x:t xml:space="preserve">#Reflection #PersonalGrowth</x:t>
  </x:si>
  <x:si>
    <x:t xml:space="preserve">Nostalgic memories flood in while revisiting childhood favorites.</x:t>
  </x:si>
  <x:si>
    <x:t xml:space="preserve">ChildhoodMemories</x:t>
  </x:si>
  <x:si>
    <x:t xml:space="preserve">#Nostalgia #ChildhoodFavorites</x:t>
  </x:si>
  <x:si>
    <x:t xml:space="preserve">Appreciation for the vibrant culture experienced during travel.</x:t>
  </x:si>
  <x:si>
    <x:t xml:space="preserve">CultureExplorer</x:t>
  </x:si>
  <x:si>
    <x:t xml:space="preserve">#Appreciation #CulturalExperience</x:t>
  </x:si>
  <x:si>
    <x:t xml:space="preserve">Confidence soars after overcoming public speaking anxiety.</x:t>
  </x:si>
  <x:si>
    <x:t xml:space="preserve">PublicSpeaker</x:t>
  </x:si>
  <x:si>
    <x:t xml:space="preserve">#Confidence #OvercomingAnxiety</x:t>
  </x:si>
  <x:si>
    <x:t xml:space="preserve">Contentment in the midst of a family gathering filled with laughter.</x:t>
  </x:si>
  <x:si>
    <x:t xml:space="preserve">FamilyCelebration</x:t>
  </x:si>
  <x:si>
    <x:t xml:space="preserve">#Contentment #FamilyLaughter</x:t>
  </x:si>
  <x:si>
    <x:t xml:space="preserve">Enthusiasm for learning new skills and expanding knowledge.</x:t>
  </x:si>
  <x:si>
    <x:t xml:space="preserve">LifelongLearner</x:t>
  </x:si>
  <x:si>
    <x:t xml:space="preserve">#Enthusiasm #SkillBuilding</x:t>
  </x:si>
  <x:si>
    <x:t xml:space="preserve">Surprise and delight at discovering a hidden gem in the city.</x:t>
  </x:si>
  <x:si>
    <x:t xml:space="preserve">CityExplorer</x:t>
  </x:si>
  <x:si>
    <x:t xml:space="preserve">#Surprise #HiddenGem</x:t>
  </x:si>
  <x:si>
    <x:t xml:space="preserve">#Accomplishment #FitnessSuccess</x:t>
  </x:si>
  <x:si>
    <x:t xml:space="preserve">Wonderment at the beauty of a double rainbow after the rain.</x:t>
  </x:si>
  <x:si>
    <x:t xml:space="preserve">RainbowChaser</x:t>
  </x:si>
  <x:si>
    <x:t xml:space="preserve">#Wonderment #DoubleRainbow</x:t>
  </x:si>
  <x:si>
    <x:t xml:space="preserve">Optimism for a bright future amidst challenging times.</x:t>
  </x:si>
  <x:si>
    <x:t xml:space="preserve">FutureOptimist</x:t>
  </x:si>
  <x:si>
    <x:t xml:space="preserve">#Optimism #BrightFuture</x:t>
  </x:si>
  <x:si>
    <x:t xml:space="preserve">Pride in achieving a personal milestone in career progression.</x:t>
  </x:si>
  <x:si>
    <x:t xml:space="preserve">CareerAchiever</x:t>
  </x:si>
  <x:si>
    <x:t xml:space="preserve">#Pride #CareerMilestone</x:t>
  </x:si>
  <x:si>
    <x:t xml:space="preserve">Happiness blooms like flowers in a garden on a sunny day.</x:t>
  </x:si>
  <x:si>
    <x:t xml:space="preserve">SunnyDayEnthusiast</x:t>
  </x:si>
  <x:si>
    <x:t xml:space="preserve">#Happiness #SunnyDay</x:t>
  </x:si>
  <x:si>
    <x:t xml:space="preserve">Elation over discovering a rare book in a quaint bookstore.</x:t>
  </x:si>
  <x:si>
    <x:t xml:space="preserve">#Elation #RareBookDiscovery</x:t>
  </x:si>
  <x:si>
    <x:t xml:space="preserve">ArchaeologyEnthusiast</x:t>
  </x:si>
  <x:si>
    <x:t xml:space="preserve">#Curiosity #AncientMysteries</x:t>
  </x:si>
  <x:si>
    <x:t xml:space="preserve">Mesmerized by the cosmic dance of fireflies on a moonlit night.</x:t>
  </x:si>
  <x:si>
    <x:t xml:space="preserve">NightSkyObserver</x:t>
  </x:si>
  <x:si>
    <x:t xml:space="preserve">#Enchantment #CosmicFireflies</x:t>
  </x:si>
  <x:si>
    <x:t xml:space="preserve">Intrigued by the symphony of colors in an abstract art exhibition.</x:t>
  </x:si>
  <x:si>
    <x:t xml:space="preserve">ArtConnoisseur</x:t>
  </x:si>
  <x:si>
    <x:t xml:space="preserve">#Intrigue #AbstractArt</x:t>
  </x:si>
  <x:si>
    <x:t xml:space="preserve">Giggles and joy echo in the air during a children's playdate.</x:t>
  </x:si>
  <x:si>
    <x:t xml:space="preserve">PlayfulParent</x:t>
  </x:si>
  <x:si>
    <x:t xml:space="preserve">#PlayfulJoy #ChildrensPlaydate</x:t>
  </x:si>
  <x:si>
    <x:t xml:space="preserve">Enveloped in serenity while practicing mindfulness by the lake.</x:t>
  </x:si>
  <x:si>
    <x:t xml:space="preserve">ZenSeeker</x:t>
  </x:si>
  <x:si>
    <x:t xml:space="preserve">#Mindfulness #LakeTranquility</x:t>
  </x:si>
  <x:si>
    <x:t xml:space="preserve">Chasing dreams like a kite soaring high in the vast open sky.</x:t>
  </x:si>
  <x:si>
    <x:t xml:space="preserve">SkyDreamer</x:t>
  </x:si>
  <x:si>
    <x:t xml:space="preserve">#DreamChaser #SkyHighDreams</x:t>
  </x:si>
  <x:si>
    <x:t xml:space="preserve">Spellbound by the elegance of a ballroom dance under crystal chandeliers.</x:t>
  </x:si>
  <x:si>
    <x:t xml:space="preserve">DanceEnthusiast</x:t>
  </x:si>
  <x:si>
    <x:t xml:space="preserve">#Elegance #BallroomDance</x:t>
  </x:si>
  <x:si>
    <x:t xml:space="preserve">Whimsical delight in a world of fairy tales and magical creatures.</x:t>
  </x:si>
  <x:si>
    <x:t xml:space="preserve">FairyTaleExplorer</x:t>
  </x:si>
  <x:si>
    <x:t xml:space="preserve">#Whimsy #MagicalWorld</x:t>
  </x:si>
  <x:si>
    <x:t xml:space="preserve">Pensive contemplation amid the ancient ruins of a forgotten civilization.</x:t>
  </x:si>
  <x:si>
    <x:t xml:space="preserve">RuinsExplorer</x:t>
  </x:si>
  <x:si>
    <x:t xml:space="preserve">#Pensive #AncientCivilization</x:t>
  </x:si>
  <x:si>
    <x:t xml:space="preserve">Embracing the thrill of speed on a rollercoaster's exhilarating twists.</x:t>
  </x:si>
  <x:si>
    <x:t xml:space="preserve">RollercoasterFan</x:t>
  </x:si>
  <x:si>
    <x:t xml:space="preserve">#Thrill #RollercoasterAdventure</x:t>
  </x:si>
  <x:si>
    <x:t xml:space="preserve">Germany</x:t>
  </x:si>
  <x:si>
    <x:t xml:space="preserve">Harmony resonates as musicians play a melody of unity and togetherness.</x:t>
  </x:si>
  <x:si>
    <x:t xml:space="preserve">MusicHarmonist</x:t>
  </x:si>
  <x:si>
    <x:t xml:space="preserve">#Harmony #MusicalUnity</x:t>
  </x:si>
  <x:si>
    <x:t xml:space="preserve">Sweden</x:t>
  </x:si>
  <x:si>
    <x:t xml:space="preserve">A burst of creativity in the quiet solitude of an artist's studio.</x:t>
  </x:si>
  <x:si>
    <x:t xml:space="preserve">StudioArtist</x:t>
  </x:si>
  <x:si>
    <x:t xml:space="preserve">#Creativity #ArtistsHaven</x:t>
  </x:si>
  <x:si>
    <x:t xml:space="preserve">Italy</x:t>
  </x:si>
  <x:si>
    <x:t xml:space="preserve">Radiant joy akin to blooming flowers on a sun-kissed spring morning.</x:t>
  </x:si>
  <x:si>
    <x:t xml:space="preserve">SpringEnthusiast</x:t>
  </x:si>
  <x:si>
    <x:t xml:space="preserve">#Radiance #SpringBlooms</x:t>
  </x:si>
  <x:si>
    <x:t xml:space="preserve">Netherlands</x:t>
  </x:si>
  <x:si>
    <x:t xml:space="preserve">A sense of wonder at the vastness of the cosmos on a stargazing night.</x:t>
  </x:si>
  <x:si>
    <x:t xml:space="preserve">CosmosExplorer</x:t>
  </x:si>
  <x:si>
    <x:t xml:space="preserve">#Wonder #StargazingAdventure</x:t>
  </x:si>
  <x:si>
    <x:t xml:space="preserve">South Africa</x:t>
  </x:si>
  <x:si>
    <x:t xml:space="preserve">Rejuvenated by the salty breeze and the sound of waves at the seaside.</x:t>
  </x:si>
  <x:si>
    <x:t xml:space="preserve">SeaBreezeLover</x:t>
  </x:si>
  <x:si>
    <x:t xml:space="preserve">#Rejuvenation #SeasideEscape</x:t>
  </x:si>
  <x:si>
    <x:t xml:space="preserve">Spain</x:t>
  </x:si>
  <x:si>
    <x:t xml:space="preserve">Whispers of inspiration from the rustling leaves in a serene forest.</x:t>
  </x:si>
  <x:si>
    <x:t xml:space="preserve">#Inspiration #ForestWhispers</x:t>
  </x:si>
  <x:si>
    <x:t xml:space="preserve">Portugal</x:t>
  </x:si>
  <x:si>
    <x:t xml:space="preserve">Savoring the warmth of a cup of cocoa on a chilly winter evening.</x:t>
  </x:si>
  <x:si>
    <x:t xml:space="preserve">#Coziness #WarmWinterEvening</x:t>
  </x:si>
  <x:si>
    <x:t xml:space="preserve">Switzerland</x:t>
  </x:si>
  <x:si>
    <x:t xml:space="preserve">Heartfelt gratitude for the laughter shared during a family reunion.</x:t>
  </x:si>
  <x:si>
    <x:t xml:space="preserve">FamilyGatherer</x:t>
  </x:si>
  <x:si>
    <x:t xml:space="preserve">#Gratitude #FamilyLaughter</x:t>
  </x:si>
  <x:si>
    <x:t xml:space="preserve">Austria</x:t>
  </x:si>
  <x:si>
    <x:t xml:space="preserve">Embarking on a culinary adventure, savoring exotic flavors around the world.</x:t>
  </x:si>
  <x:si>
    <x:t xml:space="preserve">CulinaryExplorer</x:t>
  </x:si>
  <x:si>
    <x:t xml:space="preserve">#Adventure #CulinaryJourney</x:t>
  </x:si>
  <x:si>
    <x:t xml:space="preserve">Belgium</x:t>
  </x:si>
  <x:si>
    <x:t xml:space="preserve">Euphoria floods in as the final puzzle piece clicks into place.</x:t>
  </x:si>
  <x:si>
    <x:t xml:space="preserve">PuzzleSolver</x:t>
  </x:si>
  <x:si>
    <x:t xml:space="preserve">#Euphoria #PuzzleCompletion</x:t>
  </x:si>
  <x:si>
    <x:t xml:space="preserve">Denmark</x:t>
  </x:si>
  <x:si>
    <x:t xml:space="preserve">Awe-inspired by the grandeur of an ancient cathedral's intricate architecture.</x:t>
  </x:si>
  <x:si>
    <x:t xml:space="preserve">CathedralVisitor</x:t>
  </x:si>
  <x:si>
    <x:t xml:space="preserve">#Awe #ArchitecturalGrandeur</x:t>
  </x:si>
  <x:si>
    <x:t xml:space="preserve">Czech Republic</x:t>
  </x:si>
  <x:si>
    <x:t xml:space="preserve">Captivated by the ethereal beauty of a field filled with fireflies.</x:t>
  </x:si>
  <x:si>
    <x:t xml:space="preserve">#Enchantment #FireflyField</x:t>
  </x:si>
  <x:si>
    <x:t xml:space="preserve">Immersed in the enchanting melodies of a street musician's violin.</x:t>
  </x:si>
  <x:si>
    <x:t xml:space="preserve">#Melodic #StreetMusic</x:t>
  </x:si>
  <x:si>
    <x:t xml:space="preserve">Joyful laughter resonates through a lively summer carnival.</x:t>
  </x:si>
  <x:si>
    <x:t xml:space="preserve">CarnivalGoer</x:t>
  </x:si>
  <x:si>
    <x:t xml:space="preserve">#FestiveJoy #SummerCarnival</x:t>
  </x:si>
  <x:si>
    <x:t xml:space="preserve">Exploring the universe within during a mindful meditation session.</x:t>
  </x:si>
  <x:si>
    <x:t xml:space="preserve">MindfulExplorer</x:t>
  </x:si>
  <x:si>
    <x:t xml:space="preserve">#InnerJourney #MeditationBliss</x:t>
  </x:si>
  <x:si>
    <x:t xml:space="preserve">Soaring like a free spirit on the winds of a coastal cliff.</x:t>
  </x:si>
  <x:si>
    <x:t xml:space="preserve">CoastalExplorer</x:t>
  </x:si>
  <x:si>
    <x:t xml:space="preserve">#Freedom #CoastalAdventure</x:t>
  </x:si>
  <x:si>
    <x:t xml:space="preserve">Dazzled by the elegance of a masquerade ball's dazzling costumes.</x:t>
  </x:si>
  <x:si>
    <x:t xml:space="preserve">MasqueradeAttendee</x:t>
  </x:si>
  <x:si>
    <x:t xml:space="preserve">#Dazzle #MasqueradeElegance</x:t>
  </x:si>
  <x:si>
    <x:t xml:space="preserve">Whimsical delight in a world of whimsical fairy tales.</x:t>
  </x:si>
  <x:si>
    <x:t xml:space="preserve">FairyTaleAdventurer</x:t>
  </x:si>
  <x:si>
    <x:t xml:space="preserve">#Whimsy #FairyTaleMagic</x:t>
  </x:si>
  <x:si>
    <x:t xml:space="preserve">Reflective contemplation amid the ruins of a forgotten era.</x:t>
  </x:si>
  <x:si>
    <x:t xml:space="preserve">#Reflection #ForgottenEra</x:t>
  </x:si>
  <x:si>
    <x:t xml:space="preserve">Riding the adrenaline rush on a rollercoaster's wild twists.</x:t>
  </x:si>
  <x:si>
    <x:t xml:space="preserve">ThrillSeeker</x:t>
  </x:si>
  <x:si>
    <x:t xml:space="preserve">#Adrenaline #RollercoasterThrills</x:t>
  </x:si>
  <x:si>
    <x:t xml:space="preserve">Harmony resonates as musicians play a symphony of unity.</x:t>
  </x:si>
  <x:si>
    <x:t xml:space="preserve">A burst of artistic creativity in the quietude of an artist's studio.</x:t>
  </x:si>
  <x:si>
    <x:t xml:space="preserve">#ArtisticBurst #StudioCreativity</x:t>
  </x:si>
  <x:si>
    <x:t xml:space="preserve">Radiant joy akin to blossoming flowers on a sunlit spring morning.</x:t>
  </x:si>
  <x:si>
    <x:t xml:space="preserve">Awe-inspired by the vastness of the cosmos on a stargazing night.</x:t>
  </x:si>
  <x:si>
    <x:t xml:space="preserve">Embarking on a culinary odyssey, savoring flavors around the world.</x:t>
  </x:si>
  <x:si>
    <x:t xml:space="preserve">#CulinaryOdyssey #FlavorsAroundTheWorld</x:t>
  </x:si>
  <x:si>
    <x:t xml:space="preserve">Euphoria floods in as the final puzzle piece fits perfectly.</x:t>
  </x:si>
  <x:si>
    <x:t xml:space="preserve">#Euphoria #PerfectPuzzle</x:t>
  </x:si>
  <x:si>
    <x:t xml:space="preserve">Awe-struck by the grandeur of an ancient cathedral's intricate architecture.</x:t>
  </x:si>
  <x:si>
    <x:t xml:space="preserve">Curiosity awakened by the mysteries of an ancient archaeological site.</x:t>
  </x:si>
  <x:si>
    <x:t xml:space="preserve">Giddy with excitement as the first snowflakes dance from the sky.</x:t>
  </x:si>
  <x:si>
    <x:t xml:space="preserve">SnowfallEnthusiast</x:t>
  </x:si>
  <x:si>
    <x:t xml:space="preserve">#Excitement #SnowfallMagic</x:t>
  </x:si>
  <x:si>
    <x:t xml:space="preserve">Contentment envelops as the aroma of freshly baked bread fills the air.</x:t>
  </x:si>
  <x:si>
    <x:t xml:space="preserve">BreadLover</x:t>
  </x:si>
  <x:si>
    <x:t xml:space="preserve">#Contentment #FreshBreadAroma</x:t>
  </x:si>
  <x:si>
    <x:t xml:space="preserve">Inspired by the resilience of a lone tree standing tall in a storm.</x:t>
  </x:si>
  <x:si>
    <x:t xml:space="preserve">NatureResilient</x:t>
  </x:si>
  <x:si>
    <x:t xml:space="preserve">#Resilience #StandingTall</x:t>
  </x:si>
  <x:si>
    <x:t xml:space="preserve">Lost in the pages of a captivating novel, transported to another world.</x:t>
  </x:si>
  <x:si>
    <x:t xml:space="preserve">#Immersion #CaptivatingNovel</x:t>
  </x:si>
  <x:si>
    <x:t xml:space="preserve">Drenched in nostalgia while flipping through an old family photo album.</x:t>
  </x:si>
  <x:si>
    <x:t xml:space="preserve">FamilyHistorian</x:t>
  </x:si>
  <x:si>
    <x:t xml:space="preserve">#Nostalgia #FamilyPhotoAlbum</x:t>
  </x:si>
  <x:si>
    <x:t xml:space="preserve">Spark of inspiration ignites like a shooting star in the night sky.</x:t>
  </x:si>
  <x:si>
    <x:t xml:space="preserve">NightSkyWatcher</x:t>
  </x:si>
  <x:si>
    <x:t xml:space="preserve">#Spark #InspirationIgnited</x:t>
  </x:si>
  <x:si>
    <x:t xml:space="preserve">Imbued with gratitude for the simple pleasure of a warm cup of tea.</x:t>
  </x:si>
  <x:si>
    <x:t xml:space="preserve">TeaEnthusiast</x:t>
  </x:si>
  <x:si>
    <x:t xml:space="preserve">#Gratitude #WarmTea</x:t>
  </x:si>
  <x:si>
    <x:t xml:space="preserve">Marveling at the kaleidoscope of colors in a vibrant street market.</x:t>
  </x:si>
  <x:si>
    <x:t xml:space="preserve">MarketExplorer</x:t>
  </x:si>
  <x:si>
    <x:t xml:space="preserve">#Marvel #ColorfulStreetMarket</x:t>
  </x:si>
  <x:si>
    <x:t xml:space="preserve">Awash with serenity as the sun sets over a tranquil lakeside retreat.</x:t>
  </x:si>
  <x:si>
    <x:t xml:space="preserve">LakesideRetreater</x:t>
  </x:si>
  <x:si>
    <x:t xml:space="preserve">#Serenity #TranquilSunset</x:t>
  </x:si>
  <x:si>
    <x:t xml:space="preserve">Drowning in sorrow as memories of lost love resurface.</x:t>
  </x:si>
  <x:si>
    <x:t xml:space="preserve">LostInLove</x:t>
  </x:si>
  <x:si>
    <x:t xml:space="preserve">#Heartbreak #LostLove</x:t>
  </x:si>
  <x:si>
    <x:t xml:space="preserve">Numbness sets in as the weight of loneliness grows heavier.</x:t>
  </x:si>
  <x:si>
    <x:t xml:space="preserve">SolitudeSeeker</x:t>
  </x:si>
  <x:si>
    <x:t xml:space="preserve">#Loneliness #HeavyHeart</x:t>
  </x:si>
  <x:si>
    <x:t xml:space="preserve">Tears fall like raindrops, mourning the end of a cherished friendship.</x:t>
  </x:si>
  <x:si>
    <x:t xml:space="preserve">FriendshipsEnd</x:t>
  </x:si>
  <x:si>
    <x:t xml:space="preserve">#Grief #LostFriendship</x:t>
  </x:si>
  <x:si>
    <x:t xml:space="preserve">Despair clouds the mind, feeling adrift in an endless sea of darkness.</x:t>
  </x:si>
  <x:si>
    <x:t xml:space="preserve">LostInDarkness</x:t>
  </x:si>
  <x:si>
    <x:t xml:space="preserve">#Despair #EndlessDarkness</x:t>
  </x:si>
  <x:si>
    <x:t xml:space="preserve">Shattered by betrayal, trust crumbles like fragile glass.</x:t>
  </x:si>
  <x:si>
    <x:t xml:space="preserve">#Betrayal #ShatteredTrust</x:t>
  </x:si>
  <x:si>
    <x:t xml:space="preserve">Aching heart, the symphony of pain plays in the silence of solitude.</x:t>
  </x:si>
  <x:si>
    <x:t xml:space="preserve">SilentSufferer</x:t>
  </x:si>
  <x:si>
    <x:t xml:space="preserve">#Suffering #HeartacheSymphony</x:t>
  </x:si>
  <x:si>
    <x:t xml:space="preserve">Emotional storm, a whirlwind of sadness engulfs every thought.</x:t>
  </x:si>
  <x:si>
    <x:t xml:space="preserve">StormyFeelings</x:t>
  </x:si>
  <x:si>
    <x:t xml:space="preserve">#EmotionalStorm #SadnessWhirlwind</x:t>
  </x:si>
  <x:si>
    <x:t xml:space="preserve">Haunted by regrets, the ghost of the past lingers relentlessly.</x:t>
  </x:si>
  <x:si>
    <x:t xml:space="preserve">LingeringGhost</x:t>
  </x:si>
  <x:si>
    <x:t xml:space="preserve">#Regret #HauntedPast</x:t>
  </x:si>
  <x:si>
    <x:t xml:space="preserve">Torn apart by grief, the echoes of loss reverberate through the soul.</x:t>
  </x:si>
  <x:si>
    <x:t xml:space="preserve">EchoesOfLoss</x:t>
  </x:si>
  <x:si>
    <x:t xml:space="preserve">#Grief #TornApart</x:t>
  </x:si>
  <x:si>
    <x:t xml:space="preserve">Isolation deepens, an emotional winter where warmth is but a distant memory.</x:t>
  </x:si>
  <x:si>
    <x:t xml:space="preserve">WinterOfEmotions</x:t>
  </x:si>
  <x:si>
    <x:t xml:space="preserve">#Isolation #EmotionalWinter</x:t>
  </x:si>
  <x:si>
    <x:t xml:space="preserve">Soul-crushing disappointment, hopes shattered like fragile glass.</x:t>
  </x:si>
  <x:si>
    <x:t xml:space="preserve">ShatteredHopes</x:t>
  </x:si>
  <x:si>
    <x:t xml:space="preserve">#Disappointment #CrushedHopes</x:t>
  </x:si>
  <x:si>
    <x:t xml:space="preserve">Painful echoes of a love once cherished, now lost in the abyss of time.</x:t>
  </x:si>
  <x:si>
    <x:t xml:space="preserve">AbyssOfTime</x:t>
  </x:si>
  <x:si>
    <x:t xml:space="preserve">#LostLove #PainfulEchoes</x:t>
  </x:si>
  <x:si>
    <x:t xml:space="preserve">Heartache deepens, a solitary journey through the abyss of despair.</x:t>
  </x:si>
  <x:si>
    <x:t xml:space="preserve">SolitaryDescent</x:t>
  </x:si>
  <x:si>
    <x:t xml:space="preserve">#Despair #AbyssOfHeartache</x:t>
  </x:si>
  <x:si>
    <x:t xml:space="preserve">Melancholy lingers, a bittersweet serenade in the quietude of solitude.</x:t>
  </x:si>
  <x:si>
    <x:t xml:space="preserve">SerenadeOfSolitude</x:t>
  </x:si>
  <x:si>
    <x:t xml:space="preserve">#Melancholy #QuietSerenade</x:t>
  </x:si>
  <x:si>
    <x:t xml:space="preserve">Bitterness like a poison, seeping into every crevice of the wounded heart.</x:t>
  </x:si>
  <x:si>
    <x:t xml:space="preserve">PoisonedHeart</x:t>
  </x:si>
  <x:si>
    <x:t xml:space="preserve">#Bitterness #WoundedHeart</x:t>
  </x:si>
  <x:si>
    <x:t xml:space="preserve">Emotional exhaustion, the weight of the world crushing weary shoulders.</x:t>
  </x:si>
  <x:si>
    <x:t xml:space="preserve">WearySoulCrushed</x:t>
  </x:si>
  <x:si>
    <x:t xml:space="preserve">#Exhaustion #CrushedSpirit</x:t>
  </x:si>
  <x:si>
    <x:t xml:space="preserve">Sorrowful echoes, a symphony of pain played by the strings of loss.</x:t>
  </x:si>
  <x:si>
    <x:t xml:space="preserve">StringsOfSorrow</x:t>
  </x:si>
  <x:si>
    <x:t xml:space="preserve">#Sorrow #SymphonyOfLoss</x:t>
  </x:si>
  <x:si>
    <x:t xml:space="preserve">Darkness descends, engulfing the soul in the shadows of despair.</x:t>
  </x:si>
  <x:si>
    <x:t xml:space="preserve">SoulInShadow</x:t>
  </x:si>
  <x:si>
    <x:t xml:space="preserve">#Darkness #SoulEngulfed</x:t>
  </x:si>
  <x:si>
    <x:t xml:space="preserve">Desperation whispers, the silent plea for a glimmer of hope in the abyss.</x:t>
  </x:si>
  <x:si>
    <x:t xml:space="preserve">WhisperedDespair</x:t>
  </x:si>
  <x:si>
    <x:t xml:space="preserve">#Desperation #GlimmerOfHope</x:t>
  </x:si>
  <x:si>
    <x:t xml:space="preserve">Heart in ruins, the remnants of shattered dreams scattered in the wind.</x:t>
  </x:si>
  <x:si>
    <x:t xml:space="preserve">DreamsInWind</x:t>
  </x:si>
  <x:si>
    <x:t xml:space="preserve">#Ruins #ShatteredDreams</x:t>
  </x:si>
  <x:si>
    <x:t xml:space="preserve">Shattered by the echoes of a shattered dream, fragments of hope scattered.</x:t>
  </x:si>
  <x:si>
    <x:t xml:space="preserve">DreamEchoes</x:t>
  </x:si>
  <x:si>
    <x:t xml:space="preserve">#Desolation #ScatteredHope</x:t>
  </x:si>
  <x:si>
    <x:t xml:space="preserve">Avoiding the thorns of regret, walking barefoot on the path of remorse.</x:t>
  </x:si>
  <x:si>
    <x:t xml:space="preserve">RemorseWalker</x:t>
  </x:si>
  <x:si>
    <x:t xml:space="preserve">#Regret #PathOfRemorse</x:t>
  </x:si>
  <x:si>
    <x:t xml:space="preserve">In the labyrinth of grief, the walls echo with the footsteps of lost joy.</x:t>
  </x:si>
  <x:si>
    <x:t xml:space="preserve">JoyLabyrinth</x:t>
  </x:si>
  <x:si>
    <x:t xml:space="preserve">#Grief #LostJoyFootsteps</x:t>
  </x:si>
  <x:si>
    <x:t xml:space="preserve">A soul adrift in the sea of solitude, waves of loneliness crashing relentlessly.</x:t>
  </x:si>
  <x:si>
    <x:t xml:space="preserve">SolitudeSeas</x:t>
  </x:si>
  <x:si>
    <x:t xml:space="preserve">#Loneliness #CrashingWaves</x:t>
  </x:si>
  <x:si>
    <x:t xml:space="preserve">The bitterness of betrayal, a taste that lingers, staining the palate of trust.</x:t>
  </x:si>
  <x:si>
    <x:t xml:space="preserve">PalateStainer</x:t>
  </x:si>
  <x:si>
    <x:t xml:space="preserve">#Bitterness #StainedTrust</x:t>
  </x:si>
  <x:si>
    <x:t xml:space="preserve">In the ruins of hope, echoes of shattered dreams whisper tales of loss.</x:t>
  </x:si>
  <x:si>
    <x:t xml:space="preserve">HopeRuins</x:t>
  </x:si>
  <x:si>
    <x:t xml:space="preserve">#Desolation #WhisperedLoss</x:t>
  </x:si>
  <x:si>
    <x:t xml:space="preserve">Sinking like a stone in the ocean of heartbreak, each ripple a sigh of despair.</x:t>
  </x:si>
  <x:si>
    <x:t xml:space="preserve">OceanSinker</x:t>
  </x:si>
  <x:si>
    <x:t xml:space="preserve">#Heartbreak #RippleOfDespair</x:t>
  </x:si>
  <x:si>
    <x:t xml:space="preserve">Tears, the ink staining the pages of a journal, a testament to silent grief.</x:t>
  </x:si>
  <x:si>
    <x:t xml:space="preserve">InkJournalist</x:t>
  </x:si>
  <x:si>
    <x:t xml:space="preserve">#Grief #SilentTears</x:t>
  </x:si>
  <x:si>
    <x:t xml:space="preserve">In the wasteland of lost trust, the echoes of broken promises reverberate.</x:t>
  </x:si>
  <x:si>
    <x:t xml:space="preserve">TrustWasteland</x:t>
  </x:si>
  <x:si>
    <x:t xml:space="preserve">#Betrayal #ReverberatingPromises</x:t>
  </x:si>
  <x:si>
    <x:t xml:space="preserve">Avoiding the shards of shattered dreams, walking the tightrope of resilience.</x:t>
  </x:si>
  <x:si>
    <x:t xml:space="preserve">DreamTightrope</x:t>
  </x:si>
  <x:si>
    <x:t xml:space="preserve">#Resilience #TightropeWalk</x:t>
  </x:si>
  <x:si>
    <x:t xml:space="preserve">Suffocating in the silence of solitude, where echoes of laughter once thrived.</x:t>
  </x:si>
  <x:si>
    <x:t xml:space="preserve">EchoedLaughter</x:t>
  </x:si>
  <x:si>
    <x:t xml:space="preserve">#Isolation #SilentSolitude</x:t>
  </x:si>
  <x:si>
    <x:t xml:space="preserve">Haunted by the specter of lost possibilities, a ghost that refuses to fade away.</x:t>
  </x:si>
  <x:si>
    <x:t xml:space="preserve">PossibilityGhost</x:t>
  </x:si>
  <x:si>
    <x:t xml:space="preserve">#Regret #FadingPossibilities</x:t>
  </x:si>
  <x:si>
    <x:t xml:space="preserve">In the labyrinth of despair, the echoes of a broken heart reverberate endlessly.</x:t>
  </x:si>
  <x:si>
    <x:t xml:space="preserve">EndlessLabyrinth</x:t>
  </x:si>
  <x:si>
    <x:t xml:space="preserve">#Despair #EndlessReverberation</x:t>
  </x:si>
  <x:si>
    <x:t xml:space="preserve">Sinking like autumn leaves in the river of sorrow, carried away by the current.</x:t>
  </x:si>
  <x:si>
    <x:t xml:space="preserve">RiverOfSorrow</x:t>
  </x:si>
  <x:si>
    <x:t xml:space="preserve">#Sorrow #AutumnLeaves</x:t>
  </x:si>
  <x:si>
    <x:t xml:space="preserve">In the garden of broken dreams, petals fall, a silent testimony to shattered hopes.</x:t>
  </x:si>
  <x:si>
    <x:t xml:space="preserve">DreamGardener</x:t>
  </x:si>
  <x:si>
    <x:t xml:space="preserve">#Desolation #ShatteredHopes</x:t>
  </x:si>
  <x:si>
    <x:t xml:space="preserve">Tears, the currency of grief, spent in the marketplace of lost love and longing.</x:t>
  </x:si>
  <x:si>
    <x:t xml:space="preserve">CurrencyOfTears</x:t>
  </x:si>
  <x:si>
    <x:t xml:space="preserve">#Grief #LostLoveLonging</x:t>
  </x:si>
  <x:si>
    <x:t xml:space="preserve">Wandering in the maze of betrayal, the walls closing in with every wrong turn.</x:t>
  </x:si>
  <x:si>
    <x:t xml:space="preserve">MazeWanderer</x:t>
  </x:si>
  <x:si>
    <x:t xml:space="preserve">#Betrayal #ClosingWalls</x:t>
  </x:si>
  <x:si>
    <x:t xml:space="preserve">A soul weathered by the storm of heartbreak, seeking refuge in the calm after.</x:t>
  </x:si>
  <x:si>
    <x:t xml:space="preserve">StormSeeker</x:t>
  </x:si>
  <x:si>
    <x:t xml:space="preserve">#Heartbreak #CalmAfterStorm</x:t>
  </x:si>
  <x:si>
    <x:t xml:space="preserve">In the tapestry of despair, threads of hope unravel, leaving a portrait of sorrow.</x:t>
  </x:si>
  <x:si>
    <x:t xml:space="preserve">TapestrySorrow</x:t>
  </x:si>
  <x:si>
    <x:t xml:space="preserve">#Despair #UnraveledHope</x:t>
  </x:si>
  <x:si>
    <x:t xml:space="preserve">Like a withered rose in the garden of love, petals fall, a silent surrender to time.</x:t>
  </x:si>
  <x:si>
    <x:t xml:space="preserve">WitheredRose</x:t>
  </x:si>
  <x:si>
    <x:t xml:space="preserve">#Loss #SilentSurrender</x:t>
  </x:si>
  <x:si>
    <x:t xml:space="preserve">In the void of heartache, echoes of a love song play, each note a pang of longing.</x:t>
  </x:si>
  <x:si>
    <x:t xml:space="preserve">LoveSongEcho</x:t>
  </x:si>
  <x:si>
    <x:t xml:space="preserve">#Heartache #LoveSongLonging</x:t>
  </x:si>
  <x:si>
    <x:t xml:space="preserve">Nostalgia, a bittersweet dance in the moonlit ballroom of cherished memories.</x:t>
  </x:si>
  <x:si>
    <x:t xml:space="preserve">MoonlitMemories</x:t>
  </x:si>
  <x:si>
    <x:t xml:space="preserve">#Nostalgia #CherishedMemories</x:t>
  </x:si>
  <x:si>
    <x:t xml:space="preserve">In the symphony of grief, each tear is a note, composing a melancholic melody.</x:t>
  </x:si>
  <x:si>
    <x:t xml:space="preserve">SymphonyOfTears</x:t>
  </x:si>
  <x:si>
    <x:t xml:space="preserve">#Grief #MelancholicMelody</x:t>
  </x:si>
  <x:si>
    <x:t xml:space="preserve">Betrayal, a venomous serpent slithering through the garden of trust, poisoning roots.</x:t>
  </x:si>
  <x:si>
    <x:t xml:space="preserve">VenomousGarden</x:t>
  </x:si>
  <x:si>
    <x:t xml:space="preserve">#Betrayal #PoisonedTrust</x:t>
  </x:si>
  <x:si>
    <x:t xml:space="preserve">Sinking in the quicksand of despair, the harder you fight, the deeper you descend.</x:t>
  </x:si>
  <x:si>
    <x:t xml:space="preserve">QuicksandFighter</x:t>
  </x:si>
  <x:si>
    <x:t xml:space="preserve">#Despair #DeepDescent</x:t>
  </x:si>
  <x:si>
    <x:t xml:space="preserve">Wandering through the cemetery of lost dreams, tombstones marking untold sorrows.</x:t>
  </x:si>
  <x:si>
    <x:t xml:space="preserve">DreamCemetery</x:t>
  </x:si>
  <x:si>
    <x:t xml:space="preserve">#Desolation #UntoldSorrows</x:t>
  </x:si>
  <x:si>
    <x:t xml:space="preserve">Swept away by the river of regret, the currents of the past refusing to release.</x:t>
  </x:si>
  <x:si>
    <x:t xml:space="preserve">RegretRiver</x:t>
  </x:si>
  <x:si>
    <x:t xml:space="preserve">#Regret #PastCurrents</x:t>
  </x:si>
  <x:si>
    <x:t xml:space="preserve">Whispers of lost love linger in the attic of the heart, forgotten but not erased.</x:t>
  </x:si>
  <x:si>
    <x:t xml:space="preserve">HeartAttic</x:t>
  </x:si>
  <x:si>
    <x:t xml:space="preserve">#Loss #ForgottenLove</x:t>
  </x:si>
  <x:si>
    <x:t xml:space="preserve">In the gallery of broken promises, each shattered vow framed, a painful exhibition.</x:t>
  </x:si>
  <x:si>
    <x:t xml:space="preserve">PromiseGallery</x:t>
  </x:si>
  <x:si>
    <x:t xml:space="preserve">#Betrayal #ShatteredVows</x:t>
  </x:si>
  <x:si>
    <x:t xml:space="preserve">The echoes of solitude, a silent conversation between a soul and its shadows.</x:t>
  </x:si>
  <x:si>
    <x:t xml:space="preserve">EchoedConversation</x:t>
  </x:si>
  <x:si>
    <x:t xml:space="preserve">#Solitude #ShadowConversation</x:t>
  </x:si>
  <x:si>
    <x:t xml:space="preserve">Dancing on sunshine, each step a celebration of the joy found in simple moments.</x:t>
  </x:si>
  <x:si>
    <x:t xml:space="preserve">SunshineDancer</x:t>
  </x:si>
  <x:si>
    <x:t xml:space="preserve">#Joy #SimpleMoments</x:t>
  </x:si>
  <x:si>
    <x:t xml:space="preserve">Laughter echoes in the air, a chorus of happiness that lifts the spirit higher.</x:t>
  </x:si>
  <x:si>
    <x:t xml:space="preserve">#Happiness #SpiritLifter</x:t>
  </x:si>
  <x:si>
    <x:t xml:space="preserve">In the garden of contentment, each bloom whispers tales of inner peace and joy.</x:t>
  </x:si>
  <x:si>
    <x:t xml:space="preserve">GardenOfJoy</x:t>
  </x:si>
  <x:si>
    <x:t xml:space="preserve">#Contentment #InnerPeace</x:t>
  </x:si>
  <x:si>
    <x:t xml:space="preserve">Chasing dreams under the vibrant sky, a journey fueled by hope and enthusiasm.</x:t>
  </x:si>
  <x:si>
    <x:t xml:space="preserve">#Enthusiasm #HopefulJourney</x:t>
  </x:si>
  <x:si>
    <x:t xml:space="preserve">Serenading the stars with a heart full of gratitude, a melody of thankfulness.</x:t>
  </x:si>
  <x:si>
    <x:t xml:space="preserve">StarSerenader</x:t>
  </x:si>
  <x:si>
    <x:t xml:space="preserve">#Gratitude #ThankfulMelody</x:t>
  </x:si>
  <x:si>
    <x:t xml:space="preserve">Basking in the glow of accomplishment, each milestone a stepping stone to happiness.</x:t>
  </x:si>
  <x:si>
    <x:t xml:space="preserve">GlowAchiever</x:t>
  </x:si>
  <x:si>
    <x:t xml:space="preserve">#Accomplishment #HappinessMilestone</x:t>
  </x:si>
  <x:si>
    <x:t xml:space="preserve">In the dance of positivity, every step is a rhythm, uplifting the soul in harmony.</x:t>
  </x:si>
  <x:si>
    <x:t xml:space="preserve">DanceHarmony</x:t>
  </x:si>
  <x:si>
    <x:t xml:space="preserve">#Positivity #SoulUpliftment</x:t>
  </x:si>
  <x:si>
    <x:t xml:space="preserve">Overflowing with joy, a cup of laughter shared with friends, a moment cherished.</x:t>
  </x:si>
  <x:si>
    <x:t xml:space="preserve">LaughterCup</x:t>
  </x:si>
  <x:si>
    <x:t xml:space="preserve">#Joy #CherishedMoment</x:t>
  </x:si>
  <x:si>
    <x:t xml:space="preserve">Draped in the warmth of kindness, a quilt of compassion stitched with love.</x:t>
  </x:si>
  <x:si>
    <x:t xml:space="preserve">QuiltedCompassion</x:t>
  </x:si>
  <x:si>
    <x:t xml:space="preserve">#Kindness #LoveStitches</x:t>
  </x:si>
  <x:si>
    <x:t xml:space="preserve">In the garden of friendships, each bloom a testament to the beauty of camaraderie.</x:t>
  </x:si>
  <x:si>
    <x:t xml:space="preserve">FriendshipGarden</x:t>
  </x:si>
  <x:si>
    <x:t xml:space="preserve">#Friendship #CamaraderieBlooms</x:t>
  </x:si>
  <x:si>
    <x:t xml:space="preserve">In the embrace of love, each heartbeat is a melody, dancing to the rhythm of affection.</x:t>
  </x:si>
  <x:si>
    <x:t xml:space="preserve">MelodyOfLove</x:t>
  </x:si>
  <x:si>
    <x:t xml:space="preserve">#Love #RhythmOfAffection</x:t>
  </x:si>
  <x:si>
    <x:t xml:space="preserve">Surrounded by the colors of joy, a canvas painted with laughter and endless smiles.</x:t>
  </x:si>
  <x:si>
    <x:t xml:space="preserve">ColorfulLaughter</x:t>
  </x:si>
  <x:si>
    <x:t xml:space="preserve">#Joy #EndlessSmiles</x:t>
  </x:si>
  <x:si>
    <x:t xml:space="preserve">In the symphony of excitement, each note is a burst of energy, igniting the soul with fervor.</x:t>
  </x:si>
  <x:si>
    <x:t xml:space="preserve">SymphonyFervor</x:t>
  </x:si>
  <x:si>
    <x:t xml:space="preserve">#Excitement #IgnitedSoul</x:t>
  </x:si>
  <x:si>
    <x:t xml:space="preserve">A surprise gift, wrapped in anticipation, unfolds a moment of delight and wonder.</x:t>
  </x:si>
  <x:si>
    <x:t xml:space="preserve">WrappedDelight</x:t>
  </x:si>
  <x:si>
    <x:t xml:space="preserve">#Surprise #WonderfulMoment</x:t>
  </x:si>
  <x:si>
    <x:t xml:space="preserve">Lost in the maze of curiosity, each twist and turn unveils the treasures of discovery.</x:t>
  </x:si>
  <x:si>
    <x:t xml:space="preserve">MazeDiscovery</x:t>
  </x:si>
  <x:si>
    <x:t xml:space="preserve">#Curiosity #TreasuresOfDiscovery</x:t>
  </x:si>
  <x:si>
    <x:t xml:space="preserve">Floating on clouds of gratitude, each raindrop a blessing, a shower of thankfulness.</x:t>
  </x:si>
  <x:si>
    <x:t xml:space="preserve">CloudsOfBlessings</x:t>
  </x:si>
  <x:si>
    <x:t xml:space="preserve">#Gratitude #ShowerOfThankfulness</x:t>
  </x:si>
  <x:si>
    <x:t xml:space="preserve">Like a comet of inspiration, streaking through the sky of creativity, leaving trails of brilliance.</x:t>
  </x:si>
  <x:si>
    <x:t xml:space="preserve">CometCreativity</x:t>
  </x:si>
  <x:si>
    <x:t xml:space="preserve">#Inspiration #BrilliantTrails</x:t>
  </x:si>
  <x:si>
    <x:t xml:space="preserve">In the celebration of success, fireworks of accomplishment light up the night sky of triumph.</x:t>
  </x:si>
  <x:si>
    <x:t xml:space="preserve">FireworksTriumph</x:t>
  </x:si>
  <x:si>
    <x:t xml:space="preserve">#Success #NightSkyTriumph</x:t>
  </x:si>
  <x:si>
    <x:t xml:space="preserve">A symphony of laughter, each note a key to unlocking the door of boundless happiness.</x:t>
  </x:si>
  <x:si>
    <x:t xml:space="preserve">LaughterSymphony</x:t>
  </x:si>
  <x:si>
    <x:t xml:space="preserve">#Happiness #BoundlessLaughter</x:t>
  </x:si>
  <x:si>
    <x:t xml:space="preserve">In the carnival of emotions, the rollercoaster of thrill sends the heart on a wild ride.</x:t>
  </x:si>
  <x:si>
    <x:t xml:space="preserve">EmotionCarnival</x:t>
  </x:si>
  <x:si>
    <x:t xml:space="preserve">#Thrill #WildHeartRide</x:t>
  </x:si>
  <x:si>
    <x:t xml:space="preserve">Standing before the grandeur of the Eiffel Tower, a moment to reflect on the beauty of Parisian dreams.</x:t>
  </x:si>
  <x:si>
    <x:t xml:space="preserve">ParisDreamer</x:t>
  </x:si>
  <x:si>
    <x:t xml:space="preserve">#Reflection #ParisianDreams</x:t>
  </x:si>
  <x:si>
    <x:t xml:space="preserve">Lost in the enchantment of Disneyland, each ride a journey into the realm of childhood fantasies.</x:t>
  </x:si>
  <x:si>
    <x:t xml:space="preserve">DisneylandExplorer</x:t>
  </x:si>
  <x:si>
    <x:t xml:space="preserve">#Enchantment #ChildhoodFantasies</x:t>
  </x:si>
  <x:si>
    <x:t xml:space="preserve">Exploring the wonders of Ferrari World, the roar of engines creating a symphony of speed.</x:t>
  </x:si>
  <x:si>
    <x:t xml:space="preserve">FerrariSpeedster</x:t>
  </x:si>
  <x:si>
    <x:t xml:space="preserve">#Excitement #SymphonyOfSpeed</x:t>
  </x:si>
  <x:si>
    <x:t xml:space="preserve">Amidst the tulip fields of Keukenhof, a tapestry of colors that paints the soul with springtime joy.</x:t>
  </x:si>
  <x:si>
    <x:t xml:space="preserve">KeukenhofAdventurer</x:t>
  </x:si>
  <x:si>
    <x:t xml:space="preserve">#Joy #SpringtimeColors</x:t>
  </x:si>
  <x:si>
    <x:t xml:space="preserve">Wandering through the historical streets of Kyoto, each step a journey into the heart of Japan's traditions.</x:t>
  </x:si>
  <x:si>
    <x:t xml:space="preserve">KyotoAdventurer</x:t>
  </x:si>
  <x:si>
    <x:t xml:space="preserve">#Exploration #JapaneseTraditions</x:t>
  </x:si>
  <x:si>
    <x:t xml:space="preserve">In the embrace of the Grand Canyon, nature's masterpiece, a moment to marvel at Earth's grandeur.</x:t>
  </x:si>
  <x:si>
    <x:t xml:space="preserve">CanyonMarveler</x:t>
  </x:si>
  <x:si>
    <x:t xml:space="preserve">#Awe #EarthsGrandeur</x:t>
  </x:si>
  <x:si>
    <x:t xml:space="preserve">Journeying through the serenity of Santorini, where each sunset paints the sky with hues of tranquility.</x:t>
  </x:si>
  <x:si>
    <x:t xml:space="preserve">SantoriniTraveler</x:t>
  </x:si>
  <x:si>
    <x:t xml:space="preserve">#Serenity #SunsetHues</x:t>
  </x:si>
  <x:si>
    <x:t xml:space="preserve">Amazed by the architectural marvels of Petra, each stone telling tales of an ancient civilization.</x:t>
  </x:si>
  <x:si>
    <x:t xml:space="preserve">PetraExplorer</x:t>
  </x:si>
  <x:si>
    <x:t xml:space="preserve">#Amazement #AncientTales</x:t>
  </x:si>
  <x:si>
    <x:t xml:space="preserve">Jordan</x:t>
  </x:si>
  <x:si>
    <x:t xml:space="preserve">Embarking on a gondola ride in Venice, each canal reflecting the romance of this timeless city.</x:t>
  </x:si>
  <x:si>
    <x:t xml:space="preserve">VeniceRomantic</x:t>
  </x:si>
  <x:si>
    <x:t xml:space="preserve">#Romance #TimelessCity</x:t>
  </x:si>
  <x:si>
    <x:t xml:space="preserve">At the summit of Machu Picchu, a breathtaking panorama that whispers the secrets of ancient civilizations.</x:t>
  </x:si>
  <x:si>
    <x:t xml:space="preserve">MachuPicchuAdventurer</x:t>
  </x:si>
  <x:si>
    <x:t xml:space="preserve">#Awe #AncientCivilizations</x:t>
  </x:si>
  <x:si>
    <x:t xml:space="preserve">Peru</x:t>
  </x:si>
  <x:si>
    <x:t xml:space="preserve">In the heart of New York City, Times Square dazzles with lights, a vibrant spectacle of urban energy.</x:t>
  </x:si>
  <x:si>
    <x:t xml:space="preserve">TimesSquareExplorer</x:t>
  </x:si>
  <x:si>
    <x:t xml:space="preserve">#Excitement #UrbanEnergy</x:t>
  </x:si>
  <x:si>
    <x:t xml:space="preserve">Captivated by the historical charm of the Colosseum, each stone echoing tales of gladiator valor.</x:t>
  </x:si>
  <x:si>
    <x:t xml:space="preserve">ColosseumAdventurer</x:t>
  </x:si>
  <x:si>
    <x:t xml:space="preserve">#Captivation #GladiatorTales</x:t>
  </x:si>
  <x:si>
    <x:t xml:space="preserve">Sailing the azure waters of the Maldives, each wave a whisper of serenity in paradise.</x:t>
  </x:si>
  <x:si>
    <x:t xml:space="preserve">MaldivesSailor</x:t>
  </x:si>
  <x:si>
    <x:t xml:space="preserve">#Serenity #ParadiseWhispers</x:t>
  </x:si>
  <x:si>
    <x:t xml:space="preserve">Maldives</x:t>
  </x:si>
  <x:si>
    <x:t xml:space="preserve">In the midst of the Amazon rainforest, a symphony of wildlife creates an orchestra of nature's wonders.</x:t>
  </x:si>
  <x:si>
    <x:t xml:space="preserve">AmazonExplorer</x:t>
  </x:si>
  <x:si>
    <x:t xml:space="preserve">#Wonder #NatureOrchestra</x:t>
  </x:si>
  <x:si>
    <x:t xml:space="preserve">Walking the Great Wall of China, each step a testament to ancient engineering marvels.</x:t>
  </x:si>
  <x:si>
    <x:t xml:space="preserve">GreatWallWalker</x:t>
  </x:si>
  <x:si>
    <x:t xml:space="preserve">#Awe #EngineeringMarvels</x:t>
  </x:si>
  <x:si>
    <x:t xml:space="preserve">China</x:t>
  </x:si>
  <x:si>
    <x:t xml:space="preserve">At the summit of Mount Fuji, a breathtaking sunrise that paints the sky with hues of accomplishment.</x:t>
  </x:si>
  <x:si>
    <x:t xml:space="preserve">FujiSummitAchiever</x:t>
  </x:si>
  <x:si>
    <x:t xml:space="preserve">#Accomplishment #SunriseHues</x:t>
  </x:si>
  <x:si>
    <x:t xml:space="preserve">Exploring the ancient ruins of Angkor Wat, each stone whispering stories of Khmer civilization.</x:t>
  </x:si>
  <x:si>
    <x:t xml:space="preserve">AngkorWatAdventurer</x:t>
  </x:si>
  <x:si>
    <x:t xml:space="preserve">#Exploration #KhmerStories</x:t>
  </x:si>
  <x:si>
    <x:t xml:space="preserve">Cambodia</x:t>
  </x:si>
  <x:si>
    <x:t xml:space="preserve">Skiing down the slopes of the Swiss Alps, each turn a dance with the majesty of snow-capped peaks.</x:t>
  </x:si>
  <x:si>
    <x:t xml:space="preserve">AlpsSkiAdventurer</x:t>
  </x:si>
  <x:si>
    <x:t xml:space="preserve">#Adventure #SnowPeakDance</x:t>
  </x:si>
  <x:si>
    <x:t xml:space="preserve">In the tranquility of Kyoto's bamboo forest, whispers of ancient Zen wisdom echo through the groves.</x:t>
  </x:si>
  <x:si>
    <x:t xml:space="preserve">KyotoBambooSeeker</x:t>
  </x:si>
  <x:si>
    <x:t xml:space="preserve">#Tranquility #ZenWisdom</x:t>
  </x:si>
  <x:si>
    <x:t xml:space="preserve">Cruising the fjords of Norway, each icy landscape a breathtaking masterpiece of nature's grandeur.</x:t>
  </x:si>
  <x:si>
    <x:t xml:space="preserve">NorwayFjordExplorer</x:t>
  </x:si>
  <x:si>
    <x:t xml:space="preserve">#Grandeur #IcyMasterpiece</x:t>
  </x:si>
  <x:si>
    <x:t xml:space="preserve">Norway</x:t>
  </x:si>
  <x:si>
    <x:t xml:space="preserve">At the front row of Adele's concert, each note of 'Someone Like You' resonates with soul-stirring emotion.</x:t>
  </x:si>
  <x:si>
    <x:t xml:space="preserve">AdeleConcertGoer</x:t>
  </x:si>
  <x:si>
    <x:t xml:space="preserve">#Emotion #AdeleConcert</x:t>
  </x:si>
  <x:si>
    <x:t xml:space="preserve">Dancing under the stars at Beyoncé's live show, feeling the power of 'Single Ladies' in every move.</x:t>
  </x:si>
  <x:si>
    <x:t xml:space="preserve">BeyonceDancer</x:t>
  </x:si>
  <x:si>
    <x:t xml:space="preserve">#Energy #BeyonceConcert</x:t>
  </x:si>
  <x:si>
    <x:t xml:space="preserve">In the crowd of a Taylor Swift concert, the lyrics of 'Love Story' create an enchanting fairy tale.</x:t>
  </x:si>
  <x:si>
    <x:t xml:space="preserve">SwiftieDreamer</x:t>
  </x:si>
  <x:si>
    <x:t xml:space="preserve">#Enchantment #TaylorSwift</x:t>
  </x:si>
  <x:si>
    <x:t xml:space="preserve">Rocking out to the guitar solos at a Queen tribute concert, a journey back in time with Freddie's spirit.</x:t>
  </x:si>
  <x:si>
    <x:t xml:space="preserve">QueenTributeFan</x:t>
  </x:si>
  <x:si>
    <x:t xml:space="preserve">#Nostalgia #QueenTribute</x:t>
  </x:si>
  <x:si>
    <x:t xml:space="preserve">Swaying to Ed Sheeran's acoustic melodies, a serene evening filled with 'Perfect' moments.</x:t>
  </x:si>
  <x:si>
    <x:t xml:space="preserve">SheeranMelodyLover</x:t>
  </x:si>
  <x:si>
    <x:t xml:space="preserve">#Serenity #EdSheeranConcert</x:t>
  </x:si>
  <x:si>
    <x:t xml:space="preserve">Immersed in the pulsating beats of a Bruno Mars concert, where 'Uptown Funk' becomes a city of joy.</x:t>
  </x:si>
  <x:si>
    <x:t xml:space="preserve">MarsJoyExplorer</x:t>
  </x:si>
  <x:si>
    <x:t xml:space="preserve">#Joy #BrunoMars</x:t>
  </x:si>
  <x:si>
    <x:t xml:space="preserve">At a Michael Jackson tribute show, moonwalking through the hits, a celebration of the King of Pop.</x:t>
  </x:si>
  <x:si>
    <x:t xml:space="preserve">MJTributeDancer</x:t>
  </x:si>
  <x:si>
    <x:t xml:space="preserve">#Celebration #MJTribute</x:t>
  </x:si>
  <x:si>
    <x:t xml:space="preserve">Swinging to the rhythms of a Frank Sinatra tribute, feeling the timeless charm of 'Fly Me to the Moon'.</x:t>
  </x:si>
  <x:si>
    <x:t xml:space="preserve">SinatraCharmListener</x:t>
  </x:si>
  <x:si>
    <x:t xml:space="preserve">#Charm #SinatraTribute</x:t>
  </x:si>
  <x:si>
    <x:t xml:space="preserve">In the mosh pit of a Metallica concert, the thunderous chords create a symphony of headbanging ecstasy.</x:t>
  </x:si>
  <x:si>
    <x:t xml:space="preserve">MetallicaMoshWarrior</x:t>
  </x:si>
  <x:si>
    <x:t xml:space="preserve">#Ecstasy #MetallicaConcert</x:t>
  </x:si>
  <x:si>
    <x:t xml:space="preserve">Experiencing the magic of a Coldplay concert, where 'Fix You' becomes a beacon of hope in the night.</x:t>
  </x:si>
  <x:si>
    <x:t xml:space="preserve">ColdplayHopeSeeker</x:t>
  </x:si>
  <x:si>
    <x:t xml:space="preserve">#Hope #ColdplayMagic</x:t>
  </x:si>
  <x:si>
    <x:t xml:space="preserve">At a Justin Bieber concert, the infectious beats of 'Baby' create a dance floor of unbridled enthusiasm.</x:t>
  </x:si>
  <x:si>
    <x:t xml:space="preserve">BieberDanceEnthusiast</x:t>
  </x:si>
  <x:si>
    <x:t xml:space="preserve">#Enthusiasm #JustinBieber</x:t>
  </x:si>
  <x:si>
    <x:t xml:space="preserve">In the spotlight at a Lady Gaga show, each costume change is a metamorphosis of creativity and artistry.</x:t>
  </x:si>
  <x:si>
    <x:t xml:space="preserve">GagaArtisticChameleon</x:t>
  </x:si>
  <x:si>
    <x:t xml:space="preserve">#Creativity #LadyGaga</x:t>
  </x:si>
  <x:si>
    <x:t xml:space="preserve">Immersed in the soulful melodies of Adele, tears flow freely, moved by the emotion of 'Hello'.</x:t>
  </x:si>
  <x:si>
    <x:t xml:space="preserve">AdeleMelodyTearjerker</x:t>
  </x:si>
  <x:si>
    <x:t xml:space="preserve">#Emotion #AdeleMelodies</x:t>
  </x:si>
  <x:si>
    <x:t xml:space="preserve">Drenched in confetti at a Katy Perry concert, a kaleidoscope of colors igniting the night sky.</x:t>
  </x:si>
  <x:si>
    <x:t xml:space="preserve">KatyPerryColorExplosion</x:t>
  </x:si>
  <x:si>
    <x:t xml:space="preserve">#Colorful #KatyPerry</x:t>
  </x:si>
  <x:si>
    <x:t xml:space="preserve">In the audience of a Jay-Z performance, the lyrics of 'Empire State of Mind' become an anthem of pride.</x:t>
  </x:si>
  <x:si>
    <x:t xml:space="preserve">JayZEmpireListener</x:t>
  </x:si>
  <x:si>
    <x:t xml:space="preserve">#Pride #JayZAnthem</x:t>
  </x:si>
  <x:si>
    <x:t xml:space="preserve">Dancing to Shakira's rhythmic beats, hips swaying to the hypnotic charm of 'Hips Don't Lie'.</x:t>
  </x:si>
  <x:si>
    <x:t xml:space="preserve">ShakiraHipsDancer</x:t>
  </x:si>
  <x:si>
    <x:t xml:space="preserve">#Hypnotic #ShakiraRhythms</x:t>
  </x:si>
  <x:si>
    <x:t xml:space="preserve">Colombia</x:t>
  </x:si>
  <x:si>
    <x:t xml:space="preserve">At a U2 concert, the anthemic chords of 'With or Without You' create a timeless moment of connection.</x:t>
  </x:si>
  <x:si>
    <x:t xml:space="preserve">U2ConnectionSeeker</x:t>
  </x:si>
  <x:si>
    <x:t xml:space="preserve">#Connection #U2Anthem</x:t>
  </x:si>
  <x:si>
    <x:t xml:space="preserve">Ireland</x:t>
  </x:si>
  <x:si>
    <x:t xml:space="preserve">Rocking out at a Guns N' Roses show, the iconic riffs of 'Sweet Child o' Mine' echoing in the night.</x:t>
  </x:si>
  <x:si>
    <x:t xml:space="preserve">GunsNRosesRiffRockstar</x:t>
  </x:si>
  <x:si>
    <x:t xml:space="preserve">#Iconic #GNRConcert</x:t>
  </x:si>
  <x:si>
    <x:t xml:space="preserve">In the crowd of an Ariana Grande concert, the high notes of 'Into You' create a euphoric symphony.</x:t>
  </x:si>
  <x:si>
    <x:t xml:space="preserve">ArianaEuphoriaChaser</x:t>
  </x:si>
  <x:si>
    <x:t xml:space="preserve">#Euphoria #ArianaGrande</x:t>
  </x:si>
  <x:si>
    <x:t xml:space="preserve">Swaying to the reggae vibes of Bob Marley's tribute concert, each chord a journey to Jamaica's soul.</x:t>
  </x:si>
  <x:si>
    <x:t xml:space="preserve">MarleyReggaeTraveler</x:t>
  </x:si>
  <x:si>
    <x:t xml:space="preserve">#Journey #BobMarleyTribute</x:t>
  </x:si>
  <x:si>
    <x:t xml:space="preserve">Jamaica</x:t>
  </x:si>
  <x:si>
    <x:t xml:space="preserve">Captivated by the spellbinding plot twists, the audience applauds, experiencing a rollercoaster of emotions at the movie premiere.</x:t>
  </x:si>
  <x:si>
    <x:t xml:space="preserve">MovieEnthusiastPremiereAttendee</x:t>
  </x:si>
  <x:si>
    <x:t xml:space="preserve">#Excitement #MoviePremiereThrills</x:t>
  </x:si>
  <x:si>
    <x:t xml:space="preserve">As the credits roll, a profound sense of nostalgia washes over, reminiscent of cherished moments in classic films.</x:t>
  </x:si>
  <x:si>
    <x:t xml:space="preserve">FilmLoverNostalgiaSeeker</x:t>
  </x:si>
  <x:si>
    <x:t xml:space="preserve">#Nostalgia #ClassicFilmMoments</x:t>
  </x:si>
  <x:si>
    <x:t xml:space="preserve">Streaming the latest web series, the viewer is engrossed in the characters' journey, feeling a sense of connection and empathy.</x:t>
  </x:si>
  <x:si>
    <x:t xml:space="preserve">WebSeriesViewerCharacterConnection</x:t>
  </x:si>
  <x:si>
    <x:t xml:space="preserve">#Engagement #WebSeriesJourney</x:t>
  </x:si>
  <x:si>
    <x:t xml:space="preserve">At the film festival, the indie filmmaker's creation receives a standing ovation, evoking pride and a sense of accomplishment.</x:t>
  </x:si>
  <x:si>
    <x:t xml:space="preserve">IndieFilmmakerFestivalSuccess</x:t>
  </x:si>
  <x:si>
    <x:t xml:space="preserve">#Pride #IndieFilmSuccess</x:t>
  </x:si>
  <x:si>
    <x:t xml:space="preserve">Watching a heartwarming family drama, tears flow freely as the characters overcome challenges, leaving the viewer with a warm glow.</x:t>
  </x:si>
  <x:si>
    <x:t xml:space="preserve">DramaEnthusiastHeartwarmingMoments</x:t>
  </x:si>
  <x:si>
    <x:t xml:space="preserve">#Touched #FamilyDramaMoments</x:t>
  </x:si>
  <x:si>
    <x:t xml:space="preserve">At the Oscars, the actor graciously accepts an award, radiating joy and gratitude for the recognition of their outstanding performance.</x:t>
  </x:si>
  <x:si>
    <x:t xml:space="preserve">AwardWinningActorOscarsRecipient</x:t>
  </x:si>
  <x:si>
    <x:t xml:space="preserve">#Gratitude #OscarWinningMoment</x:t>
  </x:si>
  <x:si>
    <x:t xml:space="preserve">Discovering a hidden gem in the world of documentaries, the viewer is enlightened and inspired, feeling a renewed sense of curiosity.</x:t>
  </x:si>
  <x:si>
    <x:t xml:space="preserve">DocumentaryEnthusiastHiddenGemFinder</x:t>
  </x:si>
  <x:si>
    <x:t xml:space="preserve">#Inspiration #HiddenGemDiscovery</x:t>
  </x:si>
  <x:si>
    <x:t xml:space="preserve">As the movie credits roll, the viewer experiences a mix of awe and contemplation, pondering the deeper meanings woven into the storyline.</x:t>
  </x:si>
  <x:si>
    <x:t xml:space="preserve">FilmBuffContemplativeViewer</x:t>
  </x:si>
  <x:si>
    <x:t xml:space="preserve">#Contemplation #DeepMeanings</x:t>
  </x:si>
  <x:si>
    <x:t xml:space="preserve">Binge-watching a thrilling crime series, the suspense keeps the viewer on the edge of their seat, creating a rush of adrenaline.</x:t>
  </x:si>
  <x:si>
    <x:t xml:space="preserve">CrimeSeriesEnthusiastThrillSeeker</x:t>
  </x:si>
  <x:si>
    <x:t xml:space="preserve">#Suspense #CrimeSeriesThrills</x:t>
  </x:si>
  <x:si>
    <x:t xml:space="preserve">As the closing scene unfolds, a sense of satisfaction washes over, completing the cinematic journey with a profound and fulfilling ending.</x:t>
  </x:si>
  <x:si>
    <x:t xml:space="preserve">FilmCriticSatisfactionSeeker</x:t>
  </x:si>
  <x:si>
    <x:t xml:space="preserve">#Satisfaction #FulfillingEnding</x:t>
  </x:si>
  <x:si>
    <x:t xml:space="preserve">Celebrating a historic victory in the World Cup, the nation erupts in joy, united by the triumph of their football team.</x:t>
  </x:si>
  <x:si>
    <x:t xml:space="preserve">FootballFanWorldCupCelebration</x:t>
  </x:si>
  <x:si>
    <x:t xml:space="preserve">#Joy #WorldCupTriumph</x:t>
  </x:si>
  <x:si>
    <x:t xml:space="preserve">At the Olympics, the athlete's perseverance shines through, earning a gold medal and inspiring a generation with their remarkable achievement.</x:t>
  </x:si>
  <x:si>
    <x:t xml:space="preserve">OlympicsEnthusiastGoldMedalWinner</x:t>
  </x:si>
  <x:si>
    <x:t xml:space="preserve">#Inspiration #OlympicAchievement</x:t>
  </x:si>
  <x:si>
    <x:t xml:space="preserve">In the cricket championship, a nail-biting finish leaves fans on the edge of their seats, experiencing a rollercoaster of emotions.</x:t>
  </x:si>
  <x:si>
    <x:t xml:space="preserve">CricketFanChampionshipThrills</x:t>
  </x:si>
  <x:si>
    <x:t xml:space="preserve">#Excitement #CricketChampionship</x:t>
  </x:si>
  <x:si>
    <x:t xml:space="preserve">Witnessing a record-breaking marathon, spectators are filled with awe and admiration for the endurance and dedication of the runners.</x:t>
  </x:si>
  <x:si>
    <x:t xml:space="preserve">MarathonSpectatorRecordBreaking</x:t>
  </x:si>
  <x:si>
    <x:t xml:space="preserve">#Admiration #MarathonRecords</x:t>
  </x:si>
  <x:si>
    <x:t xml:space="preserve">Kenya</x:t>
  </x:si>
  <x:si>
    <x:t xml:space="preserve">In the tennis grand slam, a fierce rivalry unfolds, captivating fans with a display of skill and sportsmanship on the world stage.</x:t>
  </x:si>
  <x:si>
    <x:t xml:space="preserve">TennisEnthusiastGrandSlamDrama</x:t>
  </x:si>
  <x:si>
    <x:t xml:space="preserve">#Captivation #TennisRivalry</x:t>
  </x:si>
  <x:si>
    <x:t xml:space="preserve">Cheering for the underdog in the basketball finals, the crowd erupts in applause as the team defies odds to claim the championship title.</x:t>
  </x:si>
  <x:si>
    <x:t xml:space="preserve">BasketballFanUnderdogTriumph</x:t>
  </x:si>
  <x:si>
    <x:t xml:space="preserve">#Triumph #BasketballFinals</x:t>
  </x:si>
  <x:si>
    <x:t xml:space="preserve">At the golf tournament, the golfer's precision and focus lead to a stunning victory, leaving spectators in awe of their exceptional skill.</x:t>
  </x:si>
  <x:si>
    <x:t xml:space="preserve">GolfEnthusiastPrecisionVictory</x:t>
  </x:si>
  <x:si>
    <x:t xml:space="preserve">#Awe #GolfVictory</x:t>
  </x:si>
  <x:si>
    <x:t xml:space="preserve">Scotland</x:t>
  </x:si>
  <x:si>
    <x:t xml:space="preserve">Experiencing the thrill of a high-speed Formula 1 race, fans are on the edge of their seats as drivers compete for the championship.</x:t>
  </x:si>
  <x:si>
    <x:t xml:space="preserve">F1FanHighSpeedRaceExcitement</x:t>
  </x:si>
  <x:si>
    <x:t xml:space="preserve">#Thrill #Formula1Championship</x:t>
  </x:si>
  <x:si>
    <x:t xml:space="preserve">In the cycling world championship, the climber conquers challenging terrains, symbolizing determination and achievement against all odds.</x:t>
  </x:si>
  <x:si>
    <x:t xml:space="preserve">CyclingEnthusiastWorldChampion</x:t>
  </x:si>
  <x:si>
    <x:t xml:space="preserve">#Determination #CyclingChampion</x:t>
  </x:si>
  <x:si>
    <x:t xml:space="preserve">Witnessing a heartwarming comeback in the hockey finals, fans share tears of joy as the team secures a historic victory after adversity.</x:t>
  </x:si>
  <x:si>
    <x:t xml:space="preserve">HockeyFanComebackVictory</x:t>
  </x:si>
  <x:si>
    <x:t xml:space="preserve">#Heartwarming #HockeyFinalsComeback</x:t>
  </x:si>
  <x:si>
    <x:t xml:space="preserve">After a series of defeats, the soccer team faces disappointment, struggling to find the silver lining in a challenging season.</x:t>
  </x:si>
  <x:si>
    <x:t xml:space="preserve">SoccerFanTeamDefeats</x:t>
  </x:si>
  <x:si>
    <x:t xml:space="preserve">#Disappointment #SoccerDefeats</x:t>
  </x:si>
  <x:si>
    <x:t xml:space="preserve">In the tennis tournament, a highly anticipated player experiences a setback, leaving fans in shock and questioning the unforeseen turn of events.</x:t>
  </x:si>
  <x:si>
    <x:t xml:space="preserve">TennisEnthusiastUnexpectedSetback</x:t>
  </x:si>
  <x:si>
    <x:t xml:space="preserve">#Frustration #TennisSetback</x:t>
  </x:si>
  <x:si>
    <x:t xml:space="preserve">Facing a defeat in the championship, the boxer reflects on the challenges, vowing to return stronger and more determined in the next bout.</x:t>
  </x:si>
  <x:si>
    <x:t xml:space="preserve">BoxingFanChampionshipDefeat</x:t>
  </x:si>
  <x:si>
    <x:t xml:space="preserve">#Reflection #BoxingDefeat</x:t>
  </x:si>
  <x:si>
    <x:t xml:space="preserve">In the midst of a cycling race, a tire blowout leads to frustration for the cyclist, who valiantly tries to overcome the unexpected obstacle.</x:t>
  </x:si>
  <x:si>
    <x:t xml:space="preserve">CyclingEnthusiastTireBlowout</x:t>
  </x:si>
  <x:si>
    <x:t xml:space="preserve">#Obstacle #CyclingFrustration</x:t>
  </x:si>
  <x:si>
    <x:t xml:space="preserve">The gymnast's unexpected fall during a routine sparks a wave of sympathy from the audience, highlighting the vulnerability of sports.</x:t>
  </x:si>
  <x:si>
    <x:t xml:space="preserve">GymnasticsFanRoutineFall</x:t>
  </x:si>
  <x:si>
    <x:t xml:space="preserve">#Sympathy #GymnasticsFall</x:t>
  </x:si>
  <x:si>
    <x:t xml:space="preserve">In the golf tournament, a missed crucial putt results in defeat, causing the golfer to reflect on the pressure of high-stakes competition.</x:t>
  </x:si>
  <x:si>
    <x:t xml:space="preserve">GolfEnthusiastMissedPutt</x:t>
  </x:si>
  <x:si>
    <x:t xml:space="preserve">#Pressure #GolfDefeat</x:t>
  </x:si>
  <x:si>
    <x:t xml:space="preserve">Experiencing a series of losses in the basketball season, the team grapples with frustration, determined to turn the tide with renewed effort.</x:t>
  </x:si>
  <x:si>
    <x:t xml:space="preserve">BasketballFanTeamLosses</x:t>
  </x:si>
  <x:si>
    <x:t xml:space="preserve">#RenewedEffort #BasketballStruggles</x:t>
  </x:si>
  <x:si>
    <x:t xml:space="preserve">Despite meticulous training, the swimmer faces disappointment as a split-second miscalculation costs them the lead in a crucial race.</x:t>
  </x:si>
  <x:si>
    <x:t xml:space="preserve">SwimmingEnthusiastRaceSetback</x:t>
  </x:si>
  <x:si>
    <x:t xml:space="preserve">#Miscalculation #SwimmingDisappointment</x:t>
  </x:si>
  <x:si>
    <x:t xml:space="preserve">The weightlifter's failed attempt at a personal record results in frustration, highlighting the challenging nature of pushing physical limits.</x:t>
  </x:si>
  <x:si>
    <x:t xml:space="preserve">WeightliftingFanFailedRecord</x:t>
  </x:si>
  <x:si>
    <x:t xml:space="preserve">#Challenge #WeightliftingFailure</x:t>
  </x:si>
  <x:si>
    <x:t xml:space="preserve">In the midst of a soccer match, an unexpected own goal creates a moment of despair for the player, as teammates console and encourage them.</x:t>
  </x:si>
  <x:si>
    <x:t xml:space="preserve">SoccerPlayerOwnGoalMoment</x:t>
  </x:si>
  <x:si>
    <x:t xml:space="preserve">#Despair #OwnGoal</x:t>
  </x:si>
  <x:si>
    <x:t xml:space="preserve">In the serene beauty of a sunset, nature unfolds a canvas of colors, evoking a sense of tranquility and wonder.</x:t>
  </x:si>
  <x:si>
    <x:t xml:space="preserve">NatureEnthusiastSunsetWonder</x:t>
  </x:si>
  <x:si>
    <x:t xml:space="preserve">#Tranquility #SunsetBeauty</x:t>
  </x:si>
  <x:si>
    <x:t xml:space="preserve">Embarking on a spontaneous road trip, the traveler discovers hidden gems, creating memories that will be cherished for a lifetime.</x:t>
  </x:si>
  <x:si>
    <x:t xml:space="preserve">TravelEnthusiastRoadTripDiscovery</x:t>
  </x:si>
  <x:si>
    <x:t xml:space="preserve">#Adventure #RoadTripMemories</x:t>
  </x:si>
  <x:si>
    <x:t xml:space="preserve">Amidst the bustling city, a quiet café becomes a sanctuary for reflection, where a cup of coffee brings solace to the wandering mind.</x:t>
  </x:si>
  <x:si>
    <x:t xml:space="preserve">UrbanExplorerCafeSolitude</x:t>
  </x:si>
  <x:si>
    <x:t xml:space="preserve">#Solace #CafeReflection</x:t>
  </x:si>
  <x:si>
    <x:t xml:space="preserve">Exploring the vibrant street art of a cultural neighborhood, each mural tells a story, infusing the city with creativity and expression.</x:t>
  </x:si>
  <x:si>
    <x:t xml:space="preserve">ArtEnthusiastStreetArtExploration</x:t>
  </x:si>
  <x:si>
    <x:t xml:space="preserve">#Creativity #StreetArtVibes</x:t>
  </x:si>
  <x:si>
    <x:t xml:space="preserve">In the world of science, a breakthrough discovery unfolds, pushing the boundaries of knowledge and opening new frontiers of exploration.</x:t>
  </x:si>
  <x:si>
    <x:t xml:space="preserve">ScienceEnthusiastDiscoveryMoment</x:t>
  </x:si>
  <x:si>
    <x:t xml:space="preserve">#Breakthrough #ScientificDiscovery</x:t>
  </x:si>
  <x:si>
    <x:t xml:space="preserve">Connecting with the melody of a live orchestra, the music enthusiast experiences a symphony that resonates deep within the soul.</x:t>
  </x:si>
  <x:si>
    <x:t xml:space="preserve">MusicLoverLiveOrchestraExperience</x:t>
  </x:si>
  <x:si>
    <x:t xml:space="preserve">#Harmony #OrchestraMelody</x:t>
  </x:si>
  <x:si>
    <x:t xml:space="preserve">Embracing the aroma of freshly baked bread, the home chef finds joy in the art of baking, creating delicious memories for loved ones.</x:t>
  </x:si>
  <x:si>
    <x:t xml:space="preserve">HomeBakerDeliciousMemories</x:t>
  </x:si>
  <x:si>
    <x:t xml:space="preserve">#JoyInBaking #HomemadeDelights</x:t>
  </x:si>
  <x:si>
    <x:t xml:space="preserve">Wandering through a historical museum, the history enthusiast becomes immersed in the tales of the past, envisioning bygone eras.</x:t>
  </x:si>
  <x:si>
    <x:t xml:space="preserve">HistoryBuffMuseumExploration</x:t>
  </x:si>
  <x:si>
    <x:t xml:space="preserve">#EnvisioningHistory #MuseumTales</x:t>
  </x:si>
  <x:si>
    <x:t xml:space="preserve">In the realm of literature, a captivating novel transports the reader to distant lands, weaving a tapestry of imagination and escape.</x:t>
  </x:si>
  <x:si>
    <x:t xml:space="preserve">BookwormCaptivatingNovelEscape</x:t>
  </x:si>
  <x:si>
    <x:t xml:space="preserve">#Imagination #LiteraryEscape</x:t>
  </x:si>
  <x:si>
    <x:t xml:space="preserve">Capturing the essence of a bustling market, the photographer freezes moments in time, each frame telling a unique and vibrant story.</x:t>
  </x:si>
  <x:si>
    <x:t xml:space="preserve">PhotographyEnthusiastMarketMoments</x:t>
  </x:si>
  <x:si>
    <x:t xml:space="preserve">#Vibrancy #MarketStories</x:t>
  </x:si>
  <x:si>
    <x:t xml:space="preserve">Underneath the city lights, the dancer expresses emotions through graceful movements, creating a mesmerizing performance under the night sky.</x:t>
  </x:si>
  <x:si>
    <x:t xml:space="preserve">DanceEnthusiastCityNightPerformance</x:t>
  </x:si>
  <x:si>
    <x:t xml:space="preserve">#Mesmerizing #NightDancePerformance</x:t>
  </x:si>
  <x:si>
    <x:t xml:space="preserve">In the heart of a bustling market, the street food connoisseur indulges in a culinary adventure, savoring diverse flavors and aromas.</x:t>
  </x:si>
  <x:si>
    <x:t xml:space="preserve">FoodieMarketStreetFoodExploration</x:t>
  </x:si>
  <x:si>
    <x:t xml:space="preserve">#CulinaryAdventure #StreetFoodDelights</x:t>
  </x:si>
  <x:si>
    <x:t xml:space="preserve">Thailand</x:t>
  </x:si>
  <x:si>
    <x:t xml:space="preserve">As the first snowflake descends, the winter enthusiast eagerly prepares for a season of frosty delights, anticipating the magic of snow-covered landscapes.</x:t>
  </x:si>
  <x:si>
    <x:t xml:space="preserve">SnowLoverWinterEnthusiast</x:t>
  </x:si>
  <x:si>
    <x:t xml:space="preserve">#WinterMagic #SnowyLandscapes</x:t>
  </x:si>
  <x:si>
    <x:t xml:space="preserve">Amidst the pages of a captivating mystery novel, the reader unravels clues and secrets, experiencing a thrilling journey of suspense and revelation.</x:t>
  </x:si>
  <x:si>
    <x:t xml:space="preserve">MysteryBookwormSuspensefulRead</x:t>
  </x:si>
  <x:si>
    <x:t xml:space="preserve">#ThrillingJourney #MysteryNovel</x:t>
  </x:si>
  <x:si>
    <x:t xml:space="preserve">Surrounded by the vibrant colors of a flower garden, the gardener nurtures blossoms, finding joy in the beauty of nature's ever-changing canvas.</x:t>
  </x:si>
  <x:si>
    <x:t xml:space="preserve">GardeningEnthusiastFlowerGarden</x:t>
  </x:si>
  <x:si>
    <x:t xml:space="preserve">#NaturesBeauty #FloralJoy</x:t>
  </x:si>
  <x:si>
    <x:t xml:space="preserve">At the astronomy observatory, the stargazer marvels at the vastness of the cosmos, contemplating the mysteries hidden within the celestial expanse.</x:t>
  </x:si>
  <x:si>
    <x:t xml:space="preserve">AstronomyEnthusiastStargazing</x:t>
  </x:si>
  <x:si>
    <x:t xml:space="preserve">#CelestialWonder #Stargazing</x:t>
  </x:si>
  <x:si>
    <x:t xml:space="preserve">Engulfed in the aroma of freshly brewed coffee, the writer finds inspiration in every sip, embarking on a journey of creativity and prose.</x:t>
  </x:si>
  <x:si>
    <x:t xml:space="preserve">CoffeeLoverWritersRetreat</x:t>
  </x:si>
  <x:si>
    <x:t xml:space="preserve">#CreativeInspiration #CoffeeJourney</x:t>
  </x:si>
  <x:si>
    <x:t xml:space="preserve">In the realm of fashion, the designer unveils a collection that tells a story, blending innovation and tradition on the runway of creativity.</x:t>
  </x:si>
  <x:si>
    <x:t xml:space="preserve">FashionEnthusiastDesignerShowcase</x:t>
  </x:si>
  <x:si>
    <x:t xml:space="preserve">#RunwayCreativity #FashionInnovation</x:t>
  </x:si>
  <x:si>
    <x:t xml:space="preserve">As the waves crash against the shore, the surfer embraces the thrill of riding the ocean's energy, capturing the essence of freedom in each wave.</x:t>
  </x:si>
  <x:si>
    <x:t xml:space="preserve">SurfingEnthusiastWaveRider</x:t>
  </x:si>
  <x:si>
    <x:t xml:space="preserve">#OceansFreedom #SurfingThrills</x:t>
  </x:si>
  <x:si>
    <x:t xml:space="preserve">Exploring the historical architecture of an ancient city, the traveler is transported to a bygone era, where each monument whispers tales of the past.</x:t>
  </x:si>
  <x:si>
    <x:t xml:space="preserve">HistoryExplorerAncientCityTour</x:t>
  </x:si>
  <x:si>
    <x:t xml:space="preserve">#WhispersOfThePast #HistoricalTour</x:t>
  </x:si>
  <x:si>
    <x:t xml:space="preserve">Successfully avoided eye contact with my crush in the hallway. Mission accomplished. #TeenCrush #StealthMode</x:t>
  </x:si>
  <x:si>
    <x:t xml:space="preserve">CrushAvoider</x:t>
  </x:si>
  <x:si>
    <x:t xml:space="preserve">#CrushStruggles #AvoidingEyeContact</x:t>
  </x:si>
  <x:si>
    <x:t xml:space="preserve">Ran out of snacks during a movie marathon. Crisis level: Emergency! #MovieNightStruggles #TeenProblems</x:t>
  </x:si>
  <x:si>
    <x:t xml:space="preserve">#SnackCrisis #TeenLife</x:t>
  </x:si>
  <x:si>
    <x:t xml:space="preserve">Spent an hour choosing the perfect filter for a selfie. The struggle for that Instagram aesthetic is real. #SelfieQueen #TeenVibes</x:t>
  </x:si>
  <x:si>
    <x:t xml:space="preserve">SelfieAddict</x:t>
  </x:si>
  <x:si>
    <x:t xml:space="preserve">#SelfieStruggle #TeenConfessions</x:t>
  </x:si>
  <x:si>
    <x:t xml:space="preserve">Lost my headphones again. How do they vanish into thin air? #HeadphoneMystery #TeenLife</x:t>
  </x:si>
  <x:si>
    <x:t xml:space="preserve">AudioExplorer</x:t>
  </x:si>
  <x:si>
    <x:t xml:space="preserve">#TeenProblems #LostHeadphones</x:t>
  </x:si>
  <x:si>
    <x:t xml:space="preserve">Decided to study for exams but ended up making memes about studying instead. Procrastination level: Expert. #ProcrastinationNation #TeenConfessions</x:t>
  </x:si>
  <x:si>
    <x:t xml:space="preserve">MemeCreator</x:t>
  </x:si>
  <x:si>
    <x:t xml:space="preserve">#StudyingMemes #TeenLife</x:t>
  </x:si>
  <x:si>
    <x:t xml:space="preserve">Got dressed for the day, then remembered it's Saturday. Oops. #WeekendVibes #TeenStruggles</x:t>
  </x:si>
  <x:si>
    <x:t xml:space="preserve">FashionBlunder</x:t>
  </x:si>
  <x:si>
    <x:t xml:space="preserve">#WeekendOops #TeenFashion</x:t>
  </x:si>
  <x:si>
    <x:t xml:space="preserve">Survived a group project without any drama. Miracles do happen. #GroupProjectSuccess #TeenAchievements</x:t>
  </x:si>
  <x:si>
    <x:t xml:space="preserve">GroupGenius</x:t>
  </x:si>
  <x:si>
    <x:t xml:space="preserve">#TeenSuccess #ProjectMiracle</x:t>
  </x:si>
  <x:si>
    <x:t xml:space="preserve">Entered the kitchen with the intention to cook. Left with a bag of chips. Cooking is overrated, anyway. #MasterChefInTraining #TeenHumor</x:t>
  </x:si>
  <x:si>
    <x:t xml:space="preserve">ChipExplorer</x:t>
  </x:si>
  <x:si>
    <x:t xml:space="preserve">#TeenChef #CookingFail</x:t>
  </x:si>
  <x:si>
    <x:t xml:space="preserve">Staring at the clock in class, waiting for the bell to ring like it's the most exciting event of the day. #ClassCountdown #TeenLife</x:t>
  </x:si>
  <x:si>
    <x:t xml:space="preserve">ExcitementSeeker</x:t>
  </x:si>
  <x:si>
    <x:t xml:space="preserve">#ClassEvent #TeenExcitement</x:t>
  </x:si>
  <x:si>
    <x:t xml:space="preserve">Discovered a new book series and spent the whole night reading. Who needs sleep, anyway? #BookwormLife #LateNightReading</x:t>
  </x:si>
  <x:si>
    <x:t xml:space="preserve">NightReader</x:t>
  </x:si>
  <x:si>
    <x:t xml:space="preserve">#BookDiscoveries #TeenReading</x:t>
  </x:si>
  <x:si>
    <x:t xml:space="preserve">Bought a new video game, played for hours, forgot to eat. The ultimate gaming session. #GamerLife #NoFoodGaming</x:t>
  </x:si>
  <x:si>
    <x:t xml:space="preserve">#GameOn #TeenGamer</x:t>
  </x:si>
  <x:si>
    <x:t xml:space="preserve">Spent the day binge-watching a new series. Productivity level: Zero. #LazyDay #TVSeriesMarathon</x:t>
  </x:si>
  <x:si>
    <x:t xml:space="preserve">LazyWatcher</x:t>
  </x:si>
  <x:si>
    <x:t xml:space="preserve">#BingeWatchDay #TeenLife</x:t>
  </x:si>
  <x:si>
    <x:t xml:space="preserve">Caught up on the latest fashion trends and now planning a shopping spree. #Fashionista #TrendyTeen</x:t>
  </x:si>
  <x:si>
    <x:t xml:space="preserve">TrendExplorer</x:t>
  </x:si>
  <x:si>
    <x:t xml:space="preserve">#FashionGoals #TeenStyle</x:t>
  </x:si>
  <x:si>
    <x:t xml:space="preserve">Decided to learn a new instrument. Day one: Still trying to figure out how to hold it. #MusicNovice #LearningJourney</x:t>
  </x:si>
  <x:si>
    <x:t xml:space="preserve">MusicalExplorer</x:t>
  </x:si>
  <x:si>
    <x:t xml:space="preserve">#InstrumentLearning #TeenMusic</x:t>
  </x:si>
  <x:si>
    <x:t xml:space="preserve">Spent hours creating the perfect playlist for every mood. Music is my therapy. #PlaylistMaker #TeenMusicLover</x:t>
  </x:si>
  <x:si>
    <x:t xml:space="preserve">MusicAficionado</x:t>
  </x:si>
  <x:si>
    <x:t xml:space="preserve">#MusicTherapy #TeenPlaylist</x:t>
  </x:si>
  <x:si>
    <x:t xml:space="preserve">Successfully cooked a gourmet meal for the family. Chef skills unlocked! #ChefMode #TeenChef</x:t>
  </x:si>
  <x:si>
    <x:t xml:space="preserve">#CookingSuccess #TeenCook</x:t>
  </x:si>
  <x:si>
    <x:t xml:space="preserve">Spontaneously booked a weekend getaway. Adventure awaits! #TravelBug #WeekendEscape</x:t>
  </x:si>
  <x:si>
    <x:t xml:space="preserve">AdventureSeeker</x:t>
  </x:si>
  <x:si>
    <x:t xml:space="preserve">#GetawayGoals #TeenTravel</x:t>
  </x:si>
  <x:si>
    <x:t xml:space="preserve">Attended a concert and danced the night away. Music is the heartbeat of life. #ConcertVibes #DanceAllNight</x:t>
  </x:si>
  <x:si>
    <x:t xml:space="preserve">#MusicMagic #TeenConcert</x:t>
  </x:si>
  <x:si>
    <x:t xml:space="preserve">Rediscovered childhood cartoons and had a nostalgia-filled marathon. #CartoonNostalgia #TeenMemories</x:t>
  </x:si>
  <x:si>
    <x:t xml:space="preserve">NostalgiaExplorer</x:t>
  </x:si>
  <x:si>
    <x:t xml:space="preserve">#ChildhoodMemories #TeenCartoons</x:t>
  </x:si>
  <x:si>
    <x:t xml:space="preserve">Embarked on a DIY home decor project. Let's hope it turns out better than last time. #DIYAdventure #TeenHomeDecor</x:t>
  </x:si>
  <x:si>
    <x:t xml:space="preserve">HomeDecorator</x:t>
  </x:si>
  <x:si>
    <x:t xml:space="preserve">#DIYGoals #TeenCreative</x:t>
  </x:si>
  <x:si>
    <x:t xml:space="preserve">Spent the afternoon at a museum, pretending to be cultured. Art enthusiast in the making. #MuseumDay #TeenArtLover</x:t>
  </x:si>
  <x:si>
    <x:t xml:space="preserve">#CulturalDay #TeenCuriosity</x:t>
  </x:si>
  <x:si>
    <x:t xml:space="preserve">Started a blog about random thoughts and musings. Blogging is the new diary. #BloggerLife #TeenBlogger</x:t>
  </x:si>
  <x:si>
    <x:t xml:space="preserve">ThoughtfulBlogger</x:t>
  </x:si>
  <x:si>
    <x:t xml:space="preserve">#BloggingJourney #TeenThoughts</x:t>
  </x:si>
  <x:si>
    <x:t xml:space="preserve">Relishing a peaceful afternoon with a classic novel. Quiet moments are the best moments. #BookLover #PeacefulAfternoon</x:t>
  </x:si>
  <x:si>
    <x:t xml:space="preserve">NovelEnthusiast</x:t>
  </x:si>
  <x:si>
    <x:t xml:space="preserve">#QuietMoments #BookishEscape</x:t>
  </x:si>
  <x:si>
    <x:t xml:space="preserve">Reflecting on a lifetime of memories, each wrinkle tells a story. Embracing the beauty of aging. #LifeReflections #BeautyInAging</x:t>
  </x:si>
  <x:si>
    <x:t xml:space="preserve">WiseSoul</x:t>
  </x:si>
  <x:si>
    <x:t xml:space="preserve">#AgingGracefully #Memories</x:t>
  </x:si>
  <x:si>
    <x:t xml:space="preserve">Exploring the world of digital art. It's never too late to discover new passions. #DigitalArtistry #LateBloomer</x:t>
  </x:si>
  <x:si>
    <x:t xml:space="preserve">ArtAdventurer</x:t>
  </x:si>
  <x:si>
    <x:t xml:space="preserve">#ArtDiscovery #SeniorArtist</x:t>
  </x:si>
  <x:si>
    <x:t xml:space="preserve">Savoring the flavors of a home-cooked meal. Simple joys are the heart of happiness. #HomeCooking #SimpleJoys</x:t>
  </x:si>
  <x:si>
    <x:t xml:space="preserve">HomeChefSenior</x:t>
  </x:si>
  <x:si>
    <x:t xml:space="preserve">#HappinessInFood #SeniorLife</x:t>
  </x:si>
  <x:si>
    <x:t xml:space="preserve">Embarking on a journey of learning a new language. The mind stays young with every new word. #LanguageLearning #NeverTooLate</x:t>
  </x:si>
  <x:si>
    <x:t xml:space="preserve">LinguisticExplorer</x:t>
  </x:si>
  <x:si>
    <x:t xml:space="preserve">#MindEnrichment #SeniorLearning</x:t>
  </x:si>
  <x:si>
    <x:t xml:space="preserve">Attended a classical music concert, feeling the timeless melodies resonate. Music transcends generations. #ClassicalMusic #TimelessMelodies</x:t>
  </x:si>
  <x:si>
    <x:t xml:space="preserve">MusicConnoisseur</x:t>
  </x:si>
  <x:si>
    <x:t xml:space="preserve">#MusicLover #SeniorConcert</x:t>
  </x:si>
  <x:si>
    <x:t xml:space="preserve">Capturing the beauty of nature through photography. Every snapshot is a treasure. #NaturePhotography #SeniorPhotographer</x:t>
  </x:si>
  <x:si>
    <x:t xml:space="preserve">PhotographySenior</x:t>
  </x:si>
  <x:si>
    <x:t xml:space="preserve">#NatureCapture #SeniorMoments</x:t>
  </x:si>
  <x:si>
    <x:t xml:space="preserve">Reconnecting with old friends over a cup of tea. Friendship, the true essence of companionship. #OldFriends #Companionship</x:t>
  </x:si>
  <x:si>
    <x:t xml:space="preserve">TeaTimeSenior</x:t>
  </x:si>
  <x:si>
    <x:t xml:space="preserve">#FriendshipGoals #SeniorBonding</x:t>
  </x:si>
  <x:si>
    <x:t xml:space="preserve">Embarked on a road trip to revisit cherished places from the past. Nostalgia, the ultimate travel companion. #RoadTrip #NostalgiaTour</x:t>
  </x:si>
  <x:si>
    <x:t xml:space="preserve">RoadTripSenior</x:t>
  </x:si>
  <x:si>
    <x:t xml:space="preserve">#CherishedPlaces #SeniorTravel</x:t>
  </x:si>
  <x:si>
    <x:t xml:space="preserve">Joined a community choir, harmonizing with fellow voices. Music creates bonds that withstand time. #CommunityChoir #HarmonyInAging</x:t>
  </x:si>
  <x:si>
    <x:t xml:space="preserve">ChoirEnthusiast</x:t>
  </x:si>
  <x:si>
    <x:t xml:space="preserve">#MusicHarmony #SeniorVoices</x:t>
  </x:si>
  <x:si>
    <x:t xml:space="preserve">Exploring the art of meditation, finding tranquility in the stillness of the mind. #MeditationJourney #TranquilMind</x:t>
  </x:si>
  <x:si>
    <x:t xml:space="preserve">MeditationSenior</x:t>
  </x:si>
  <x:si>
    <x:t xml:space="preserve">#MindfulLiving #SeniorCalm</x:t>
  </x:si>
  <x:si>
    <x:t xml:space="preserve">Taking a stroll in the garden, appreciating the beauty of blooming flowers. Nature's wonders never cease. #GardenWalk #FloralBeauty</x:t>
  </x:si>
  <x:si>
    <x:t xml:space="preserve">#NatureWonders #SeniorGarden</x:t>
  </x:si>
  <x:si>
    <x:t xml:space="preserve">Sipping on a favorite vintage wine, each sip telling a story of the years gone by. Cheers to a life well-lived. #WineLover #VintageCheers</x:t>
  </x:si>
  <x:si>
    <x:t xml:space="preserve">WineConnoisseur</x:t>
  </x:si>
  <x:si>
    <x:t xml:space="preserve">#LifeWellLived #SeniorWine</x:t>
  </x:si>
  <x:si>
    <x:t xml:space="preserve">Participated in a community art class, unleashing creativity in the golden years. Art has no age limit. #ArtClass #SeniorArtistry</x:t>
  </x:si>
  <x:si>
    <x:t xml:space="preserve">ArtisticSenior</x:t>
  </x:si>
  <x:si>
    <x:t xml:space="preserve">#CreativityAtAnyAge #SeniorCreativity</x:t>
  </x:si>
  <x:si>
    <x:t xml:space="preserve">Embarking on a journey of writing a memoir, documenting a lifetime of experiences. Every story matters. #MemoirWriting #SeniorStories</x:t>
  </x:si>
  <x:si>
    <x:t xml:space="preserve">MemoiristSenior</x:t>
  </x:si>
  <x:si>
    <x:t xml:space="preserve">#LifetimeExperiences #SeniorMemoir</x:t>
  </x:si>
  <x:si>
    <x:t xml:space="preserve">Attended a lecture on history, always fascinated by the lessons from the past. Learning is a lifelong adventure. #HistoryLecture #SeniorLearning</x:t>
  </x:si>
  <x:si>
    <x:t xml:space="preserve">HistoryEnthusiast</x:t>
  </x:si>
  <x:si>
    <x:t xml:space="preserve">#LifetimeAdventure #SeniorCuriosity</x:t>
  </x:si>
  <x:si>
    <x:t xml:space="preserve">Rediscovered the joy of cooking traditional family recipes. The kitchen, a place of cherished memories. #FamilyRecipes #SeniorCooking</x:t>
  </x:si>
  <x:si>
    <x:t xml:space="preserve">FamilyChefSenior</x:t>
  </x:si>
  <x:si>
    <x:t xml:space="preserve">#KitchenMemories #SeniorCulinary</x:t>
  </x:si>
  <x:si>
    <x:t xml:space="preserve">Joined a nature photography club, capturing the beauty of the great outdoors. Every click is a connection to nature. #NaturePhotography #SeniorPhotographer</x:t>
  </x:si>
  <x:si>
    <x:t xml:space="preserve">NaturePhotographySenior</x:t>
  </x:si>
  <x:si>
    <x:t xml:space="preserve">#OutdoorBeauty #SeniorClicks</x:t>
  </x:si>
  <x:si>
    <x:t xml:space="preserve">Attended a jazz concert and swayed to the rhythm of timeless tunes. Music, a constant companion in the golden years. #JazzConcert #SeniorMusic</x:t>
  </x:si>
  <x:si>
    <x:t xml:space="preserve">JazzMusicLover</x:t>
  </x:si>
  <x:si>
    <x:t xml:space="preserve">#TimelessTunes #SeniorJazz</x:t>
  </x:si>
  <x:si>
    <x:t xml:space="preserve">Joined a writing group, penning down thoughts and reflections. Writing, a journey into the depths of the soul. #WritingGroup #SeniorWriter</x:t>
  </x:si>
  <x:si>
    <x:t xml:space="preserve">SeniorWordsmith</x:t>
  </x:si>
  <x:si>
    <x:t xml:space="preserve">#SoulfulWriting #SeniorReflections</x:t>
  </x:si>
  <x:si>
    <x:t xml:space="preserve">Embarked on a solo travel adventure, discovering the beauty of new places at my own pace. #SoloTravel #SeniorExplorer</x:t>
  </x:si>
  <x:si>
    <x:t xml:space="preserve">SoloAdventurer</x:t>
  </x:si>
  <x:si>
    <x:t xml:space="preserve">#DiscoverNewPlaces #SeniorTravel</x:t>
  </x:si>
  <x:si>
    <x:t xml:space="preserve">Attended a vintage car show, reminiscing about the classics that once ruled the roads. Nostalgia in every rev. #VintageCars #ClassicRides</x:t>
  </x:si>
  <x:si>
    <x:t xml:space="preserve">CarEnthusiastSenior</x:t>
  </x:si>
  <x:si>
    <x:t xml:space="preserve">#RoadTripDownMemoryLane #SeniorCars</x:t>
  </x:si>
  <x:si>
    <x:t xml:space="preserve">Started a community garden, growing not just plants but friendships too. Green thumbs unite! #CommunityGarden #SeniorGardener</x:t>
  </x:si>
  <x:si>
    <x:t xml:space="preserve">GreenThumbSenior</x:t>
  </x:si>
  <x:si>
    <x:t xml:space="preserve">#GardenFriends #SeniorGreenThumb</x:t>
  </x:si>
  <x:si>
    <x:t xml:space="preserve">Hosted a family dinner, where laughter echoed louder than the clinking of utensils. Family, the heart of happiness. #FamilyDinner #SeniorHost</x:t>
  </x:si>
  <x:si>
    <x:t xml:space="preserve">FamilyHostSenior</x:t>
  </x:si>
  <x:si>
    <x:t xml:space="preserve">#HeartwarmingMoments #SeniorFamily</x:t>
  </x:si>
  <x:si>
    <x:t xml:space="preserve">Enrolled in a dance class for seniors, moving to the rhythm of life. Age is just a number on the dance floor. #DanceClass #SeniorDancer</x:t>
  </x:si>
  <x:si>
    <x:t xml:space="preserve">DanceEnthusiastSenior</x:t>
  </x:si>
  <x:si>
    <x:t xml:space="preserve">#DanceLife #SeniorMoves</x:t>
  </x:si>
  <x:si>
    <x:t xml:space="preserve">Visited an art gallery, appreciating the brushstrokes that tell tales of creativity. Art, an eternal companion. #ArtGallery #SeniorArtLover</x:t>
  </x:si>
  <x:si>
    <x:t xml:space="preserve">ArtGalleryVisitor</x:t>
  </x:si>
  <x:si>
    <x:t xml:space="preserve">#CreativeExpressions #SeniorArt</x:t>
  </x:si>
  <x:si>
    <x:t xml:space="preserve">Started a book club for seniors, where discussions are as lively as the characters in the novels. #BookClub #SeniorReaders</x:t>
  </x:si>
  <x:si>
    <x:t xml:space="preserve">SeniorBookClub</x:t>
  </x:si>
  <x:si>
    <x:t xml:space="preserve">#BookishTalks #SeniorBookworms</x:t>
  </x:si>
  <x:si>
    <x:t xml:space="preserve">Hosted a picnic in the park, basking in the warmth of friendship and sunshine. Simple joys, timeless memories. #ParkPicnic #SeniorJoy</x:t>
  </x:si>
  <x:si>
    <x:t xml:space="preserve">SeniorPicnicHost</x:t>
  </x:si>
  <x:si>
    <x:t xml:space="preserve">#FriendshipSunshine #SeniorMemories</x:t>
  </x:si>
  <x:si>
    <x:t xml:space="preserve">Participated in a local theater production, proving that the stage belongs to every age. #TheaterProduction #SeniorActor</x:t>
  </x:si>
  <x:si>
    <x:t xml:space="preserve">SeniorActor</x:t>
  </x:si>
  <x:si>
    <x:t xml:space="preserve">#StagePassion #SeniorTheater</x:t>
  </x:si>
  <x:si>
    <x:t xml:space="preserve">Embarked on a hiking adventure, conquering trails and relishing the beauty of nature. Age is just a number on the mountaintop. #HikingAdventure #SeniorHiker</x:t>
  </x:si>
  <x:si>
    <x:t xml:space="preserve">SeniorHikerExplorer</x:t>
  </x:si>
  <x:si>
    <x:t xml:space="preserve">#NatureTrailBlazer #SeniorExplorer</x:t>
  </x:si>
  <x:si>
    <x:t xml:space="preserve">Hosted a photography exhibition featuring snapshots of a life well-lived. Every photo has a story to tell. #PhotographyExhibition #SeniorPhotographer</x:t>
  </x:si>
  <x:si>
    <x:t xml:space="preserve">SeniorPhotographerExhibitor</x:t>
  </x:si>
  <x:si>
    <x:t xml:space="preserve">#LifeInPictures #SeniorExhibition</x:t>
  </x:si>
  <x:si>
    <x:t xml:space="preserve">Joined a seniors' cycling club, feeling the wind in my hair and the freedom of the open road. #CyclingClub #SeniorCyclist</x:t>
  </x:si>
  <x:si>
    <x:t xml:space="preserve">SeniorCyclingEnthusiast</x:t>
  </x:si>
  <x:si>
    <x:t xml:space="preserve">#OpenRoadAdventures #SeniorCycling</x:t>
  </x:si>
  <x:si>
    <x:t xml:space="preserve">Attended a wine tasting event, savoring the richness of flavors that age like fine wine. Cheers to the golden years! #WineTasting #SeniorWineLover</x:t>
  </x:si>
  <x:si>
    <x:t xml:space="preserve">SeniorWineConnoisseur</x:t>
  </x:si>
  <x:si>
    <x:t xml:space="preserve">#AgedToPerfection #SeniorCheers</x:t>
  </x:si>
  <x:si>
    <x:t xml:space="preserve">Started learning ballroom dancing, gliding gracefully across the dance floor. Ageless elegance in every step. #BallroomDancing #SeniorDancer</x:t>
  </x:si>
  <x:si>
    <x:t xml:space="preserve">SeniorBallroomDancer</x:t>
  </x:si>
  <x:si>
    <x:t xml:space="preserve">#GracefulMoves #SeniorDance</x:t>
  </x:si>
  <x:si>
    <x:t xml:space="preserve">Organized a community painting event, turning blank canvases into a masterpiece of shared creativity. #PaintingEvent #SeniorArtist</x:t>
  </x:si>
  <x:si>
    <x:t xml:space="preserve">SeniorPaintingOrganizer</x:t>
  </x:si>
  <x:si>
    <x:t xml:space="preserve">#CommunityArt #SeniorCreativity</x:t>
  </x:si>
  <x:si>
    <x:t xml:space="preserve">Hosted a 'memory lane' evening with old friends, reminiscing about the adventures that shaped our lives. #MemoryLane #SeniorReminiscing</x:t>
  </x:si>
  <x:si>
    <x:t xml:space="preserve">SeniorMemoriesHost</x:t>
  </x:si>
  <x:si>
    <x:t xml:space="preserve">#FriendshipAdventures #SeniorNostalgia</x:t>
  </x:si>
  <x:si>
    <x:t xml:space="preserve">Joined a seniors' astronomy club, stargazing and finding wonder in the vastness of the cosmos. #AstronomyClub #SeniorStargazer</x:t>
  </x:si>
  <x:si>
    <x:t xml:space="preserve">SeniorStargazer</x:t>
  </x:si>
  <x:si>
    <x:t xml:space="preserve">#CelestialWonders #SeniorAstronomy</x:t>
  </x:si>
  <x:si>
    <x:t xml:space="preserve">Attended a local jazz festival, tapping toes to the tunes that have stood the test of time. Music, a lifelong love affair. #JazzFestival #SeniorMusicLover</x:t>
  </x:si>
  <x:si>
    <x:t xml:space="preserve">SeniorJazzFestivalGoer</x:t>
  </x:si>
  <x:si>
    <x:t xml:space="preserve">Started a blog sharing the wisdom gained through the years, proving that every day is a chance to learn and grow. #SeniorWisdom #Blog</x:t>
  </x:si>
  <x:si>
    <x:t xml:space="preserve">WisdomBloggerSenior</x:t>
  </x:si>
  <x:si>
    <x:t xml:space="preserve">#LifeLessons #SeniorBlog</x:t>
  </x:si>
  <x:si>
    <x:t xml:space="preserve">Participated in a charity run, proving that age is no barrier to supporting meaningful causes. #CharityRun #SeniorRunner</x:t>
  </x:si>
  <x:si>
    <x:t xml:space="preserve">SeniorCharityRunner</x:t>
  </x:si>
  <x:si>
    <x:t xml:space="preserve">#RunForACause #SeniorSupport</x:t>
  </x:si>
  <x:si>
    <x:t xml:space="preserve">Survived a challenging physics exam. Equations, you won't defeat me!</x:t>
  </x:si>
  <x:si>
    <x:t xml:space="preserve">PhysicsWhizHighSchool</x:t>
  </x:si>
  <x:si>
    <x:t xml:space="preserve">#PhysicsSurvivor #HighSchoolAdventures</x:t>
  </x:si>
  <x:si>
    <x:t xml:space="preserve">Exploring the world of coding. Debugging is an adventure on its own! #CodingJourney #HighSchoolCoder</x:t>
  </x:si>
  <x:si>
    <x:t xml:space="preserve">CodeExplorerHighSchool</x:t>
  </x:si>
  <x:si>
    <x:t xml:space="preserve">#CodingAdventure #HighSchoolCoderLife</x:t>
  </x:si>
  <x:si>
    <x:t xml:space="preserve">Joined the school debate team. Words are my weapons, and I'm ready for battle!</x:t>
  </x:si>
  <x:si>
    <x:t xml:space="preserve">DebateWarriorHighSchool</x:t>
  </x:si>
  <x:si>
    <x:t xml:space="preserve">#DebateWarrior #HighSchoolDebater</x:t>
  </x:si>
  <x:si>
    <x:t xml:space="preserve">Started a photography club at school. Capturing moments, one snapshot at a time!</x:t>
  </x:si>
  <x:si>
    <x:t xml:space="preserve">PhotoClubHighSchool</x:t>
  </x:si>
  <x:si>
    <x:t xml:space="preserve">#PhotographyClub #HighSchoolPhotographer</x:t>
  </x:si>
  <x:si>
    <x:t xml:space="preserve">Daydreaming about the upcoming prom. The dress, the dance – it's a fairytale in the making!</x:t>
  </x:si>
  <x:si>
    <x:t xml:space="preserve">PromDreamerHighSchool</x:t>
  </x:si>
  <x:si>
    <x:t xml:space="preserve">#PromDreams #HighSchoolFairytale</x:t>
  </x:si>
  <x:si>
    <x:t xml:space="preserve">Convinced the teacher to have class outdoors. Learning equations with a side of fresh air!</x:t>
  </x:si>
  <x:si>
    <x:t xml:space="preserve">OutdoorClassHighSchool</x:t>
  </x:si>
  <x:si>
    <x:t xml:space="preserve">#OutdoorClassroom #HighSchoolExplorer</x:t>
  </x:si>
  <x:si>
    <x:t xml:space="preserve">Accidentally spilled paint in art class. Abstract art, right? #ArtClassAdventures #HighSchoolArtist</x:t>
  </x:si>
  <x:si>
    <x:t xml:space="preserve">PaintSpillHighSchool</x:t>
  </x:si>
  <x:si>
    <x:t xml:space="preserve">#ArtisticMishaps #HighSchoolArt</x:t>
  </x:si>
  <x:si>
    <x:t xml:space="preserve">Trying to master the perfect kickflip on my skateboard. Skating into the weekend like a pro!</x:t>
  </x:si>
  <x:si>
    <x:t xml:space="preserve">SkateProHighSchool</x:t>
  </x:si>
  <x:si>
    <x:t xml:space="preserve">#SkaterLife #HighSchoolSkater</x:t>
  </x:si>
  <x:si>
    <x:t xml:space="preserve">Bonding with friends over the latest K-pop sensation. Fangirling at its finest!</x:t>
  </x:si>
  <x:si>
    <x:t xml:space="preserve">KpopFangirlHighSchool</x:t>
  </x:si>
  <x:si>
    <x:t xml:space="preserve">#KpopFangirl #HighSchoolMusic</x:t>
  </x:si>
  <x:si>
    <x:t xml:space="preserve">Spent hours perfecting a chemistry experiment. Mixing potions like a wizard!</x:t>
  </x:si>
  <x:si>
    <x:t xml:space="preserve">ChemistryWizardHighSchool</x:t>
  </x:si>
  <x:si>
    <x:t xml:space="preserve">#ChemistryWizard #HighSchoolScientist</x:t>
  </x:si>
  <x:si>
    <x:t xml:space="preserve">Successfully organized a surprise birthday party for a friend. Party planning expert mode: Achieved!</x:t>
  </x:si>
  <x:si>
    <x:t xml:space="preserve">BirthdayPartyPlannerHighSchool</x:t>
  </x:si>
  <x:si>
    <x:t xml:space="preserve">#BirthdayParty #HighSchoolCelebration</x:t>
  </x:si>
  <x:si>
    <x:t xml:space="preserve">Joined the drama club to unleash my inner actor. Lights, camera, action!</x:t>
  </x:si>
  <x:si>
    <x:t xml:space="preserve">DramaClubStarHighSchool</x:t>
  </x:si>
  <x:si>
    <x:t xml:space="preserve">#DramaClubStar #HighSchoolActor</x:t>
  </x:si>
  <x:si>
    <x:t xml:space="preserve">Got my hands on the latest fantasy novel. Diving into realms of magic and adventure!</x:t>
  </x:si>
  <x:si>
    <x:t xml:space="preserve">FantasyBookNerdHighSchool</x:t>
  </x:si>
  <x:si>
    <x:t xml:space="preserve">#FantasyBookNerd #HighSchoolReader</x:t>
  </x:si>
  <x:si>
    <x:t xml:space="preserve">Mastering the art of the perfect doodle during boring classes. Doodles: A+!</x:t>
  </x:si>
  <x:si>
    <x:t xml:space="preserve">DoodleMasterHighSchool</x:t>
  </x:si>
  <x:si>
    <x:t xml:space="preserve">#DoodleMaster #HighSchoolArt</x:t>
  </x:si>
  <x:si>
    <x:t xml:space="preserve">Attempting to break the school record for the longest handstand. Wish me luck!</x:t>
  </x:si>
  <x:si>
    <x:t xml:space="preserve">HandstandChallengeHighSchool</x:t>
  </x:si>
  <x:si>
    <x:t xml:space="preserve">#HandstandChallenge #HighSchoolAthlete</x:t>
  </x:si>
  <x:si>
    <x:t xml:space="preserve">Sneaking snacks into class like a pro. The art of snack-smuggling is a sacred skill!</x:t>
  </x:si>
  <x:si>
    <x:t xml:space="preserve">SnackSmugglerHighSchool</x:t>
  </x:si>
  <x:si>
    <x:t xml:space="preserve">#SnackSmuggler #HighSchoolSnacks</x:t>
  </x:si>
  <x:si>
    <x:t xml:space="preserve">Hosting a sleepover with friends this weekend. Preparing for a night of laughter and memories!</x:t>
  </x:si>
  <x:si>
    <x:t xml:space="preserve">SleepoverHostHighSchool</x:t>
  </x:si>
  <x:si>
    <x:t xml:space="preserve">#SleepoverFun #HighSchoolMemories</x:t>
  </x:si>
  <x:si>
    <x:t xml:space="preserve">Spent hours on a TikTok dance, only to realize I have two left feet. Dance fail: Unleashed!</x:t>
  </x:si>
  <x:si>
    <x:t xml:space="preserve">TikTokFailHighSchool</x:t>
  </x:si>
  <x:si>
    <x:t xml:space="preserve">#DanceFail #HighSchoolTikTok</x:t>
  </x:si>
  <x:si>
    <x:t xml:space="preserve">Accidentally liked my crush's old photo while stalking their profile. Awkward level: Maximum!</x:t>
  </x:si>
  <x:si>
    <x:t xml:space="preserve">SocialMediaBlunderHighSchool</x:t>
  </x:si>
  <x:si>
    <x:t xml:space="preserve">#SocialMediaBlunder #HighSchoolAwkward</x:t>
  </x:si>
  <x:si>
    <x:t xml:space="preserve">Tried to impress my crush with a smooth conversation. Ended up spilling my drink. Smooth level: Nonexistent!</x:t>
  </x:si>
  <x:si>
    <x:t xml:space="preserve">CrushFailHighSchool</x:t>
  </x:si>
  <x:si>
    <x:t xml:space="preserve">#CrushFail #HighSchoolEmbarrassment</x:t>
  </x:si>
  <x:si>
    <x:t xml:space="preserve">Mastered the art of creating paper airplanes during lecture. Paper planes: Soaring to new heights!</x:t>
  </x:si>
  <x:si>
    <x:t xml:space="preserve">PaperPlaneExpertHighSchool</x:t>
  </x:si>
  <x:si>
    <x:t xml:space="preserve">#PaperPlaneExpert #HighSchoolArt</x:t>
  </x:si>
  <x:si>
    <x:t xml:space="preserve">Trying to set a new trend by juggling textbooks between classes. Academic juggling: A unique skill!</x:t>
  </x:si>
  <x:si>
    <x:t xml:space="preserve">JugglingProHighSchool</x:t>
  </x:si>
  <x:si>
    <x:t xml:space="preserve">#TextbookJuggling #HighSchoolSkills</x:t>
  </x:si>
  <x:si>
    <x:t xml:space="preserve">Hiding a snack stash in my backpack for emergency cravings. Snack ninja mode: Activated!</x:t>
  </x:si>
  <x:si>
    <x:t xml:space="preserve">SnackNinjaHighSchool</x:t>
  </x:si>
  <x:si>
    <x:t xml:space="preserve">#SnackNinja #HighSchoolSnacks</x:t>
  </x:si>
  <x:si>
    <x:t xml:space="preserve">Planning a surprise scavenger hunt for friends. Anticipating the thrill and excitement!</x:t>
  </x:si>
  <x:si>
    <x:t xml:space="preserve">ScavengerHuntMasterHighSchool</x:t>
  </x:si>
  <x:si>
    <x:t xml:space="preserve">#SurpriseAdventure #HighSchoolFun</x:t>
  </x:si>
  <x:si>
    <x:t xml:space="preserve">Danced in the rain to celebrate the end of exams. Rain dance: Unexpectedly refreshing!</x:t>
  </x:si>
  <x:si>
    <x:t xml:space="preserve">RainDanceCelebrationHighSchool</x:t>
  </x:si>
  <x:si>
    <x:t xml:space="preserve">#RainDance #HighSchoolJoy</x:t>
  </x:si>
  <x:si>
    <x:t xml:space="preserve">Accidentally sent a text meant for a friend to the class group chat. Texting fail: Oops moment!</x:t>
  </x:si>
  <x:si>
    <x:t xml:space="preserve">GroupChatBlunderHighSchool</x:t>
  </x:si>
  <x:si>
    <x:t xml:space="preserve">#TextingFail #HighSchoolAwkward</x:t>
  </x:si>
  <x:si>
    <x:t xml:space="preserve">Tried a magic trick to impress classmates. Magic fail: Where did that rabbit go?</x:t>
  </x:si>
  <x:si>
    <x:t xml:space="preserve">MagicFailHighSchool</x:t>
  </x:si>
  <x:si>
    <x:t xml:space="preserve">#MagicFail #HighSchoolMagic</x:t>
  </x:si>
  <x:si>
    <x:t xml:space="preserve">Perfecting the art of creating origami during a dull lecture. Origami mastery: A+!</x:t>
  </x:si>
  <x:si>
    <x:t xml:space="preserve">OrigamiProHighSchool</x:t>
  </x:si>
  <x:si>
    <x:t xml:space="preserve">#OrigamiMaster #HighSchoolArt</x:t>
  </x:si>
  <x:si>
    <x:t xml:space="preserve">Attempting to set a new record for the most consecutive hacky sack kicks. Hacky sack skills: Unleashed!</x:t>
  </x:si>
  <x:si>
    <x:t xml:space="preserve">HackySackChampionHighSchool</x:t>
  </x:si>
  <x:si>
    <x:t xml:space="preserve">#HackySackChallenge #HighSchoolAthlete</x:t>
  </x:si>
  <x:si>
    <x:t xml:space="preserve">Creating a secret handshake with friends. Friendship level: Expert!</x:t>
  </x:si>
  <x:si>
    <x:t xml:space="preserve">SecretHandshakeHighSchool</x:t>
  </x:si>
  <x:si>
    <x:t xml:space="preserve">#FriendshipGoals #HighSchoolMemories</x:t>
  </x:si>
  <x:si>
    <x:t xml:space="preserve">Embarking on a mission to find the best burger joint in town. Burger connoisseur: Reporting for duty!</x:t>
  </x:si>
  <x:si>
    <x:t xml:space="preserve">BurgerQuestHighSchool</x:t>
  </x:si>
  <x:si>
    <x:t xml:space="preserve">#BurgerQuest #HighSchoolFoodie</x:t>
  </x:si>
  <x:si>
    <x:t xml:space="preserve">Practicing a stand-up comedy routine for the upcoming talent show. Comedy gig: In the making!</x:t>
  </x:si>
  <x:si>
    <x:t xml:space="preserve">ComedyGeniusHighSchool</x:t>
  </x:si>
  <x:si>
    <x:t xml:space="preserve">#StandUpComedy #HighSchoolTalent</x:t>
  </x:si>
  <x:si>
    <x:t xml:space="preserve">Accidentally sent a love letter to the wrong person. Love note fail: Maximum embarrassment!</x:t>
  </x:si>
  <x:si>
    <x:t xml:space="preserve">LoveLetterBlunderHighSchool</x:t>
  </x:si>
  <x:si>
    <x:t xml:space="preserve">#LoveLetterFail #HighSchoolAwkward</x:t>
  </x:si>
  <x:si>
    <x:t xml:space="preserve">Attempting to impress the teacher with an elaborate science experiment. Science geek mode: Activated!</x:t>
  </x:si>
  <x:si>
    <x:t xml:space="preserve">ScienceExperimentProHighSchool</x:t>
  </x:si>
  <x:si>
    <x:t xml:space="preserve">#ScienceGeek #HighSchoolExperiments</x:t>
  </x:si>
  <x:si>
    <x:t xml:space="preserve">Crafting intricate friendship bracelets for the whole squad. Friendship level: Expert weaver!</x:t>
  </x:si>
  <x:si>
    <x:t xml:space="preserve">BraceletCraftsmanHighSchool</x:t>
  </x:si>
  <x:si>
    <x:t xml:space="preserve">#FriendshipBracelets #HighSchoolCrafts</x:t>
  </x:si>
  <x:si>
    <x:t xml:space="preserve">Attempting to beat the record for the most consecutive cartwheels. Cartwheel challenge: Underway!</x:t>
  </x:si>
  <x:si>
    <x:t xml:space="preserve">CartwheelMasterHighSchool</x:t>
  </x:si>
  <x:si>
    <x:t xml:space="preserve">#CartwheelChallenge #HighSchoolAthlete</x:t>
  </x:si>
  <x:si>
    <x:t xml:space="preserve">Organizing a movie marathon with friends. Popcorn and cinematic adventures await!</x:t>
  </x:si>
  <x:si>
    <x:t xml:space="preserve">MovieMarathonHostHighSchool</x:t>
  </x:si>
  <x:si>
    <x:t xml:space="preserve">#MovieNight #HighSchoolMemories</x:t>
  </x:si>
  <x:si>
    <x:t xml:space="preserve">Experimenting with a new hair color. A bold change for a bold semester!</x:t>
  </x:si>
  <x:si>
    <x:t xml:space="preserve">HairColorExperimentHighSchool</x:t>
  </x:si>
  <x:si>
    <x:t xml:space="preserve">#HairExperiment #HighSchoolStyle</x:t>
  </x:si>
  <x:si>
    <x:t xml:space="preserve">Building a time capsule to capture memories for the future. Time-traveling emotions!</x:t>
  </x:si>
  <x:si>
    <x:t xml:space="preserve">TimeCapsuleCreatorHighSchool</x:t>
  </x:si>
  <x:si>
    <x:t xml:space="preserve">#TimeCapsule #HighSchoolNostalgia</x:t>
  </x:si>
  <x:si>
    <x:t xml:space="preserve">Accidentally walked into the wrong classroom on the first day. Classroom mix-up: Awkward start!</x:t>
  </x:si>
  <x:si>
    <x:t xml:space="preserve">ClassroomBlunderHighSchool</x:t>
  </x:si>
  <x:si>
    <x:t xml:space="preserve">#FirstDayOops #HighSchoolEmbarrassment</x:t>
  </x:si>
  <x:si>
    <x:t xml:space="preserve">Trying out a new smoothie recipe for a healthy start to the week. Smoothie enthusiast: Level up!</x:t>
  </x:si>
  <x:si>
    <x:t xml:space="preserve">SmoothieConnoisseurHighSchool</x:t>
  </x:si>
  <x:si>
    <x:t xml:space="preserve">#HealthyLiving #HighSchoolWellness</x:t>
  </x:si>
  <x:si>
    <x:t xml:space="preserve">Reflecting on the challenges of the school year. Feeling a bit overwhelmed with assignments.</x:t>
  </x:si>
  <x:si>
    <x:t xml:space="preserve">OverwhelmedHighSchoolStudent</x:t>
  </x:si>
  <x:si>
    <x:t xml:space="preserve">#SchoolChallenges #HighSchoolStruggles</x:t>
  </x:si>
  <x:si>
    <x:t xml:space="preserve">Encountered some mean-spirited comments online. Dealing with online hate is never easy.</x:t>
  </x:si>
  <x:si>
    <x:t xml:space="preserve">DealingWithHateHighSchool</x:t>
  </x:si>
  <x:si>
    <x:t xml:space="preserve">#OnlineHate #HighSchoolReality</x:t>
  </x:si>
  <x:si>
    <x:t xml:space="preserve">Had a bad day at school. Everything seems to be going wrong.</x:t>
  </x:si>
  <x:si>
    <x:t xml:space="preserve">ToughDayHighSchool</x:t>
  </x:si>
  <x:si>
    <x:t xml:space="preserve">#BadDay #HighSchoolBlues</x:t>
  </x:si>
  <x:si>
    <x:t xml:space="preserve">Feeling down after not making the sports team. Disappointment lingers.</x:t>
  </x:si>
  <x:si>
    <x:t xml:space="preserve">SportsTeamRejectionHighSchool</x:t>
  </x:si>
  <x:si>
    <x:t xml:space="preserve">#Disappointment #HighSchoolSports</x:t>
  </x:si>
  <x:si>
    <x:t xml:space="preserve">Witnessed a heated argument in the cafeteria. Unpleasant atmosphere at lunch.</x:t>
  </x:si>
  <x:si>
    <x:t xml:space="preserve">CafeteriaConflictHighSchool</x:t>
  </x:si>
  <x:si>
    <x:t xml:space="preserve">#CafeteriaDrama #HighSchoolTension</x:t>
  </x:si>
  <x:si>
    <x:t xml:space="preserve">Received a not-so-great grade on a major project. Academic frustration setting in.</x:t>
  </x:si>
  <x:si>
    <x:t xml:space="preserve">ProjectGradeDisappointmentHighSchool</x:t>
  </x:si>
  <x:si>
    <x:t xml:space="preserve">#AcademicFrustration #HighSchoolStress</x:t>
  </x:si>
  <x:si>
    <x:t xml:space="preserve">Dealing with a personal setback. Sometimes life throws unexpected challenges.</x:t>
  </x:si>
  <x:si>
    <x:t xml:space="preserve">PersonalSetbackHighSchool</x:t>
  </x:si>
  <x:si>
    <x:t xml:space="preserve">#LifeChallenges #HighSchoolStruggles</x:t>
  </x:si>
  <x:si>
    <x:t xml:space="preserve">Feeling lonely on a Saturday night. Sometimes solitude hits harder than expected.</x:t>
  </x:si>
  <x:si>
    <x:t xml:space="preserve">LonelySaturdayHighSchool</x:t>
  </x:si>
  <x:si>
    <x:t xml:space="preserve">#LonelyNights #HighSchoolEmotions</x:t>
  </x:si>
  <x:si>
    <x:t xml:space="preserve">Experiencing cyberbullying. Hateful messages online are disheartening.</x:t>
  </x:si>
  <x:si>
    <x:t xml:space="preserve">CyberbullyingVictimHighSchool</x:t>
  </x:si>
  <x:si>
    <x:t xml:space="preserve">#StopCyberbullying #HighSchoolReality</x:t>
  </x:si>
  <x:si>
    <x:t xml:space="preserve">Caught in a torrential rainstorm without an umbrella. Today's weather is just bad luck.</x:t>
  </x:si>
  <x:si>
    <x:t xml:space="preserve">RainyDayBluesHighSchool</x:t>
  </x:si>
  <x:si>
    <x:t xml:space="preserve">#BadLuck #HighSchoolWeather</x:t>
  </x:si>
  <x:si>
    <x:t xml:space="preserve">Missing an important event due to unforeseen circumstances. A day filled with sadness.</x:t>
  </x:si>
  <x:si>
    <x:t xml:space="preserve">MissedOpportunityHighSchool</x:t>
  </x:si>
  <x:si>
    <x:t xml:space="preserve">#MissedChances #HighSchoolRegret</x:t>
  </x:si>
  <x:si>
    <x:t xml:space="preserve">Dealing with unfounded rumors circulating about personal life. Rumors can be hurtful.</x:t>
  </x:si>
  <x:si>
    <x:t xml:space="preserve">RumorVictimHighSchool</x:t>
  </x:si>
  <x:si>
    <x:t xml:space="preserve">#RumorMills #HighSchoolDrama</x:t>
  </x:si>
  <x:si>
    <x:t xml:space="preserve">Got a flat tire on the way to an important meeting. Talk about a series of bad events!</x:t>
  </x:si>
  <x:si>
    <x:t xml:space="preserve">FlatTireWoesHighSchool</x:t>
  </x:si>
  <x:si>
    <x:t xml:space="preserve">#BadLuckDay #HighSchoolStruggles</x:t>
  </x:si>
  <x:si>
    <x:t xml:space="preserve">Feeling a sense of emptiness after a close friend moves away. Farewells are always sad.</x:t>
  </x:si>
  <x:si>
    <x:t xml:space="preserve">FriendMovingAwayHighSchool</x:t>
  </x:si>
  <x:si>
    <x:t xml:space="preserve">#SayingGoodbye #HighSchoolEmotions</x:t>
  </x:si>
  <x:si>
    <x:t xml:space="preserve">Facing rejection from a dream college. Disheartened but determined to explore other paths.</x:t>
  </x:si>
  <x:si>
    <x:t xml:space="preserve">CollegeRejectionHighSchool</x:t>
  </x:si>
  <x:si>
    <x:t xml:space="preserve">#CollegeDreams #HighSchoolJourney</x:t>
  </x:si>
  <x:si>
    <x:t xml:space="preserve">Encountering online toxicity during a gaming session. Hateful comments can ruin the fun.</x:t>
  </x:si>
  <x:si>
    <x:t xml:space="preserve">GamingToxicityHighSchool</x:t>
  </x:si>
  <x:si>
    <x:t xml:space="preserve">#OnlineGaming #HighSchoolGamer</x:t>
  </x:si>
  <x:si>
    <x:t xml:space="preserve">Having a bad hair day and feeling self-conscious. Bad hair days can affect confidence.</x:t>
  </x:si>
  <x:si>
    <x:t xml:space="preserve">BadHairDayBluesHighSchool</x:t>
  </x:si>
  <x:si>
    <x:t xml:space="preserve">#BadHairDay #HighSchoolConfidence</x:t>
  </x:si>
  <x:si>
    <x:t xml:space="preserve">Feeling a sense of despair after a major project failure. Hard work didn't pay off this time.</x:t>
  </x:si>
  <x:si>
    <x:t xml:space="preserve">ProjectFailureDespairHighSchool</x:t>
  </x:si>
  <x:si>
    <x:t xml:space="preserve">#ProjectStruggles #HighSchoolHardships</x:t>
  </x:si>
  <x:si>
    <x:t xml:space="preserve">Experiencing hate comments for expressing personal opinions. Online negativity prevails.</x:t>
  </x:si>
  <x:si>
    <x:t xml:space="preserve">OpinionsHateHighSchool</x:t>
  </x:si>
  <x:si>
    <x:t xml:space="preserve">#OnlineOpinions #HighSchoolCriticism</x:t>
  </x:si>
  <x:si>
    <x:t xml:space="preserve">Having a string of bad luck with constant technology malfunctions. Tech troubles galore!</x:t>
  </x:si>
  <x:si>
    <x:t xml:space="preserve">TechMalfunctionWoesHighSchool</x:t>
  </x:si>
  <x:si>
    <x:t xml:space="preserve">#TechIssues #HighSchoolTech</x:t>
  </x:si>
  <x:si>
    <x:t xml:space="preserve">Missing out on a long-anticipated event due to unexpected circumstances. A day filled with sadness.</x:t>
  </x:si>
  <x:si>
    <x:t xml:space="preserve">MissedEventBluesHighSchool</x:t>
  </x:si>
  <x:si>
    <x:t xml:space="preserve">#MissedMoments #HighSchoolRegret</x:t>
  </x:si>
  <x:si>
    <x:t xml:space="preserve">Trying out a new study technique for upcoming exams. Exploring different learning strategies.</x:t>
  </x:si>
  <x:si>
    <x:t xml:space="preserve">StudyTechniqueExperimentHighSchool</x:t>
  </x:si>
  <x:si>
    <x:t xml:space="preserve">#StudyStrategies #HighSchoolExams</x:t>
  </x:si>
  <x:si>
    <x:t xml:space="preserve">Organizing a community cleanup event for a cleaner neighborhood. Promoting environmental awareness.</x:t>
  </x:si>
  <x:si>
    <x:t xml:space="preserve">CommunityCleanupHighSchool</x:t>
  </x:si>
  <x:si>
    <x:t xml:space="preserve">#EnvironmentalEfforts #HighSchoolCommunity</x:t>
  </x:si>
  <x:si>
    <x:t xml:space="preserve">Sharing favorite book recommendations with classmates. Building a mini book club.</x:t>
  </x:si>
  <x:si>
    <x:t xml:space="preserve">BookRecommendationsHighSchool</x:t>
  </x:si>
  <x:si>
    <x:t xml:space="preserve">#BookClub #HighSchoolReads</x:t>
  </x:si>
  <x:si>
    <x:t xml:space="preserve">Experimenting with a new recipe for a school bake sale. Baking adventures in the kitchen.</x:t>
  </x:si>
  <x:si>
    <x:t xml:space="preserve">BakeSaleRecipeExperimentHighSchool</x:t>
  </x:si>
  <x:si>
    <x:t xml:space="preserve">#BakingAdventures #HighSchoolBakes</x:t>
  </x:si>
  <x:si>
    <x:t xml:space="preserve">Collaborating on a school project with peers. Teamwork makes the dream work.</x:t>
  </x:si>
  <x:si>
    <x:t xml:space="preserve">SchoolProjectCollaborationHighSchool</x:t>
  </x:si>
  <x:si>
    <x:t xml:space="preserve">#Teamwork #HighSchoolProjects</x:t>
  </x:si>
  <x:si>
    <x:t xml:space="preserve">Attending a school club meeting to explore new interests. Dabbling in extracurricular activities.</x:t>
  </x:si>
  <x:si>
    <x:t xml:space="preserve">ExtracurricularExplorationHighSchool</x:t>
  </x:si>
  <x:si>
    <x:t xml:space="preserve">#SchoolClubs #HighSchoolInterests</x:t>
  </x:si>
  <x:si>
    <x:t xml:space="preserve">Exploring a new part-time job opportunity for gaining work experience. Career development in progress.</x:t>
  </x:si>
  <x:si>
    <x:t xml:space="preserve">PartTimeJobExplorationHighSchool</x:t>
  </x:si>
  <x:si>
    <x:t xml:space="preserve">#CareerDevelopment #HighSchoolJobs</x:t>
  </x:si>
  <x:si>
    <x:t xml:space="preserve">Attending a school assembly to stay informed about upcoming events and announcements. Staying connected with school activities.</x:t>
  </x:si>
  <x:si>
    <x:t xml:space="preserve">SchoolAssemblyParticipationHighSchool</x:t>
  </x:si>
  <x:si>
    <x:t xml:space="preserve">#SchoolEvents #HighSchoolConnectivity</x:t>
  </x:si>
  <x:si>
    <x:t xml:space="preserve">Exploring a new hobby of photography during free time. Capturing moments through a lens.</x:t>
  </x:si>
  <x:si>
    <x:t xml:space="preserve">PhotographyHobbyHighSchool</x:t>
  </x:si>
  <x:si>
    <x:t xml:space="preserve">#PhotographyJourney #HighSchoolHobbies</x:t>
  </x:si>
  <x:si>
    <x:t xml:space="preserve">Participating in a science fair to showcase a unique experiment. Sharing knowledge with peers.</x:t>
  </x:si>
  <x:si>
    <x:t xml:space="preserve">ScienceFairParticipationHighSchool</x:t>
  </x:si>
  <x:si>
    <x:t xml:space="preserve">#ScienceFair #HighSchoolScience</x:t>
  </x:si>
  <x:si>
    <x:t xml:space="preserve">Attending a workshop on time management to enhance organizational skills. Striving for efficiency.</x:t>
  </x:si>
  <x:si>
    <x:t xml:space="preserve">TimeManagementWorkshopHighSchool</x:t>
  </x:si>
  <x:si>
    <x:t xml:space="preserve">#EfficiencyGoals #HighSchoolSkills</x:t>
  </x:si>
  <x:si>
    <x:t xml:space="preserve">Volunteering at a local charity event to give back to the community. Contributing to social causes.</x:t>
  </x:si>
  <x:si>
    <x:t xml:space="preserve">CharityEventVolunteerHighSchool</x:t>
  </x:si>
  <x:si>
    <x:t xml:space="preserve">#CommunityService #HighSchoolVolunteer</x:t>
  </x:si>
  <x:si>
    <x:t xml:space="preserve">Collaborating on a group project to promote teamwork and shared responsibilities. Group effort in action.</x:t>
  </x:si>
  <x:si>
    <x:t xml:space="preserve">GroupProjectCollaborationHighSchool</x:t>
  </x:si>
  <x:si>
    <x:t xml:space="preserve">#TeamSpirit #HighSchoolProjects</x:t>
  </x:si>
  <x:si>
    <x:t xml:space="preserve">Participating in a debate club to enhance critical thinking and communication skills. Intellectual engagement in progress.</x:t>
  </x:si>
  <x:si>
    <x:t xml:space="preserve">DebateClubParticipationHighSchool</x:t>
  </x:si>
  <x:si>
    <x:t xml:space="preserve">#DebateSkills #HighSchoolIntellect</x:t>
  </x:si>
  <x:si>
    <x:t xml:space="preserve">Celebrating a friend's birthday with a surprise party. Joyful moments and laughter all around!</x:t>
  </x:si>
  <x:si>
    <x:t xml:space="preserve">BirthdaySurpriseHighSchool</x:t>
  </x:si>
  <x:si>
    <x:t xml:space="preserve">#SurpriseParty #HighSchoolCelebration</x:t>
  </x:si>
  <x:si>
    <x:t xml:space="preserve">Successfully completing a challenging coding project. Excitement for overcoming coding hurdles!</x:t>
  </x:si>
  <x:si>
    <x:t xml:space="preserve">CodingSuccessHighSchool</x:t>
  </x:si>
  <x:si>
    <x:t xml:space="preserve">#CodingTriumph #HighSchoolTech</x:t>
  </x:si>
  <x:si>
    <x:t xml:space="preserve">Attending a school talent show to support classmates. Applauding the diverse talents on display!</x:t>
  </x:si>
  <x:si>
    <x:t xml:space="preserve">TalentShowSupportHighSchool</x:t>
  </x:si>
  <x:si>
    <x:t xml:space="preserve">#TalentShow #HighSchoolEntertainment</x:t>
  </x:si>
  <x:si>
    <x:t xml:space="preserve">Exploring a new hiking trail with friends over the weekend. Nature, laughter, and good vibes!</x:t>
  </x:si>
  <x:si>
    <x:t xml:space="preserve">WeekendHikeHighSchool</x:t>
  </x:si>
  <x:si>
    <x:t xml:space="preserve">#NatureAdventures #HighSchoolFriends</x:t>
  </x:si>
  <x:si>
    <x:t xml:space="preserve">Winning a friendly sports competition against rival schools. Victory celebrations in full swing!</x:t>
  </x:si>
  <x:si>
    <x:t xml:space="preserve">SportsVictoryHighSchool</x:t>
  </x:si>
  <x:si>
    <x:t xml:space="preserve">#SportsTriumph #HighSchoolAthletics</x:t>
  </x:si>
  <x:si>
    <x:t xml:space="preserve">Receiving a heartfelt letter from a pen pal in another country. Connecting across the globe!</x:t>
  </x:si>
  <x:si>
    <x:t xml:space="preserve">PenPalConnectionHighSchool</x:t>
  </x:si>
  <x:si>
    <x:t xml:space="preserve">#GlobalFriendship #HighSchoolCorrespondence</x:t>
  </x:si>
  <x:si>
    <x:t xml:space="preserve">Creating a beautiful mural with fellow art enthusiasts. The power of collaboration and creativity!</x:t>
  </x:si>
  <x:si>
    <x:t xml:space="preserve">MuralCreationHighSchool</x:t>
  </x:si>
  <x:si>
    <x:t xml:space="preserve">#ArtCollaboration #HighSchoolCreativity</x:t>
  </x:si>
  <x:si>
    <x:t xml:space="preserve">Participating in a school-wide art exhibition. Witnessing creativity and spreading positive vibes!</x:t>
  </x:si>
  <x:si>
    <x:t xml:space="preserve">ArtExhibitionJoyHighSchool</x:t>
  </x:si>
  <x:si>
    <x:t xml:space="preserve">#ArtisticExpression #HighSchoolCreativity</x:t>
  </x:si>
  <x:si>
    <x:t xml:space="preserve">Achieving a personal best in a track and field competition. The thrill of victory and self-improvement!</x:t>
  </x:si>
  <x:si>
    <x:t xml:space="preserve">TrackFieldSuccessHighSchool</x:t>
  </x:si>
  <x:si>
    <x:t xml:space="preserve">#AthleticAchievement #HighSchoolSports</x:t>
  </x:si>
  <x:si>
    <x:t xml:space="preserve">Collaborating on a science project that received recognition at a regional fair. Science triumphs and smiles!</x:t>
  </x:si>
  <x:si>
    <x:t xml:space="preserve">ScienceProjectSuccessHighSchool</x:t>
  </x:si>
  <x:si>
    <x:t xml:space="preserve">#ScienceFairWinner #HighSchoolScience</x:t>
  </x:si>
  <x:si>
    <x:t xml:space="preserve">Attending a surprise birthday party organized by friends. Surrounded by love, laughter, and good company!</x:t>
  </x:si>
  <x:si>
    <x:t xml:space="preserve">BirthdayPartyJoyHighSchool</x:t>
  </x:si>
  <x:si>
    <x:t xml:space="preserve">#SurpriseCelebration #HighSchoolFriendship</x:t>
  </x:si>
  <x:si>
    <x:t xml:space="preserve">Successfully fundraising for a school charity initiative. The joy of giving back to the community!</x:t>
  </x:si>
  <x:si>
    <x:t xml:space="preserve">CharityFundraisingTriumphHighSchool</x:t>
  </x:si>
  <x:si>
    <x:t xml:space="preserve">#CommunityGiving #HighSchoolPhilanthropy</x:t>
  </x:si>
  <x:si>
    <x:t xml:space="preserve">Participating in a multicultural festival, celebrating diversity with music, dance, and delicious food!</x:t>
  </x:si>
  <x:si>
    <x:t xml:space="preserve">MulticulturalFestivalJoyHighSchool</x:t>
  </x:si>
  <x:si>
    <x:t xml:space="preserve">#CulturalCelebration #HighSchoolUnity</x:t>
  </x:si>
  <x:si>
    <x:t xml:space="preserve">Organizing a virtual talent show during challenging times, bringing smiles to classmates' faces!</x:t>
  </x:si>
  <x:si>
    <x:t xml:space="preserve">VirtualTalentShowSuccessHighSchool</x:t>
  </x:si>
  <x:si>
    <x:t xml:space="preserve">#VirtualEntertainment #HighSchoolPositivity</x:t>
  </x:si>
  <x:si>
    <x:t xml:space="preserve">Statistic</x:t>
  </x:si>
  <x:si>
    <x:t xml:space="preserve">Count (N)</x:t>
  </x:si>
  <x:si>
    <x:t xml:space="preserve">Mean</x:t>
  </x:si>
  <x:si>
    <x:t xml:space="preserve">Median</x:t>
  </x:si>
  <x:si>
    <x:t xml:space="preserve">Mode</x:t>
  </x:si>
  <x:si>
    <x:t xml:space="preserve">Standard Deviation</x:t>
  </x:si>
  <x:si>
    <x:t xml:space="preserve">Variance</x:t>
  </x:si>
  <x:si>
    <x:t xml:space="preserve">Minimum</x:t>
  </x:si>
  <x:si>
    <x:t xml:space="preserve">Maximum</x:t>
  </x:si>
  <x:si>
    <x:t xml:space="preserve">Range</x:t>
  </x:si>
  <x:si>
    <x:t xml:space="preserve">Sentiment Group</x:t>
  </x:si>
  <x:si>
    <x:t xml:space="preserve">Post Count</x:t>
  </x:si>
  <x:si>
    <x:t xml:space="preserve">% of Total Posts</x:t>
  </x:si>
  <x:si>
    <x:t xml:space="preserve">Avg Likes</x:t>
  </x:si>
  <x:si>
    <x:t xml:space="preserve">Avg Retweets</x:t>
  </x:si>
  <x:si>
    <x:t xml:space="preserve">Total Likes</x:t>
  </x:si>
  <x:si>
    <x:t xml:space="preserve">Total Retweets</x:t>
  </x:si>
  <x:si>
    <x:t xml:space="preserve">TOTAL</x:t>
  </x:si>
  <x:si>
    <x:t xml:space="preserve">Total</x:t>
  </x:si>
  <x:si>
    <x:t xml:space="preserve">Top 10 Subtotal</x:t>
  </x:si>
  <x:si>
    <x:t xml:space="preserve">Positive Posts</x:t>
  </x:si>
  <x:si>
    <x:t xml:space="preserve">Negative Posts</x:t>
  </x:si>
  <x:si>
    <x:t xml:space="preserve">Neutral Posts</x:t>
  </x:si>
  <x:si>
    <x:t xml:space="preserve">Metric</x:t>
  </x:si>
  <x:si>
    <x:t xml:space="preserve">Value</x:t>
  </x:si>
  <x:si>
    <x:t xml:space="preserve">Pearson correlation coefficient (Likes, Retweets)</x:t>
  </x:si>
  <x:si>
    <x:t xml:space="preserve">R-squared (Likes explained by Retweets)</x:t>
  </x:si>
  <x:si>
    <x:t xml:space="preserve">Regression slope (Likes = slope*Retweets + intercept)</x:t>
  </x:si>
  <x:si>
    <x:t xml:space="preserve">Regression intercept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</x:si>
</x:sst>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0.0%"/>
    <x:numFmt numFmtId="166" formatCode="0.00"/>
    <x:numFmt numFmtId="167" formatCode="0.0000"/>
    <x:numFmt numFmtId="200" formatCode="0.00%"/>
  </x:numFmts>
  <x:fonts count="2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4E78"/>
      <x:name val="Arial"/>
    </x:font>
    <x:font>
      <x:b/>
      <x:sz val="12"/>
      <x:name val="Arial"/>
    </x:font>
    <x:font>
      <x:i/>
      <x:sz val="10"/>
      <x:color rgb="FF666666"/>
      <x:name val="Arial"/>
    </x:font>
    <x:font>
      <x:b/>
      <x:sz val="11"/>
      <x:name val="Arial"/>
    </x:font>
    <x:font>
      <x:sz val="10"/>
      <x:name val="Arial"/>
    </x:font>
    <x:font>
      <x:b/>
      <x:sz val="11"/>
      <x:color rgb="FFFFFFFF"/>
      <x:name val="Arial"/>
    </x:font>
    <x:font>
      <x:i/>
      <x:sz val="9"/>
      <x:color rgb="FF808080"/>
      <x:name val="Arial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4"/>
      <x:color rgb="FF1F4E78"/>
      <x:name val="Calibri"/>
    </x:font>
    <x:font>
      <x:b/>
      <x:sz val="13"/>
      <x:color rgb="FF1F4E78"/>
      <x:name val="Calibri"/>
    </x:font>
    <x:font>
      <x:i/>
      <x:sz val="10"/>
      <x:color rgb="FF595959"/>
      <x:name val="Calibri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color rgb="FF1F1F1F"/>
      <x:name val="Calibri"/>
    </x:font>
    <x:font>
      <x:b/>
      <x:sz val="10"/>
      <x:color rgb="FFFFFFFF"/>
      <x:name val="Calibri"/>
    </x:font>
    <x:font>
      <x:sz val="10"/>
      <x:name val="Calibri"/>
    </x:font>
    <x:font>
      <x:b/>
      <x:sz val="11"/>
      <x:color rgb="FF1F4E78"/>
      <x:name val="Calibri"/>
    </x:font>
    <x:font>
      <x:i/>
      <x:sz val="11"/>
      <x:color rgb="FF595959"/>
      <x:name val="Calibri"/>
    </x:font>
    <x:font>
      <x:b/>
      <x:sz val="11"/>
      <x:name val="Calibri"/>
    </x:font>
    <x:font>
      <x:i/>
      <x:sz val="11"/>
      <x:color rgb="FF80808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2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  <x:border diagonalUp="0" diagonalDown="0">
      <x:left/>
      <x:right/>
      <x:top/>
      <x:bottom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3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2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general" vertical="top" wrapText="1"/>
    </x:xf>
    <x:xf numFmtId="164" fontId="10" fillId="0" borderId="0" xfId="0" applyFont="1" applyBorder="1" applyAlignment="0">
      <x:alignment horizontal="general" vertical="bottom" wrapText="0"/>
    </x:xf>
    <x:xf numFmtId="164" fontId="8" fillId="0" borderId="1" xfId="0" applyFont="1" applyBorder="1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4" fontId="7" fillId="0" borderId="1" xfId="0" applyFont="1" applyBorder="1" applyAlignment="0">
      <x:alignment horizontal="general" vertical="bottom" wrapText="0"/>
    </x:xf>
    <x:xf numFmtId="165" fontId="8" fillId="0" borderId="1" xfId="0" applyFont="1" applyBorder="1" applyAlignment="0">
      <x:alignment horizontal="general" vertical="bottom" wrapText="0"/>
    </x:xf>
    <x:xf numFmtId="166" fontId="8" fillId="0" borderId="1" xfId="0" applyFont="1" applyBorder="1" applyAlignment="0">
      <x:alignment horizontal="general" vertical="bottom" wrapText="0"/>
    </x:xf>
    <x:xf numFmtId="165" fontId="7" fillId="0" borderId="1" xfId="0" applyFont="1" applyBorder="1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7" fontId="8" fillId="0" borderId="1" xfId="0" applyFont="1" applyBorder="1" applyAlignment="0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bottom" wrapText="0"/>
    </x:xf>
    <x:xf numFmtId="164" fontId="9" fillId="2" borderId="3" xfId="0" applyNumberFormat="1" applyFont="1" applyFill="1" applyBorder="1" applyAlignment="1">
      <x:alignment horizontal="center" vertical="center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10" fillId="0" borderId="2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general" vertical="bottom" wrapText="0"/>
    </x:xf>
    <x:xf numFmtId="165" fontId="1" fillId="0" borderId="3" xfId="0" applyNumberFormat="1" applyFont="1" applyFill="1" applyBorder="1" applyAlignment="1">
      <x:alignment horizontal="general" vertical="bottom" wrapText="0"/>
    </x:xf>
    <x:xf numFmtId="166" fontId="1" fillId="0" borderId="3" xfId="0" applyNumberFormat="1" applyFont="1" applyFill="1" applyBorder="1" applyAlignment="1">
      <x:alignment horizontal="general" vertical="bottom" wrapText="0"/>
    </x:xf>
    <x:xf numFmtId="165" fontId="7" fillId="0" borderId="3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7" fontId="1" fillId="0" borderId="3" xfId="0" applyNumberFormat="1" applyFont="1" applyFill="1" applyBorder="1" applyAlignment="1">
      <x:alignment horizontal="general" vertical="bottom" wrapText="0"/>
    </x:xf>
    <x:xf numFmtId="164" fontId="4" fillId="3" borderId="0" xfId="0" applyNumberFormat="1" applyFont="1" applyFill="1" applyBorder="1" applyAlignment="1">
      <x:alignment horizontal="general" vertical="bottom" wrapText="0"/>
    </x:xf>
    <x:xf numFmtId="164" fontId="14" fillId="3" borderId="0" xfId="0" applyNumberFormat="1" applyFont="1" applyFill="1" applyBorder="1" applyAlignment="1">
      <x:alignment horizontal="general" vertical="bottom" wrapText="0"/>
    </x:xf>
    <x:xf numFmtId="164" fontId="14" fillId="3" borderId="0" xfId="0" applyNumberFormat="1" applyFont="1" applyFill="1" applyBorder="1" applyAlignment="1">
      <x:alignment horizontal="general" vertical="center" wrapText="0"/>
    </x:xf>
    <x:xf numFmtId="164" fontId="4" fillId="3" borderId="2" xfId="0" applyNumberFormat="1" applyFont="1" applyFill="1" applyBorder="1" applyAlignment="1">
      <x:alignment horizontal="general" vertical="bottom" wrapText="0"/>
    </x:xf>
    <x:xf numFmtId="164" fontId="14" fillId="3" borderId="2" xfId="0" applyNumberFormat="1" applyFont="1" applyFill="1" applyBorder="1" applyAlignment="1">
      <x:alignment horizontal="general" vertical="bottom" wrapText="0"/>
    </x:xf>
    <x:xf numFmtId="164" fontId="14" fillId="3" borderId="2" xfId="0" applyNumberFormat="1" applyFont="1" applyFill="1" applyBorder="1" applyAlignment="1">
      <x:alignment horizontal="general" vertical="center" wrapText="0"/>
    </x:xf>
    <x:xf numFmtId="164" fontId="15" fillId="0" borderId="0" xfId="0" applyNumberFormat="1" applyFont="1" applyFill="1" applyBorder="1" applyAlignment="1">
      <x:alignment horizontal="general" vertical="bottom" wrapText="0"/>
    </x:xf>
    <x:xf numFmtId="164" fontId="15" fillId="0" borderId="2" xfId="0" applyNumberFormat="1" applyFont="1" applyFill="1" applyBorder="1" applyAlignment="1">
      <x:alignment horizontal="general" vertical="bottom" wrapText="0"/>
    </x:xf>
    <x:xf numFmtId="164" fontId="6" fillId="3" borderId="0" xfId="0" applyNumberFormat="1" applyFont="1" applyFill="1" applyBorder="1" applyAlignment="1">
      <x:alignment horizontal="general" vertical="bottom" wrapText="0"/>
    </x:xf>
    <x:xf numFmtId="164" fontId="16" fillId="3" borderId="0" xfId="0" applyNumberFormat="1" applyFont="1" applyFill="1" applyBorder="1" applyAlignment="1">
      <x:alignment horizontal="general" vertical="bottom" wrapText="0"/>
    </x:xf>
    <x:xf numFmtId="164" fontId="6" fillId="3" borderId="2" xfId="0" applyNumberFormat="1" applyFont="1" applyFill="1" applyBorder="1" applyAlignment="1">
      <x:alignment horizontal="general" vertical="bottom" wrapText="0"/>
    </x:xf>
    <x:xf numFmtId="164" fontId="16" fillId="3" borderId="2" xfId="0" applyNumberFormat="1" applyFont="1" applyFill="1" applyBorder="1" applyAlignment="1">
      <x:alignment horizontal="general" vertical="bottom" wrapText="0"/>
    </x:xf>
    <x:xf numFmtId="164" fontId="17" fillId="2" borderId="1" xfId="0" applyNumberFormat="1" applyFont="1" applyFill="1" applyBorder="1" applyAlignment="1">
      <x:alignment horizontal="center" vertical="center" wrapText="1"/>
    </x:xf>
    <x:xf numFmtId="164" fontId="18" fillId="0" borderId="1" xfId="0" applyNumberFormat="1" applyFont="1" applyFill="1" applyBorder="1" applyAlignment="1">
      <x:alignment horizontal="general" vertical="top" wrapText="1"/>
    </x:xf>
    <x:xf numFmtId="164" fontId="17" fillId="2" borderId="3" xfId="0" applyNumberFormat="1" applyFont="1" applyFill="1" applyBorder="1" applyAlignment="1">
      <x:alignment horizontal="center" vertical="center" wrapText="1"/>
    </x:xf>
    <x:xf numFmtId="164" fontId="18" fillId="0" borderId="3" xfId="0" applyNumberFormat="1" applyFont="1" applyFill="1" applyBorder="1" applyAlignment="1">
      <x:alignment horizontal="general" vertical="top" wrapText="1"/>
    </x:xf>
    <x:xf numFmtId="164" fontId="17" fillId="4" borderId="1" xfId="0" applyNumberFormat="1" applyFont="1" applyFill="1" applyBorder="1" applyAlignment="1">
      <x:alignment horizontal="center" vertical="center" wrapText="1"/>
    </x:xf>
    <x:xf numFmtId="164" fontId="19" fillId="4" borderId="1" xfId="0" applyNumberFormat="1" applyFont="1" applyFill="1" applyBorder="1" applyAlignment="1">
      <x:alignment horizontal="center" vertical="center" wrapText="1"/>
    </x:xf>
    <x:xf numFmtId="164" fontId="17" fillId="4" borderId="3" xfId="0" applyNumberFormat="1" applyFont="1" applyFill="1" applyBorder="1" applyAlignment="1">
      <x:alignment horizontal="center" vertical="center" wrapText="1"/>
    </x:xf>
    <x:xf numFmtId="164" fontId="19" fillId="4" borderId="3" xfId="0" applyNumberFormat="1" applyFont="1" applyFill="1" applyBorder="1" applyAlignment="1">
      <x:alignment horizontal="center" vertical="center" wrapText="1"/>
    </x:xf>
    <x:xf numFmtId="164" fontId="9" fillId="4" borderId="1" xfId="0" applyNumberFormat="1" applyFont="1" applyFill="1" applyBorder="1" applyAlignment="1">
      <x:alignment horizontal="center" vertical="center" wrapText="1"/>
    </x:xf>
    <x:xf numFmtId="164" fontId="9" fillId="4" borderId="3" xfId="0" applyNumberFormat="1" applyFont="1" applyFill="1" applyBorder="1" applyAlignment="1">
      <x:alignment horizontal="center" vertical="center" wrapText="1"/>
    </x:xf>
    <x:xf numFmtId="164" fontId="10" fillId="3" borderId="0" xfId="0" applyNumberFormat="1" applyFont="1" applyFill="1" applyBorder="1" applyAlignment="1">
      <x:alignment horizontal="general" vertical="bottom" wrapText="0"/>
    </x:xf>
    <x:xf numFmtId="164" fontId="10" fillId="3" borderId="2" xfId="0" applyNumberFormat="1" applyFont="1" applyFill="1" applyBorder="1" applyAlignment="1">
      <x:alignment horizontal="general" vertical="bottom" wrapText="0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0" fillId="3" borderId="2" xfId="0" applyNumberFormat="1" applyFont="1" applyFill="1" applyBorder="1" applyAlignment="1">
      <x:alignment horizontal="general" vertical="bottom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19" fillId="4" borderId="0" xfId="0" applyNumberFormat="1" applyFont="1" applyFill="1" applyBorder="1" applyAlignment="1">
      <x:alignment horizontal="general" vertical="bottom" wrapText="0"/>
    </x:xf>
    <x:xf numFmtId="164" fontId="19" fillId="4" borderId="0" xfId="0" applyNumberFormat="1" applyFont="1" applyFill="1" applyBorder="1" applyAlignment="1">
      <x:alignment horizontal="center" vertical="bottom" wrapText="0"/>
    </x:xf>
    <x:xf numFmtId="164" fontId="19" fillId="4" borderId="0" xfId="0" applyNumberFormat="1" applyFont="1" applyFill="1" applyBorder="1" applyAlignment="1">
      <x:alignment horizontal="center" vertical="center" wrapText="0"/>
    </x:xf>
    <x:xf numFmtId="164" fontId="0" fillId="4" borderId="2" xfId="0" applyNumberFormat="1" applyFont="1" applyFill="1" applyBorder="1" applyAlignment="1">
      <x:alignment horizontal="general" vertical="bottom" wrapText="0"/>
    </x:xf>
    <x:xf numFmtId="164" fontId="19" fillId="4" borderId="2" xfId="0" applyNumberFormat="1" applyFont="1" applyFill="1" applyBorder="1" applyAlignment="1">
      <x:alignment horizontal="general" vertical="bottom" wrapText="0"/>
    </x:xf>
    <x:xf numFmtId="164" fontId="19" fillId="4" borderId="2" xfId="0" applyNumberFormat="1" applyFont="1" applyFill="1" applyBorder="1" applyAlignment="1">
      <x:alignment horizontal="center" vertical="bottom" wrapText="0"/>
    </x:xf>
    <x:xf numFmtId="164" fontId="19" fillId="4" borderId="2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2" xfId="0" applyNumberFormat="1" applyFont="1" applyFill="1" applyBorder="1" applyAlignment="1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6" fontId="0" fillId="0" borderId="2" xfId="0" applyNumberFormat="1" applyFont="1" applyFill="1" applyBorder="1" applyAlignment="1">
      <x:alignment horizontal="general" vertical="bottom" wrapText="0"/>
    </x:xf>
    <x:xf numFmtId="164" fontId="20" fillId="2" borderId="1" xfId="0" applyNumberFormat="1" applyFont="1" applyFill="1" applyBorder="1" applyAlignment="1">
      <x:alignment horizontal="center" vertical="center" wrapText="1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20" fillId="2" borderId="3" xfId="0" applyNumberFormat="1" applyFont="1" applyFill="1" applyBorder="1" applyAlignment="1">
      <x:alignment horizontal="center" vertical="center" wrapText="1"/>
    </x:xf>
    <x:xf numFmtId="164" fontId="21" fillId="0" borderId="2" xfId="0" applyNumberFormat="1" applyFont="1" applyFill="1" applyBorder="1" applyAlignment="1">
      <x:alignment horizontal="general" vertical="bottom" wrapText="0"/>
    </x:xf>
    <x:xf numFmtId="164" fontId="20" fillId="4" borderId="1" xfId="0" applyNumberFormat="1" applyFont="1" applyFill="1" applyBorder="1" applyAlignment="1">
      <x:alignment horizontal="center" vertical="center" wrapText="1"/>
    </x:xf>
    <x:xf numFmtId="164" fontId="20" fillId="4" borderId="3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22" fillId="3" borderId="0" xfId="0" applyNumberFormat="1" applyFont="1" applyFill="1" applyBorder="1" applyAlignment="1">
      <x:alignment horizontal="general" vertical="center" wrapText="0"/>
    </x:xf>
    <x:xf numFmtId="164" fontId="23" fillId="3" borderId="0" xfId="0" applyNumberFormat="1" applyFont="1" applyFill="1" applyBorder="1" applyAlignment="1">
      <x:alignment horizontal="general" vertical="bottom" wrapText="0"/>
    </x:xf>
    <x:xf numFmtId="164" fontId="24" fillId="0" borderId="1" xfId="0" applyNumberFormat="1" applyFont="1" applyFill="1" applyBorder="1" applyAlignment="1">
      <x:alignment horizontal="general" vertical="bottom" wrapText="0"/>
    </x:xf>
    <x:xf numFmtId="164" fontId="18" fillId="0" borderId="1" xfId="0" applyNumberFormat="1" applyFont="1" applyFill="1" applyBorder="1" applyAlignment="1">
      <x:alignment horizontal="general" vertical="bottom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2" fillId="3" borderId="2" xfId="0" applyNumberFormat="1" applyFont="1" applyFill="1" applyBorder="1" applyAlignment="1">
      <x:alignment horizontal="general" vertical="center" wrapText="0"/>
    </x:xf>
    <x:xf numFmtId="164" fontId="23" fillId="3" borderId="2" xfId="0" applyNumberFormat="1" applyFont="1" applyFill="1" applyBorder="1" applyAlignment="1">
      <x:alignment horizontal="general" vertical="bottom" wrapText="0"/>
    </x:xf>
    <x:xf numFmtId="164" fontId="24" fillId="0" borderId="3" xfId="0" applyNumberFormat="1" applyFont="1" applyFill="1" applyBorder="1" applyAlignment="1">
      <x:alignment horizontal="general" vertical="bottom" wrapText="0"/>
    </x:xf>
    <x:xf numFmtId="164" fontId="18" fillId="0" borderId="3" xfId="0" applyNumberFormat="1" applyFont="1" applyFill="1" applyBorder="1" applyAlignment="1">
      <x:alignment horizontal="general" vertical="bottom" wrapText="0"/>
    </x:xf>
    <x:xf numFmtId="164" fontId="25" fillId="0" borderId="2" xfId="0" applyNumberFormat="1" applyFont="1" applyFill="1" applyBorder="1" applyAlignment="1">
      <x:alignment horizontal="general" vertical="bottom" wrapText="0"/>
    </x:xf>
    <x:xf numFmtId="165" fontId="18" fillId="0" borderId="1" xfId="0" applyNumberFormat="1" applyFont="1" applyFill="1" applyBorder="1" applyAlignment="1">
      <x:alignment horizontal="general" vertical="bottom" wrapText="0"/>
    </x:xf>
    <x:xf numFmtId="166" fontId="18" fillId="0" borderId="1" xfId="0" applyNumberFormat="1" applyFont="1" applyFill="1" applyBorder="1" applyAlignment="1">
      <x:alignment horizontal="general" vertical="bottom" wrapText="0"/>
    </x:xf>
    <x:xf numFmtId="165" fontId="24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5" fontId="18" fillId="0" borderId="3" xfId="0" applyNumberFormat="1" applyFont="1" applyFill="1" applyBorder="1" applyAlignment="1">
      <x:alignment horizontal="general" vertical="bottom" wrapText="0"/>
    </x:xf>
    <x:xf numFmtId="166" fontId="18" fillId="0" borderId="3" xfId="0" applyNumberFormat="1" applyFont="1" applyFill="1" applyBorder="1" applyAlignment="1">
      <x:alignment horizontal="general" vertical="bottom" wrapText="0"/>
    </x:xf>
    <x:xf numFmtId="165" fontId="24" fillId="0" borderId="3" xfId="0" applyNumberFormat="1" applyFont="1" applyFill="1" applyBorder="1" applyAlignment="1">
      <x:alignment horizontal="general" vertical="bottom" wrapText="0"/>
    </x:xf>
    <x:xf numFmtId="164" fontId="24" fillId="0" borderId="0" xfId="0" applyNumberFormat="1" applyFont="1" applyFill="1" applyBorder="1" applyAlignment="1">
      <x:alignment horizontal="general" vertical="bottom" wrapText="0"/>
    </x:xf>
    <x:xf numFmtId="164" fontId="24" fillId="0" borderId="2" xfId="0" applyNumberFormat="1" applyFont="1" applyFill="1" applyBorder="1" applyAlignment="1">
      <x:alignment horizontal="general" vertical="bottom" wrapText="0"/>
    </x:xf>
    <x:xf numFmtId="167" fontId="18" fillId="0" borderId="1" xfId="0" applyNumberFormat="1" applyFont="1" applyFill="1" applyBorder="1" applyAlignment="1">
      <x:alignment horizontal="general" vertical="bottom" wrapText="0"/>
    </x:xf>
    <x:xf numFmtId="167" fontId="18" fillId="0" borderId="3" xfId="0" applyNumberFormat="1" applyFont="1" applyFill="1" applyBorder="1" applyAlignment="1">
      <x:alignment horizontal="general" vertical="bottom" wrapText="0"/>
    </x:xf>
    <x:xf numFmtId="200" fontId="18" fillId="0" borderId="1" xfId="0" applyNumberFormat="1" applyFont="1" applyFill="1" applyBorder="1" applyAlignment="1">
      <x:alignment horizontal="general" vertical="bottom" wrapText="0"/>
    </x:xf>
    <x:xf numFmtId="200" fontId="24" fillId="0" borderId="1" xfId="0" applyNumberFormat="1" applyFont="1" applyFill="1" applyBorder="1" applyAlignment="1">
      <x:alignment horizontal="general" vertical="bottom" wrapText="0"/>
    </x:xf>
    <x:xf numFmtId="200" fontId="18" fillId="0" borderId="3" xfId="0" applyNumberFormat="1" applyFont="1" applyFill="1" applyBorder="1" applyAlignment="1">
      <x:alignment horizontal="general" vertical="bottom" wrapText="0"/>
    </x:xf>
    <x:xf numFmtId="200" fontId="24" fillId="0" borderId="3" xfId="0" applyNumberFormat="1" applyFont="1" applyFill="1" applyBorder="1" applyAlignment="1">
      <x:alignment horizontal="general" vertical="bottom" wrapText="0"/>
    </x:xf>
    <x:xf numFmtId="164" fontId="14" fillId="3" borderId="0" xfId="0" applyNumberFormat="1" applyFont="1" applyFill="1" applyBorder="1" applyAlignment="1">
      <x:alignment horizontal="general" vertical="center" wrapText="1"/>
    </x:xf>
    <x:xf numFmtId="164" fontId="15" fillId="0" borderId="0" xfId="0" applyNumberFormat="1" applyFont="1" applyFill="1" applyBorder="1" applyAlignment="1">
      <x:alignment horizontal="general" vertical="bottom" wrapText="1"/>
    </x:xf>
    <x:xf numFmtId="164" fontId="16" fillId="3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7" fillId="0" borderId="0" xfId="0" applyNumberFormat="1" applyFont="1" applyFill="1" applyBorder="1" applyAlignment="1">
      <x:alignment horizontal="general" vertical="bottom" wrapText="1"/>
    </x:xf>
    <x:xf numFmtId="164" fontId="1" fillId="0" borderId="0" xfId="0" applyNumberFormat="1" applyFont="1" applyFill="1" applyBorder="1" applyAlignment="1">
      <x:alignment horizontal="general" vertical="bottom" wrapText="1"/>
    </x:xf>
    <x:xf numFmtId="164" fontId="14" fillId="3" borderId="2" xfId="0" applyNumberFormat="1" applyFont="1" applyFill="1" applyBorder="1" applyAlignment="1">
      <x:alignment horizontal="general" vertical="center" wrapText="1"/>
    </x:xf>
    <x:xf numFmtId="164" fontId="15" fillId="0" borderId="2" xfId="0" applyNumberFormat="1" applyFont="1" applyFill="1" applyBorder="1" applyAlignment="1">
      <x:alignment horizontal="general" vertical="bottom" wrapText="1"/>
    </x:xf>
    <x:xf numFmtId="164" fontId="16" fillId="3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7" fillId="0" borderId="2" xfId="0" applyNumberFormat="1" applyFont="1" applyFill="1" applyBorder="1" applyAlignment="1">
      <x:alignment horizontal="general" vertical="bottom" wrapText="1"/>
    </x:xf>
    <x:xf numFmtId="164" fontId="1" fillId="0" borderId="2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top" wrapText="1"/>
    </x:xf>
    <x:xf numFmtId="164" fontId="10" fillId="0" borderId="0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4" fontId="10" fillId="0" borderId="2" xfId="0" applyNumberFormat="1" applyFont="1" applyFill="1" applyBorder="1" applyAlignment="1">
      <x:alignment horizontal="general" vertical="bottom" wrapText="1"/>
    </x:xf>
    <x:xf numFmtId="164" fontId="1" fillId="0" borderId="3" xfId="0" applyNumberFormat="1" applyFont="1" applyFill="1" applyBorder="1" applyAlignment="1">
      <x:alignment horizontal="general" vertical="bottom" wrapText="1"/>
    </x:xf>
    <x:xf numFmtId="164" fontId="22" fillId="3" borderId="0" xfId="0" applyNumberFormat="1" applyFont="1" applyFill="1" applyBorder="1" applyAlignment="1">
      <x:alignment horizontal="general" vertical="center" wrapText="1"/>
    </x:xf>
    <x:xf numFmtId="164" fontId="23" fillId="3" borderId="0" xfId="0" applyNumberFormat="1" applyFont="1" applyFill="1" applyBorder="1" applyAlignment="1">
      <x:alignment horizontal="general" vertical="bottom" wrapText="1"/>
    </x:xf>
    <x:xf numFmtId="164" fontId="19" fillId="4" borderId="0" xfId="0" applyNumberFormat="1" applyFont="1" applyFill="1" applyBorder="1" applyAlignment="1">
      <x:alignment horizontal="center" vertical="center" wrapText="1"/>
    </x:xf>
    <x:xf numFmtId="164" fontId="24" fillId="0" borderId="1" xfId="0" applyNumberFormat="1" applyFont="1" applyFill="1" applyBorder="1" applyAlignment="1">
      <x:alignment horizontal="general" vertical="bottom" wrapText="1"/>
    </x:xf>
    <x:xf numFmtId="164" fontId="18" fillId="0" borderId="1" xfId="0" applyNumberFormat="1" applyFont="1" applyFill="1" applyBorder="1" applyAlignment="1">
      <x:alignment horizontal="general" vertical="bottom" wrapText="1"/>
    </x:xf>
    <x:xf numFmtId="166" fontId="18" fillId="0" borderId="1" xfId="0" applyNumberFormat="1" applyFont="1" applyFill="1" applyBorder="1" applyAlignment="1">
      <x:alignment horizontal="general" vertical="bottom" wrapText="1"/>
    </x:xf>
    <x:xf numFmtId="164" fontId="25" fillId="0" borderId="0" xfId="0" applyNumberFormat="1" applyFont="1" applyFill="1" applyBorder="1" applyAlignment="1">
      <x:alignment horizontal="general" vertical="bottom" wrapText="1"/>
    </x:xf>
    <x:xf numFmtId="164" fontId="22" fillId="3" borderId="2" xfId="0" applyNumberFormat="1" applyFont="1" applyFill="1" applyBorder="1" applyAlignment="1">
      <x:alignment horizontal="general" vertical="center" wrapText="1"/>
    </x:xf>
    <x:xf numFmtId="164" fontId="23" fillId="3" borderId="2" xfId="0" applyNumberFormat="1" applyFont="1" applyFill="1" applyBorder="1" applyAlignment="1">
      <x:alignment horizontal="general" vertical="bottom" wrapText="1"/>
    </x:xf>
    <x:xf numFmtId="164" fontId="19" fillId="4" borderId="2" xfId="0" applyNumberFormat="1" applyFont="1" applyFill="1" applyBorder="1" applyAlignment="1">
      <x:alignment horizontal="center" vertical="center" wrapText="1"/>
    </x:xf>
    <x:xf numFmtId="164" fontId="24" fillId="0" borderId="3" xfId="0" applyNumberFormat="1" applyFont="1" applyFill="1" applyBorder="1" applyAlignment="1">
      <x:alignment horizontal="general" vertical="bottom" wrapText="1"/>
    </x:xf>
    <x:xf numFmtId="164" fontId="18" fillId="0" borderId="3" xfId="0" applyNumberFormat="1" applyFont="1" applyFill="1" applyBorder="1" applyAlignment="1">
      <x:alignment horizontal="general" vertical="bottom" wrapText="1"/>
    </x:xf>
    <x:xf numFmtId="166" fontId="18" fillId="0" borderId="3" xfId="0" applyNumberFormat="1" applyFont="1" applyFill="1" applyBorder="1" applyAlignment="1">
      <x:alignment horizontal="general" vertical="bottom" wrapText="1"/>
    </x:xf>
    <x:xf numFmtId="164" fontId="25" fillId="0" borderId="2" xfId="0" applyNumberFormat="1" applyFont="1" applyFill="1" applyBorder="1" applyAlignment="1">
      <x:alignment horizontal="general" vertical="bottom" wrapText="1"/>
    </x:xf>
    <x:xf numFmtId="200" fontId="18" fillId="0" borderId="1" xfId="0" applyNumberFormat="1" applyFont="1" applyFill="1" applyBorder="1" applyAlignment="1">
      <x:alignment horizontal="general" vertical="bottom" wrapText="1"/>
    </x:xf>
    <x:xf numFmtId="200" fontId="24" fillId="0" borderId="1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200" fontId="18" fillId="0" borderId="3" xfId="0" applyNumberFormat="1" applyFont="1" applyFill="1" applyBorder="1" applyAlignment="1">
      <x:alignment horizontal="general" vertical="bottom" wrapText="1"/>
    </x:xf>
    <x:xf numFmtId="200" fontId="24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24" fillId="0" borderId="0" xfId="0" applyNumberFormat="1" applyFont="1" applyFill="1" applyBorder="1" applyAlignment="1">
      <x:alignment horizontal="general" vertical="bottom" wrapText="1"/>
    </x:xf>
    <x:xf numFmtId="164" fontId="24" fillId="0" borderId="2" xfId="0" applyNumberFormat="1" applyFont="1" applyFill="1" applyBorder="1" applyAlignment="1">
      <x:alignment horizontal="general" vertical="bottom" wrapText="1"/>
    </x:xf>
    <x:xf numFmtId="167" fontId="18" fillId="0" borderId="1" xfId="0" applyNumberFormat="1" applyFont="1" applyFill="1" applyBorder="1" applyAlignment="1">
      <x:alignment horizontal="general" vertical="bottom" wrapText="1"/>
    </x:xf>
    <x:xf numFmtId="167" fontId="18" fillId="0" borderId="3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166" fontId="0" fillId="0" borderId="0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166" fontId="0" fillId="0" borderId="2" xfId="0" applyNumberFormat="1" applyFont="1" applyFill="1" applyBorder="1" applyAlignment="1">
      <x:alignment horizontal="general" vertical="bottom" wrapText="1"/>
    </x:xf>
    <x:xf numFmtId="164" fontId="24" fillId="0" borderId="4" xfId="0" applyNumberFormat="1" applyFont="1" applyFill="1" applyBorder="1" applyAlignment="1">
      <x:alignment horizontal="general" vertical="bottom" wrapText="1"/>
    </x:xf>
    <x:xf numFmtId="164" fontId="18" fillId="0" borderId="5" xfId="0" applyNumberFormat="1" applyFont="1" applyFill="1" applyBorder="1" applyAlignment="1">
      <x:alignment horizontal="general" vertical="bottom" wrapText="1"/>
    </x:xf>
    <x:xf numFmtId="164" fontId="18" fillId="0" borderId="6" xfId="0" applyNumberFormat="1" applyFont="1" applyFill="1" applyBorder="1" applyAlignment="1">
      <x:alignment horizontal="general" vertical="bottom" wrapText="1"/>
    </x:xf>
    <x:xf numFmtId="164" fontId="24" fillId="0" borderId="7" xfId="0" applyNumberFormat="1" applyFont="1" applyFill="1" applyBorder="1" applyAlignment="1">
      <x:alignment horizontal="general" vertical="bottom" wrapText="1"/>
    </x:xf>
    <x:xf numFmtId="166" fontId="18" fillId="0" borderId="8" xfId="0" applyNumberFormat="1" applyFont="1" applyFill="1" applyBorder="1" applyAlignment="1">
      <x:alignment horizontal="general" vertical="bottom" wrapText="1"/>
    </x:xf>
    <x:xf numFmtId="166" fontId="18" fillId="0" borderId="9" xfId="0" applyNumberFormat="1" applyFont="1" applyFill="1" applyBorder="1" applyAlignment="1">
      <x:alignment horizontal="general" vertical="bottom" wrapText="1"/>
    </x:xf>
    <x:xf numFmtId="164" fontId="24" fillId="0" borderId="10" xfId="0" applyNumberFormat="1" applyFont="1" applyFill="1" applyBorder="1" applyAlignment="1">
      <x:alignment horizontal="general" vertical="bottom" wrapText="1"/>
    </x:xf>
    <x:xf numFmtId="166" fontId="18" fillId="0" borderId="11" xfId="0" applyNumberFormat="1" applyFont="1" applyFill="1" applyBorder="1" applyAlignment="1">
      <x:alignment horizontal="general" vertical="bottom" wrapText="1"/>
    </x:xf>
    <x:xf numFmtId="166" fontId="18" fillId="0" borderId="12" xfId="0" applyNumberFormat="1" applyFont="1" applyFill="1" applyBorder="1" applyAlignment="1">
      <x:alignment horizontal="general" vertical="bottom" wrapText="1"/>
    </x:xf>
    <x:xf numFmtId="164" fontId="24" fillId="0" borderId="13" xfId="0" applyNumberFormat="1" applyFont="1" applyFill="1" applyBorder="1" applyAlignment="1">
      <x:alignment horizontal="general" vertical="bottom" wrapText="1"/>
    </x:xf>
    <x:xf numFmtId="164" fontId="18" fillId="0" borderId="14" xfId="0" applyNumberFormat="1" applyFont="1" applyFill="1" applyBorder="1" applyAlignment="1">
      <x:alignment horizontal="general" vertical="bottom" wrapText="1"/>
    </x:xf>
    <x:xf numFmtId="164" fontId="18" fillId="0" borderId="15" xfId="0" applyNumberFormat="1" applyFont="1" applyFill="1" applyBorder="1" applyAlignment="1">
      <x:alignment horizontal="general" vertical="bottom" wrapText="1"/>
    </x:xf>
    <x:xf numFmtId="164" fontId="24" fillId="0" borderId="16" xfId="0" applyNumberFormat="1" applyFont="1" applyFill="1" applyBorder="1" applyAlignment="1">
      <x:alignment horizontal="general" vertical="bottom" wrapText="1"/>
    </x:xf>
    <x:xf numFmtId="166" fontId="18" fillId="0" borderId="17" xfId="0" applyNumberFormat="1" applyFont="1" applyFill="1" applyBorder="1" applyAlignment="1">
      <x:alignment horizontal="general" vertical="bottom" wrapText="1"/>
    </x:xf>
    <x:xf numFmtId="166" fontId="18" fillId="0" borderId="18" xfId="0" applyNumberFormat="1" applyFont="1" applyFill="1" applyBorder="1" applyAlignment="1">
      <x:alignment horizontal="general" vertical="bottom" wrapText="1"/>
    </x:xf>
    <x:xf numFmtId="164" fontId="24" fillId="0" borderId="19" xfId="0" applyNumberFormat="1" applyFont="1" applyFill="1" applyBorder="1" applyAlignment="1">
      <x:alignment horizontal="general" vertical="bottom" wrapText="1"/>
    </x:xf>
    <x:xf numFmtId="166" fontId="18" fillId="0" borderId="20" xfId="0" applyNumberFormat="1" applyFont="1" applyFill="1" applyBorder="1" applyAlignment="1">
      <x:alignment horizontal="general" vertical="bottom" wrapText="1"/>
    </x:xf>
    <x:xf numFmtId="166" fontId="18" fillId="0" borderId="21" xfId="0" applyNumberFormat="1" applyFont="1" applyFill="1" applyBorder="1" applyAlignment="1">
      <x:alignment horizontal="general" vertical="bottom" wrapText="1"/>
    </x:xf>
    <x:xf numFmtId="164" fontId="18" fillId="0" borderId="4" xfId="0" applyNumberFormat="1" applyFont="1" applyFill="1" applyBorder="1" applyAlignment="1">
      <x:alignment horizontal="general" vertical="bottom" wrapText="1"/>
    </x:xf>
    <x:xf numFmtId="200" fontId="18" fillId="0" borderId="5" xfId="0" applyNumberFormat="1" applyFont="1" applyFill="1" applyBorder="1" applyAlignment="1">
      <x:alignment horizontal="general" vertical="bottom" wrapText="1"/>
    </x:xf>
    <x:xf numFmtId="166" fontId="18" fillId="0" borderId="5" xfId="0" applyNumberFormat="1" applyFont="1" applyFill="1" applyBorder="1" applyAlignment="1">
      <x:alignment horizontal="general" vertical="bottom" wrapText="1"/>
    </x:xf>
    <x:xf numFmtId="164" fontId="18" fillId="0" borderId="7" xfId="0" applyNumberFormat="1" applyFont="1" applyFill="1" applyBorder="1" applyAlignment="1">
      <x:alignment horizontal="general" vertical="bottom" wrapText="1"/>
    </x:xf>
    <x:xf numFmtId="164" fontId="18" fillId="0" borderId="8" xfId="0" applyNumberFormat="1" applyFont="1" applyFill="1" applyBorder="1" applyAlignment="1">
      <x:alignment horizontal="general" vertical="bottom" wrapText="1"/>
    </x:xf>
    <x:xf numFmtId="200" fontId="18" fillId="0" borderId="8" xfId="0" applyNumberFormat="1" applyFont="1" applyFill="1" applyBorder="1" applyAlignment="1">
      <x:alignment horizontal="general" vertical="bottom" wrapText="1"/>
    </x:xf>
    <x:xf numFmtId="164" fontId="18" fillId="0" borderId="9" xfId="0" applyNumberFormat="1" applyFont="1" applyFill="1" applyBorder="1" applyAlignment="1">
      <x:alignment horizontal="general" vertical="bottom" wrapText="1"/>
    </x:xf>
    <x:xf numFmtId="164" fontId="24" fillId="0" borderId="11" xfId="0" applyNumberFormat="1" applyFont="1" applyFill="1" applyBorder="1" applyAlignment="1">
      <x:alignment horizontal="general" vertical="bottom" wrapText="1"/>
    </x:xf>
    <x:xf numFmtId="200" fontId="24" fillId="0" borderId="11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18" fillId="0" borderId="13" xfId="0" applyNumberFormat="1" applyFont="1" applyFill="1" applyBorder="1" applyAlignment="1">
      <x:alignment horizontal="general" vertical="bottom" wrapText="1"/>
    </x:xf>
    <x:xf numFmtId="200" fontId="18" fillId="0" borderId="14" xfId="0" applyNumberFormat="1" applyFont="1" applyFill="1" applyBorder="1" applyAlignment="1">
      <x:alignment horizontal="general" vertical="bottom" wrapText="1"/>
    </x:xf>
    <x:xf numFmtId="166" fontId="18" fillId="0" borderId="14" xfId="0" applyNumberFormat="1" applyFont="1" applyFill="1" applyBorder="1" applyAlignment="1">
      <x:alignment horizontal="general" vertical="bottom" wrapText="1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18" fillId="0" borderId="17" xfId="0" applyNumberFormat="1" applyFont="1" applyFill="1" applyBorder="1" applyAlignment="1">
      <x:alignment horizontal="general" vertical="bottom" wrapText="1"/>
    </x:xf>
    <x:xf numFmtId="200" fontId="18" fillId="0" borderId="17" xfId="0" applyNumberFormat="1" applyFont="1" applyFill="1" applyBorder="1" applyAlignment="1">
      <x:alignment horizontal="general" vertical="bottom" wrapText="1"/>
    </x:xf>
    <x:xf numFmtId="164" fontId="18" fillId="0" borderId="18" xfId="0" applyNumberFormat="1" applyFont="1" applyFill="1" applyBorder="1" applyAlignment="1">
      <x:alignment horizontal="general" vertical="bottom" wrapText="1"/>
    </x:xf>
    <x:xf numFmtId="164" fontId="24" fillId="0" borderId="20" xfId="0" applyNumberFormat="1" applyFont="1" applyFill="1" applyBorder="1" applyAlignment="1">
      <x:alignment horizontal="general" vertical="bottom" wrapText="1"/>
    </x:xf>
    <x:xf numFmtId="200" fontId="24" fillId="0" borderId="20" xfId="0" applyNumberFormat="1" applyFont="1" applyFill="1" applyBorder="1" applyAlignment="1">
      <x:alignment horizontal="general" vertical="bottom" wrapText="1"/>
    </x:xf>
    <x:xf numFmtId="164" fontId="0" fillId="0" borderId="20" xfId="0" applyNumberFormat="1" applyFont="1" applyFill="1" applyBorder="1" applyAlignment="1">
      <x:alignment horizontal="general" vertical="bottom" wrapText="1"/>
    </x:xf>
    <x:xf numFmtId="164" fontId="0" fillId="0" borderId="21" xfId="0" applyNumberFormat="1" applyFont="1" applyFill="1" applyBorder="1" applyAlignment="1">
      <x:alignment horizontal="general" vertical="bottom" wrapText="1"/>
    </x:xf>
    <x:xf numFmtId="164" fontId="24" fillId="0" borderId="8" xfId="0" applyNumberFormat="1" applyFont="1" applyFill="1" applyBorder="1" applyAlignment="1">
      <x:alignment horizontal="general" vertical="bottom" wrapText="1"/>
    </x:xf>
    <x:xf numFmtId="164" fontId="0" fillId="0" borderId="8" xfId="0" applyNumberFormat="1" applyFont="1" applyFill="1" applyBorder="1" applyAlignment="1">
      <x:alignment horizontal="general" vertical="bottom" wrapText="1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7" xfId="0" applyNumberFormat="1" applyFont="1" applyFill="1" applyBorder="1" applyAlignment="1">
      <x:alignment horizontal="general" vertical="bottom" wrapText="1"/>
    </x:xf>
    <x:xf numFmtId="164" fontId="19" fillId="4" borderId="7" xfId="0" applyNumberFormat="1" applyFont="1" applyFill="1" applyBorder="1" applyAlignment="1">
      <x:alignment horizontal="center" vertical="center" wrapText="1"/>
    </x:xf>
    <x:xf numFmtId="164" fontId="19" fillId="4" borderId="8" xfId="0" applyNumberFormat="1" applyFont="1" applyFill="1" applyBorder="1" applyAlignment="1">
      <x:alignment horizontal="center" vertical="center" wrapText="1"/>
    </x:xf>
    <x:xf numFmtId="164" fontId="24" fillId="0" borderId="17" xfId="0" applyNumberFormat="1" applyFont="1" applyFill="1" applyBorder="1" applyAlignment="1">
      <x:alignment horizontal="general" vertical="bottom" wrapText="1"/>
    </x:xf>
    <x:xf numFmtId="164" fontId="0" fillId="0" borderId="17" xfId="0" applyNumberFormat="1" applyFont="1" applyFill="1" applyBorder="1" applyAlignment="1">
      <x:alignment horizontal="general" vertical="bottom" wrapText="1"/>
    </x:xf>
    <x:xf numFmtId="164" fontId="0" fillId="0" borderId="18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9" fillId="4" borderId="16" xfId="0" applyNumberFormat="1" applyFont="1" applyFill="1" applyBorder="1" applyAlignment="1">
      <x:alignment horizontal="center" vertical="center" wrapText="1"/>
    </x:xf>
    <x:xf numFmtId="164" fontId="19" fillId="4" borderId="17" xfId="0" applyNumberFormat="1" applyFont="1" applyFill="1" applyBorder="1" applyAlignment="1">
      <x:alignment horizontal="center" vertical="center" wrapText="1"/>
    </x:xf>
    <x:xf numFmtId="166" fontId="18" fillId="0" borderId="6" xfId="0" applyNumberFormat="1" applyFont="1" applyFill="1" applyBorder="1" applyAlignment="1">
      <x:alignment horizontal="general" vertical="bottom" wrapText="1"/>
    </x:xf>
    <x:xf numFmtId="200" fontId="24" fillId="0" borderId="8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2" xfId="0" applyNumberFormat="1" applyFont="1" applyFill="1" applyBorder="1" applyAlignment="1">
      <x:alignment horizontal="general" vertical="bottom" wrapText="1"/>
    </x:xf>
    <x:xf numFmtId="166" fontId="18" fillId="0" borderId="15" xfId="0" applyNumberFormat="1" applyFont="1" applyFill="1" applyBorder="1" applyAlignment="1">
      <x:alignment horizontal="general" vertical="bottom" wrapText="1"/>
    </x:xf>
    <x:xf numFmtId="200" fontId="24" fillId="0" borderId="17" xfId="0" applyNumberFormat="1" applyFont="1" applyFill="1" applyBorder="1" applyAlignment="1">
      <x:alignment horizontal="general" vertical="bottom" wrapText="1"/>
    </x:xf>
    <x:xf numFmtId="164" fontId="25" fillId="0" borderId="19" xfId="0" applyNumberFormat="1" applyFont="1" applyFill="1" applyBorder="1" applyAlignment="1">
      <x:alignment horizontal="general" vertical="bottom" wrapText="1"/>
    </x:xf>
    <x:xf numFmtId="164" fontId="25" fillId="0" borderId="2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0" fillId="0" borderId="5" xfId="0" applyNumberFormat="1" applyFont="1" applyFill="1" applyBorder="1" applyAlignment="1">
      <x:alignment horizontal="general" vertical="bottom" wrapText="1"/>
    </x:xf>
    <x:xf numFmtId="200" fontId="0" fillId="0" borderId="5" xfId="0" applyNumberFormat="1" applyFont="1" applyFill="1" applyBorder="1" applyAlignment="1">
      <x:alignment horizontal="general" vertical="bottom" wrapText="1"/>
    </x:xf>
    <x:xf numFmtId="166" fontId="0" fillId="0" borderId="5" xfId="0" applyNumberFormat="1" applyFont="1" applyFill="1" applyBorder="1" applyAlignment="1">
      <x:alignment horizontal="general" vertical="bottom" wrapText="1"/>
    </x:xf>
    <x:xf numFmtId="166" fontId="0" fillId="0" borderId="6" xfId="0" applyNumberFormat="1" applyFont="1" applyFill="1" applyBorder="1" applyAlignment="1">
      <x:alignment horizontal="general" vertical="bottom" wrapText="1"/>
    </x:xf>
    <x:xf numFmtId="200" fontId="0" fillId="0" borderId="8" xfId="0" applyNumberFormat="1" applyFont="1" applyFill="1" applyBorder="1" applyAlignment="1">
      <x:alignment horizontal="general" vertical="bottom" wrapText="1"/>
    </x:xf>
    <x:xf numFmtId="166" fontId="0" fillId="0" borderId="8" xfId="0" applyNumberFormat="1" applyFont="1" applyFill="1" applyBorder="1" applyAlignment="1">
      <x:alignment horizontal="general" vertical="bottom" wrapText="1"/>
    </x:xf>
    <x:xf numFmtId="166" fontId="0" fillId="0" borderId="9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200" fontId="0" fillId="0" borderId="11" xfId="0" applyNumberFormat="1" applyFont="1" applyFill="1" applyBorder="1" applyAlignment="1">
      <x:alignment horizontal="general" vertical="bottom" wrapText="1"/>
    </x:xf>
    <x:xf numFmtId="164" fontId="0" fillId="0" borderId="13" xfId="0" applyNumberFormat="1" applyFont="1" applyFill="1" applyBorder="1" applyAlignment="1">
      <x:alignment horizontal="general" vertical="bottom" wrapText="1"/>
    </x:xf>
    <x:xf numFmtId="164" fontId="0" fillId="0" borderId="14" xfId="0" applyNumberFormat="1" applyFont="1" applyFill="1" applyBorder="1" applyAlignment="1">
      <x:alignment horizontal="general" vertical="bottom" wrapText="1"/>
    </x:xf>
    <x:xf numFmtId="200" fontId="0" fillId="0" borderId="14" xfId="0" applyNumberFormat="1" applyFont="1" applyFill="1" applyBorder="1" applyAlignment="1">
      <x:alignment horizontal="general" vertical="bottom" wrapText="1"/>
    </x:xf>
    <x:xf numFmtId="166" fontId="0" fillId="0" borderId="14" xfId="0" applyNumberFormat="1" applyFont="1" applyFill="1" applyBorder="1" applyAlignment="1">
      <x:alignment horizontal="general" vertical="bottom" wrapText="1"/>
    </x:xf>
    <x:xf numFmtId="166" fontId="0" fillId="0" borderId="15" xfId="0" applyNumberFormat="1" applyFont="1" applyFill="1" applyBorder="1" applyAlignment="1">
      <x:alignment horizontal="general" vertical="bottom" wrapText="1"/>
    </x:xf>
    <x:xf numFmtId="200" fontId="0" fillId="0" borderId="17" xfId="0" applyNumberFormat="1" applyFont="1" applyFill="1" applyBorder="1" applyAlignment="1">
      <x:alignment horizontal="general" vertical="bottom" wrapText="1"/>
    </x:xf>
    <x:xf numFmtId="166" fontId="0" fillId="0" borderId="17" xfId="0" applyNumberFormat="1" applyFont="1" applyFill="1" applyBorder="1" applyAlignment="1">
      <x:alignment horizontal="general" vertical="bottom" wrapText="1"/>
    </x:xf>
    <x:xf numFmtId="166" fontId="0" fillId="0" borderId="18" xfId="0" applyNumberFormat="1" applyFont="1" applyFill="1" applyBorder="1" applyAlignment="1">
      <x:alignment horizontal="general" vertical="bottom" wrapText="1"/>
    </x:xf>
    <x:xf numFmtId="164" fontId="0" fillId="0" borderId="19" xfId="0" applyNumberFormat="1" applyFont="1" applyFill="1" applyBorder="1" applyAlignment="1">
      <x:alignment horizontal="general" vertical="bottom" wrapText="1"/>
    </x:xf>
    <x:xf numFmtId="200" fontId="0" fillId="0" borderId="20" xfId="0" applyNumberFormat="1" applyFont="1" applyFill="1" applyBorder="1" applyAlignment="1">
      <x:alignment horizontal="general" vertical="bottom" wrapText="1"/>
    </x:xf>
    <x:xf numFmtId="167" fontId="18" fillId="0" borderId="6" xfId="0" applyNumberFormat="1" applyFont="1" applyFill="1" applyBorder="1" applyAlignment="1">
      <x:alignment horizontal="general" vertical="bottom" wrapText="1"/>
    </x:xf>
    <x:xf numFmtId="167" fontId="18" fillId="0" borderId="9" xfId="0" applyNumberFormat="1" applyFont="1" applyFill="1" applyBorder="1" applyAlignment="1">
      <x:alignment horizontal="general" vertical="bottom" wrapText="1"/>
    </x:xf>
    <x:xf numFmtId="164" fontId="25" fillId="0" borderId="7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C0504D"/>
      <x:rgbColor rgb="FFFFFF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A7EBB"/>
      <x:rgbColor rgb="FF33CCCC"/>
      <x:rgbColor rgb="FF9BBB59"/>
      <x:rgbColor rgb="FFFFCC00"/>
      <x:rgbColor rgb="FFFF9900"/>
      <x:rgbColor rgb="FFFF6600"/>
      <x:rgbColor rgb="FF666666"/>
      <x:rgbColor rgb="FF878787"/>
      <x:rgbColor rgb="FF003366"/>
      <x:rgbColor rgb="FF4F81BD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b38e84bb247dd" /><Relationship Type="http://schemas.openxmlformats.org/officeDocument/2006/relationships/theme" Target="/xl/theme/theme1.xml" Id="R579ced0ac88d45ee" /><Relationship Type="http://schemas.openxmlformats.org/officeDocument/2006/relationships/sharedStrings" Target="/xl/sharedStrings.xml" Id="R50392aa6e8bb45f7" /><Relationship Type="http://schemas.openxmlformats.org/officeDocument/2006/relationships/worksheet" Target="/xl/worksheets/sheet1.xml" Id="Re22761285e234844" /><Relationship Type="http://schemas.openxmlformats.org/officeDocument/2006/relationships/worksheet" Target="/xl/worksheets/sheet2.xml" Id="R6c0573eed1a64e41" /><Relationship Type="http://schemas.openxmlformats.org/officeDocument/2006/relationships/worksheet" Target="/xl/worksheets/sheet3.xml" Id="Rac5bd2d67570417b" /><Relationship Type="http://schemas.openxmlformats.org/officeDocument/2006/relationships/worksheet" Target="/xl/worksheets/sheet4.xml" Id="Ra3be177fae104a34" /><Relationship Type="http://schemas.openxmlformats.org/officeDocument/2006/relationships/worksheet" Target="/xl/worksheets/sheet5.xml" Id="R59652d26e14e49c1" /><Relationship Type="http://schemas.openxmlformats.org/officeDocument/2006/relationships/worksheet" Target="/xl/worksheets/sheet6.xml" Id="R0278c41a26c846a6" /><Relationship Type="http://schemas.openxmlformats.org/officeDocument/2006/relationships/worksheet" Target="/xl/worksheets/sheet7.xml" Id="Rd44c760275eb4ea6" /><Relationship Type="http://schemas.openxmlformats.org/officeDocument/2006/relationships/worksheet" Target="/xl/worksheets/sheet8.xml" Id="Rd64c2ffef9a4460a" /><Relationship Type="http://schemas.openxmlformats.org/officeDocument/2006/relationships/worksheet" Target="/xl/worksheets/sheet9.xml" Id="R4fb788d57f8e4c10" /><Relationship Type="http://schemas.openxmlformats.org/officeDocument/2006/relationships/worksheet" Target="/xl/worksheets/sheet10.xml" Id="R2d6bfd44af4b4c68" /><Relationship Type="http://schemas.openxmlformats.org/officeDocument/2006/relationships/worksheet" Target="/xl/worksheets/sheet11.xml" Id="R7da1629a61114eca" /><Relationship Type="http://schemas.openxmlformats.org/officeDocument/2006/relationships/worksheet" Target="/xl/worksheets/sheet12.xml" Id="R0a05ae78d49740eb" /><Relationship Type="http://schemas.openxmlformats.org/officeDocument/2006/relationships/worksheet" Target="/xl/worksheets/sheet13.xml" Id="Rd38aeed0352045bd" /><Relationship Type="http://schemas.openxmlformats.org/officeDocument/2006/relationships/worksheet" Target="/xl/worksheets/sheet14.xml" Id="R03c8fe9375e843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cedb4da72a43ec" /><Relationship Type="http://schemas.openxmlformats.org/officeDocument/2006/relationships/chart" Target="/xl/drawings/charts/chart2.xml" Id="Re837f15af1ba46c9" /><Relationship Type="http://schemas.openxmlformats.org/officeDocument/2006/relationships/chart" Target="/xl/drawings/charts/chart3.xml" Id="Rffd10e8528704e36" /><Relationship Type="http://schemas.openxmlformats.org/officeDocument/2006/relationships/chart" Target="/xl/drawings/charts/chart4.xml" Id="R9618acc71ac942fe" /><Relationship Type="http://schemas.openxmlformats.org/officeDocument/2006/relationships/chart" Target="/xl/drawings/charts/chart5.xml" Id="Rccd73069a33845e7" /><Relationship Type="http://schemas.openxmlformats.org/officeDocument/2006/relationships/chart" Target="/xl/drawings/charts/chart6.xml" Id="Rba649b343bb54c6d" /><Relationship Type="http://schemas.openxmlformats.org/officeDocument/2006/relationships/chart" Target="/xl/drawings/charts/chart7.xml" Id="Rb2bcc31faa004f24" /><Relationship Type="http://schemas.openxmlformats.org/officeDocument/2006/relationships/chart" Target="/xl/drawings/charts/chart8.xml" Id="R1277b082e49d4b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Sentiment Distribution (Post Count)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pieChart>
        <c:ser>
          <c:idx val="0"/>
          <c:order val="0"/>
          <c:tx>
            <c:strRef>
              <c:f>Sentiment_Analysis!C5</c:f>
              <c:strCache>
                <c:ptCount val="1"/>
                <c:pt idx="0">
                  <c:v>Post Count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</a:ln>
          </c:spPr>
          <c:explosion val="0"/>
          <c:dPt>
            <c:idx val="0"/>
            <c: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</a:ln>
            </c:spPr>
          </c:dPt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>
                      <a:latin typeface="Arial"/>
                      <a:ea typeface="Arial"/>
                      <a:cs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</c:dLbl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Sentiment_Analysis!$B$6:$B$8</c:f>
              <c:strCache>
                <c:ptCount val="3"/>
                <c:pt idx="0">
                  <c:v>Positive</c:v>
                </c:pt>
                <c:pt idx="1">
                  <c:v>Negative</c:v>
                </c:pt>
                <c:pt idx="2">
                  <c:v>Neutral</c:v>
                </c:pt>
              </c:strCache>
            </c:strRef>
          </c:cat>
          <c:val>
            <c:numRef>
              <c:f>Sentiment_Analysis!$C$6:$C$8</c:f>
              <c:numCache>
                <c:formatCode>General</c:formatCode>
                <c:ptCount val="3"/>
                <c:pt idx="0">
                  <c:v>474</c:v>
                </c:pt>
                <c:pt idx="1">
                  <c:v>195</c:v>
                </c:pt>
                <c:pt idx="2">
                  <c:v>63</c:v>
                </c:pt>
              </c:numCache>
            </c:numRef>
          </c:val>
        </c:ser>
        <c:firstSliceAng val="0"/>
      </c:pieChart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Post Count by Platform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Platform_Analysis!C5</c:f>
              <c:strCache>
                <c:ptCount val="1"/>
                <c:pt idx="0">
                  <c:v>Post Count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Platform_Analysis!$B$6:$B$8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</c:strCache>
            </c:strRef>
          </c:cat>
          <c:val>
            <c:numRef>
              <c:f>Platform_Analysis!$C$6:$C$8</c:f>
              <c:numCache>
                <c:formatCode>General</c:formatCode>
                <c:ptCount val="3"/>
                <c:pt idx="0">
                  <c:v>258</c:v>
                </c:pt>
                <c:pt idx="1">
                  <c:v>243</c:v>
                </c:pt>
                <c:pt idx="2">
                  <c:v>231</c:v>
                </c:pt>
              </c:numCache>
            </c:numRef>
          </c:val>
        </c:ser>
        <c:gapWidth val="150"/>
        <c:overlap val="0"/>
        <c:axId val="64725512"/>
        <c:axId val="94083286"/>
      </c:barChart>
      <c:catAx>
        <c:axId val="64725512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Platform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4083286"/>
        <c:crosses val="autoZero"/>
        <c:lblAlgn val="ctr"/>
        <c:lblOffset val="100"/>
        <c:noMultiLvlLbl val="0"/>
      </c:catAx>
      <c:valAx>
        <c:axId val="94083286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Number of Posts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4725512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Avg Likes vs Avg Retweets by Platform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Platform_Analysis!E5</c:f>
              <c:strCache>
                <c:ptCount val="1"/>
                <c:pt idx="0">
                  <c:v>Avg Likes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Platform_Analysis!$B$6:$B$8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</c:strCache>
            </c:strRef>
          </c:cat>
          <c:val>
            <c:numRef>
              <c:f>Platform_Analysis!$E$6:$E$8</c:f>
              <c:numCache>
                <c:formatCode>0.00</c:formatCode>
                <c:ptCount val="3"/>
                <c:pt idx="0">
                  <c:v>45.0891472868217</c:v>
                </c:pt>
                <c:pt idx="1">
                  <c:v>41.559670781893</c:v>
                </c:pt>
                <c:pt idx="2">
                  <c:v>41.8701298701299</c:v>
                </c:pt>
              </c:numCache>
            </c:numRef>
          </c:val>
        </c:ser>
        <c:ser>
          <c:idx val="1"/>
          <c:order val="1"/>
          <c:tx>
            <c:strRef>
              <c:f>Platform_Analysis!F5</c:f>
              <c:strCache>
                <c:ptCount val="1"/>
                <c:pt idx="0">
                  <c:v>Avg Retweets</c:v>
                </c:pt>
              </c:strCache>
            </c:strRef>
          </c:tx>
          <c: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Platform_Analysis!$B$6:$B$8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Facebook</c:v>
                </c:pt>
              </c:strCache>
            </c:strRef>
          </c:cat>
          <c:val>
            <c:numRef>
              <c:f>Platform_Analysis!$F$6:$F$8</c:f>
              <c:numCache>
                <c:formatCode>0.00</c:formatCode>
                <c:ptCount val="3"/>
                <c:pt idx="0">
                  <c:v>22.6007751937984</c:v>
                </c:pt>
                <c:pt idx="1">
                  <c:v>20.8600823045268</c:v>
                </c:pt>
                <c:pt idx="2">
                  <c:v>20.969696969697</c:v>
                </c:pt>
              </c:numCache>
            </c:numRef>
          </c:val>
        </c:ser>
        <c:gapWidth val="150"/>
        <c:overlap val="0"/>
        <c:axId val="92761059"/>
        <c:axId val="51795554"/>
      </c:barChart>
      <c:catAx>
        <c:axId val="92761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1795554"/>
        <c:crosses val="autoZero"/>
        <c:lblAlgn val="ctr"/>
        <c:lblOffset val="100"/>
        <c:noMultiLvlLbl val="0"/>
      </c:catAx>
      <c:valAx>
        <c:axId val="51795554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Average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2761059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Post Count by Country (Top 10)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Country_Analysis!C5</c:f>
              <c:strCache>
                <c:ptCount val="1"/>
                <c:pt idx="0">
                  <c:v>Post Count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Country_Analysis!$B$6:$B$15</c:f>
              <c:strCache>
                <c:ptCount val="10"/>
                <c:pt idx="0">
                  <c:v>USA</c:v>
                </c:pt>
                <c:pt idx="1">
                  <c:v>UK</c:v>
                </c:pt>
                <c:pt idx="2">
                  <c:v>Canada</c:v>
                </c:pt>
                <c:pt idx="3">
                  <c:v>Australia</c:v>
                </c:pt>
                <c:pt idx="4">
                  <c:v>India</c:v>
                </c:pt>
                <c:pt idx="5">
                  <c:v>Brazil</c:v>
                </c:pt>
                <c:pt idx="6">
                  <c:v>France</c:v>
                </c:pt>
                <c:pt idx="7">
                  <c:v>Japan</c:v>
                </c:pt>
                <c:pt idx="8">
                  <c:v>Germany</c:v>
                </c:pt>
                <c:pt idx="9">
                  <c:v>Italy</c:v>
                </c:pt>
              </c:strCache>
            </c:strRef>
          </c:cat>
          <c:val>
            <c:numRef>
              <c:f>Country_Analysis!$C$6:$C$15</c:f>
              <c:numCache>
                <c:formatCode>General</c:formatCode>
                <c:ptCount val="10"/>
                <c:pt idx="0">
                  <c:v>188</c:v>
                </c:pt>
                <c:pt idx="1">
                  <c:v>143</c:v>
                </c:pt>
                <c:pt idx="2">
                  <c:v>135</c:v>
                </c:pt>
                <c:pt idx="3">
                  <c:v>75</c:v>
                </c:pt>
                <c:pt idx="4">
                  <c:v>70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11</c:v>
                </c:pt>
              </c:numCache>
            </c:numRef>
          </c:val>
        </c:ser>
        <c:gapWidth val="150"/>
        <c:overlap val="0"/>
        <c:axId val="72463573"/>
        <c:axId val="99605241"/>
      </c:barChart>
      <c:catAx>
        <c:axId val="72463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9605241"/>
        <c:crosses val="autoZero"/>
        <c:lblAlgn val="ctr"/>
        <c:lblOffset val="100"/>
        <c:noMultiLvlLbl val="0"/>
      </c:catAx>
      <c:valAx>
        <c:axId val="99605241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Number of Posts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2463573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Number of Posts by Year (2010-2023)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Time_Trend_Analysis!C5</c:f>
              <c:strCache>
                <c:ptCount val="1"/>
                <c:pt idx="0">
                  <c:v>Post Count</c:v>
                </c:pt>
              </c:strCache>
            </c:strRef>
          </c:tx>
          <c: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numRef>
              <c:f>Time_Trend_Analysis!$B$6:$B$19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Time_Trend_Analysis!$C$6:$C$19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19</c:v>
                </c:pt>
                <c:pt idx="6">
                  <c:v>38</c:v>
                </c:pt>
                <c:pt idx="7">
                  <c:v>43</c:v>
                </c:pt>
                <c:pt idx="8">
                  <c:v>56</c:v>
                </c:pt>
                <c:pt idx="9">
                  <c:v>73</c:v>
                </c:pt>
                <c:pt idx="10">
                  <c:v>69</c:v>
                </c:pt>
                <c:pt idx="11">
                  <c:v>63</c:v>
                </c:pt>
                <c:pt idx="12">
                  <c:v>63</c:v>
                </c:pt>
                <c:pt idx="13">
                  <c:v>289</c:v>
                </c:pt>
              </c:numCache>
            </c:numRef>
          </c:val>
        </c:ser>
        <c:axId val="81666839"/>
        <c:axId val="35757621"/>
      </c:lineChart>
      <c:catAx>
        <c:axId val="8166683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Year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35757621"/>
        <c:crosses val="autoZero"/>
        <c:lblAlgn val="ctr"/>
        <c:lblOffset val="100"/>
        <c:noMultiLvlLbl val="0"/>
      </c:catAx>
      <c:valAx>
        <c:axId val="35757621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Post Count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81666839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Likes vs Retweets (all 732 posts)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tx>
            <c:strRef>
              <c:f>"Posts"</c:f>
              <c:strCache>
                <c:ptCount val="1"/>
                <c:pt idx="0">
                  <c:v>Posts</c:v>
                </c:pt>
              </c:strCache>
            </c:strRef>
          </c:tx>
          <c:spPr>
            <a:solidFill xmlns:a="http://schemas.openxmlformats.org/drawingml/2006/main">
              <a:srgbClr val="FFFFFF"/>
            </a:solidFill>
            <a:ln xmlns:a="http://schemas.openxmlformats.org/drawingml/2006/main" w="28440">
              <a:noFill/>
            </a:ln>
          </c:spPr>
          <c:marker>
            <c:symbol val="circle"/>
            <c:size val="5"/>
            <c:spPr>
              <a:noFill xmlns:a="http://schemas.openxmlformats.org/drawingml/2006/main"/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xVal>
            <c:numRef>
              <c:f>Cleaned_Data!$G$2:$G$733</c:f>
              <c:numCache>
                <c:formatCode>General</c:formatCode>
                <c:ptCount val="732"/>
                <c:pt idx="0">
                  <c:v>15</c:v>
                </c:pt>
                <c:pt idx="1">
                  <c:v>5</c:v>
                </c:pt>
                <c:pt idx="2">
                  <c:v>20</c:v>
                </c:pt>
                <c:pt idx="3">
                  <c:v>8</c:v>
                </c:pt>
                <c:pt idx="4">
                  <c:v>12</c:v>
                </c:pt>
                <c:pt idx="5">
                  <c:v>25</c:v>
                </c:pt>
                <c:pt idx="6">
                  <c:v>10</c:v>
                </c:pt>
                <c:pt idx="7">
                  <c:v>15</c:v>
                </c:pt>
                <c:pt idx="8">
                  <c:v>30</c:v>
                </c:pt>
                <c:pt idx="9">
                  <c:v>18</c:v>
                </c:pt>
                <c:pt idx="10">
                  <c:v>22</c:v>
                </c:pt>
                <c:pt idx="11">
                  <c:v>7</c:v>
                </c:pt>
                <c:pt idx="12">
                  <c:v>12</c:v>
                </c:pt>
                <c:pt idx="13">
                  <c:v>28</c:v>
                </c:pt>
                <c:pt idx="14">
                  <c:v>15</c:v>
                </c:pt>
                <c:pt idx="15">
                  <c:v>20</c:v>
                </c:pt>
                <c:pt idx="16">
                  <c:v>15</c:v>
                </c:pt>
                <c:pt idx="17">
                  <c:v>18</c:v>
                </c:pt>
                <c:pt idx="18">
                  <c:v>25</c:v>
                </c:pt>
                <c:pt idx="19">
                  <c:v>8</c:v>
                </c:pt>
                <c:pt idx="20">
                  <c:v>22</c:v>
                </c:pt>
                <c:pt idx="21">
                  <c:v>15</c:v>
                </c:pt>
                <c:pt idx="22">
                  <c:v>30</c:v>
                </c:pt>
                <c:pt idx="23">
                  <c:v>20</c:v>
                </c:pt>
                <c:pt idx="24">
                  <c:v>12</c:v>
                </c:pt>
                <c:pt idx="25">
                  <c:v>15</c:v>
                </c:pt>
                <c:pt idx="26">
                  <c:v>25</c:v>
                </c:pt>
                <c:pt idx="27">
                  <c:v>15</c:v>
                </c:pt>
                <c:pt idx="28">
                  <c:v>22</c:v>
                </c:pt>
                <c:pt idx="29">
                  <c:v>12</c:v>
                </c:pt>
                <c:pt idx="30">
                  <c:v>18</c:v>
                </c:pt>
                <c:pt idx="31">
                  <c:v>15</c:v>
                </c:pt>
                <c:pt idx="32">
                  <c:v>30</c:v>
                </c:pt>
                <c:pt idx="33">
                  <c:v>25</c:v>
                </c:pt>
                <c:pt idx="34">
                  <c:v>15</c:v>
                </c:pt>
                <c:pt idx="35">
                  <c:v>22</c:v>
                </c:pt>
                <c:pt idx="36">
                  <c:v>18</c:v>
                </c:pt>
                <c:pt idx="37">
                  <c:v>15</c:v>
                </c:pt>
                <c:pt idx="38">
                  <c:v>12</c:v>
                </c:pt>
                <c:pt idx="39">
                  <c:v>30</c:v>
                </c:pt>
                <c:pt idx="40">
                  <c:v>25</c:v>
                </c:pt>
                <c:pt idx="41">
                  <c:v>15</c:v>
                </c:pt>
                <c:pt idx="42">
                  <c:v>22</c:v>
                </c:pt>
                <c:pt idx="43">
                  <c:v>18</c:v>
                </c:pt>
                <c:pt idx="44">
                  <c:v>15</c:v>
                </c:pt>
                <c:pt idx="45">
                  <c:v>12</c:v>
                </c:pt>
                <c:pt idx="46">
                  <c:v>28</c:v>
                </c:pt>
                <c:pt idx="47">
                  <c:v>15</c:v>
                </c:pt>
                <c:pt idx="48">
                  <c:v>20</c:v>
                </c:pt>
                <c:pt idx="49">
                  <c:v>15</c:v>
                </c:pt>
                <c:pt idx="50">
                  <c:v>22</c:v>
                </c:pt>
                <c:pt idx="51">
                  <c:v>18</c:v>
                </c:pt>
                <c:pt idx="52">
                  <c:v>20</c:v>
                </c:pt>
                <c:pt idx="53">
                  <c:v>15</c:v>
                </c:pt>
                <c:pt idx="54">
                  <c:v>25</c:v>
                </c:pt>
                <c:pt idx="55">
                  <c:v>18</c:v>
                </c:pt>
                <c:pt idx="56">
                  <c:v>30</c:v>
                </c:pt>
                <c:pt idx="57">
                  <c:v>22</c:v>
                </c:pt>
                <c:pt idx="58">
                  <c:v>15</c:v>
                </c:pt>
                <c:pt idx="59">
                  <c:v>18</c:v>
                </c:pt>
                <c:pt idx="60">
                  <c:v>25</c:v>
                </c:pt>
                <c:pt idx="61">
                  <c:v>20</c:v>
                </c:pt>
                <c:pt idx="62">
                  <c:v>15</c:v>
                </c:pt>
                <c:pt idx="63">
                  <c:v>22</c:v>
                </c:pt>
                <c:pt idx="64">
                  <c:v>18</c:v>
                </c:pt>
                <c:pt idx="65">
                  <c:v>25</c:v>
                </c:pt>
                <c:pt idx="66">
                  <c:v>15</c:v>
                </c:pt>
                <c:pt idx="67">
                  <c:v>22</c:v>
                </c:pt>
                <c:pt idx="68">
                  <c:v>20</c:v>
                </c:pt>
                <c:pt idx="69">
                  <c:v>18</c:v>
                </c:pt>
                <c:pt idx="70">
                  <c:v>15</c:v>
                </c:pt>
                <c:pt idx="71">
                  <c:v>25</c:v>
                </c:pt>
                <c:pt idx="72">
                  <c:v>22</c:v>
                </c:pt>
                <c:pt idx="73">
                  <c:v>20</c:v>
                </c:pt>
                <c:pt idx="74">
                  <c:v>30</c:v>
                </c:pt>
                <c:pt idx="75">
                  <c:v>15</c:v>
                </c:pt>
                <c:pt idx="76">
                  <c:v>20</c:v>
                </c:pt>
                <c:pt idx="77">
                  <c:v>15</c:v>
                </c:pt>
                <c:pt idx="78">
                  <c:v>25</c:v>
                </c:pt>
                <c:pt idx="79">
                  <c:v>18</c:v>
                </c:pt>
                <c:pt idx="80">
                  <c:v>30</c:v>
                </c:pt>
                <c:pt idx="81">
                  <c:v>22</c:v>
                </c:pt>
                <c:pt idx="82">
                  <c:v>15</c:v>
                </c:pt>
                <c:pt idx="83">
                  <c:v>18</c:v>
                </c:pt>
                <c:pt idx="84">
                  <c:v>25</c:v>
                </c:pt>
                <c:pt idx="85">
                  <c:v>20</c:v>
                </c:pt>
                <c:pt idx="86">
                  <c:v>15</c:v>
                </c:pt>
                <c:pt idx="87">
                  <c:v>22</c:v>
                </c:pt>
                <c:pt idx="88">
                  <c:v>18</c:v>
                </c:pt>
                <c:pt idx="89">
                  <c:v>25</c:v>
                </c:pt>
                <c:pt idx="90">
                  <c:v>15</c:v>
                </c:pt>
                <c:pt idx="91">
                  <c:v>22</c:v>
                </c:pt>
                <c:pt idx="92">
                  <c:v>20</c:v>
                </c:pt>
                <c:pt idx="93">
                  <c:v>18</c:v>
                </c:pt>
                <c:pt idx="94">
                  <c:v>15</c:v>
                </c:pt>
                <c:pt idx="95">
                  <c:v>25</c:v>
                </c:pt>
                <c:pt idx="96">
                  <c:v>22</c:v>
                </c:pt>
                <c:pt idx="97">
                  <c:v>20</c:v>
                </c:pt>
                <c:pt idx="98">
                  <c:v>30</c:v>
                </c:pt>
                <c:pt idx="99">
                  <c:v>15</c:v>
                </c:pt>
                <c:pt idx="100">
                  <c:v>22</c:v>
                </c:pt>
                <c:pt idx="101">
                  <c:v>18</c:v>
                </c:pt>
                <c:pt idx="102">
                  <c:v>15</c:v>
                </c:pt>
                <c:pt idx="103">
                  <c:v>15</c:v>
                </c:pt>
                <c:pt idx="104">
                  <c:v>30</c:v>
                </c:pt>
                <c:pt idx="105">
                  <c:v>25</c:v>
                </c:pt>
                <c:pt idx="106">
                  <c:v>22</c:v>
                </c:pt>
                <c:pt idx="107">
                  <c:v>12</c:v>
                </c:pt>
                <c:pt idx="108">
                  <c:v>15</c:v>
                </c:pt>
                <c:pt idx="109">
                  <c:v>20</c:v>
                </c:pt>
                <c:pt idx="110">
                  <c:v>15</c:v>
                </c:pt>
                <c:pt idx="111">
                  <c:v>25</c:v>
                </c:pt>
                <c:pt idx="112">
                  <c:v>18</c:v>
                </c:pt>
                <c:pt idx="113">
                  <c:v>30</c:v>
                </c:pt>
                <c:pt idx="114">
                  <c:v>22</c:v>
                </c:pt>
                <c:pt idx="115">
                  <c:v>15</c:v>
                </c:pt>
                <c:pt idx="116">
                  <c:v>18</c:v>
                </c:pt>
                <c:pt idx="117">
                  <c:v>25</c:v>
                </c:pt>
                <c:pt idx="118">
                  <c:v>20</c:v>
                </c:pt>
                <c:pt idx="119">
                  <c:v>15</c:v>
                </c:pt>
                <c:pt idx="120">
                  <c:v>22</c:v>
                </c:pt>
                <c:pt idx="121">
                  <c:v>18</c:v>
                </c:pt>
                <c:pt idx="122">
                  <c:v>25</c:v>
                </c:pt>
                <c:pt idx="123">
                  <c:v>15</c:v>
                </c:pt>
                <c:pt idx="124">
                  <c:v>30</c:v>
                </c:pt>
                <c:pt idx="125">
                  <c:v>22</c:v>
                </c:pt>
                <c:pt idx="126">
                  <c:v>15</c:v>
                </c:pt>
                <c:pt idx="127">
                  <c:v>18</c:v>
                </c:pt>
                <c:pt idx="128">
                  <c:v>25</c:v>
                </c:pt>
                <c:pt idx="129">
                  <c:v>18</c:v>
                </c:pt>
                <c:pt idx="130">
                  <c:v>25</c:v>
                </c:pt>
                <c:pt idx="131">
                  <c:v>20</c:v>
                </c:pt>
                <c:pt idx="132">
                  <c:v>15</c:v>
                </c:pt>
                <c:pt idx="133">
                  <c:v>22</c:v>
                </c:pt>
                <c:pt idx="134">
                  <c:v>18</c:v>
                </c:pt>
                <c:pt idx="135">
                  <c:v>25</c:v>
                </c:pt>
                <c:pt idx="136">
                  <c:v>20</c:v>
                </c:pt>
                <c:pt idx="137">
                  <c:v>15</c:v>
                </c:pt>
                <c:pt idx="138">
                  <c:v>25</c:v>
                </c:pt>
                <c:pt idx="139">
                  <c:v>18</c:v>
                </c:pt>
                <c:pt idx="140">
                  <c:v>30</c:v>
                </c:pt>
                <c:pt idx="141">
                  <c:v>22</c:v>
                </c:pt>
                <c:pt idx="142">
                  <c:v>15</c:v>
                </c:pt>
                <c:pt idx="143">
                  <c:v>18</c:v>
                </c:pt>
                <c:pt idx="144">
                  <c:v>25</c:v>
                </c:pt>
                <c:pt idx="145">
                  <c:v>20</c:v>
                </c:pt>
                <c:pt idx="146">
                  <c:v>15</c:v>
                </c:pt>
                <c:pt idx="147">
                  <c:v>22</c:v>
                </c:pt>
                <c:pt idx="148">
                  <c:v>18</c:v>
                </c:pt>
                <c:pt idx="149">
                  <c:v>25</c:v>
                </c:pt>
                <c:pt idx="150">
                  <c:v>15</c:v>
                </c:pt>
                <c:pt idx="151">
                  <c:v>30</c:v>
                </c:pt>
                <c:pt idx="152">
                  <c:v>22</c:v>
                </c:pt>
                <c:pt idx="153">
                  <c:v>15</c:v>
                </c:pt>
                <c:pt idx="154">
                  <c:v>18</c:v>
                </c:pt>
                <c:pt idx="155">
                  <c:v>25</c:v>
                </c:pt>
                <c:pt idx="156">
                  <c:v>18</c:v>
                </c:pt>
                <c:pt idx="157">
                  <c:v>25</c:v>
                </c:pt>
                <c:pt idx="158">
                  <c:v>20</c:v>
                </c:pt>
                <c:pt idx="159">
                  <c:v>15</c:v>
                </c:pt>
                <c:pt idx="160">
                  <c:v>22</c:v>
                </c:pt>
                <c:pt idx="161">
                  <c:v>18</c:v>
                </c:pt>
                <c:pt idx="162">
                  <c:v>25</c:v>
                </c:pt>
                <c:pt idx="163">
                  <c:v>5</c:v>
                </c:pt>
                <c:pt idx="164">
                  <c:v>8</c:v>
                </c:pt>
                <c:pt idx="165">
                  <c:v>10</c:v>
                </c:pt>
                <c:pt idx="166">
                  <c:v>12</c:v>
                </c:pt>
                <c:pt idx="167">
                  <c:v>7</c:v>
                </c:pt>
                <c:pt idx="168">
                  <c:v>10</c:v>
                </c:pt>
                <c:pt idx="169">
                  <c:v>8</c:v>
                </c:pt>
                <c:pt idx="170">
                  <c:v>12</c:v>
                </c:pt>
                <c:pt idx="171">
                  <c:v>15</c:v>
                </c:pt>
                <c:pt idx="172">
                  <c:v>8</c:v>
                </c:pt>
                <c:pt idx="173">
                  <c:v>10</c:v>
                </c:pt>
                <c:pt idx="174">
                  <c:v>12</c:v>
                </c:pt>
                <c:pt idx="175">
                  <c:v>7</c:v>
                </c:pt>
                <c:pt idx="176">
                  <c:v>10</c:v>
                </c:pt>
                <c:pt idx="177">
                  <c:v>12</c:v>
                </c:pt>
                <c:pt idx="178">
                  <c:v>15</c:v>
                </c:pt>
                <c:pt idx="179">
                  <c:v>8</c:v>
                </c:pt>
                <c:pt idx="180">
                  <c:v>10</c:v>
                </c:pt>
                <c:pt idx="181">
                  <c:v>12</c:v>
                </c:pt>
                <c:pt idx="182">
                  <c:v>7</c:v>
                </c:pt>
                <c:pt idx="183">
                  <c:v>10</c:v>
                </c:pt>
                <c:pt idx="184">
                  <c:v>15</c:v>
                </c:pt>
                <c:pt idx="185">
                  <c:v>8</c:v>
                </c:pt>
                <c:pt idx="186">
                  <c:v>10</c:v>
                </c:pt>
                <c:pt idx="187">
                  <c:v>12</c:v>
                </c:pt>
                <c:pt idx="188">
                  <c:v>7</c:v>
                </c:pt>
                <c:pt idx="189">
                  <c:v>10</c:v>
                </c:pt>
                <c:pt idx="190">
                  <c:v>12</c:v>
                </c:pt>
                <c:pt idx="191">
                  <c:v>15</c:v>
                </c:pt>
                <c:pt idx="192">
                  <c:v>8</c:v>
                </c:pt>
                <c:pt idx="193">
                  <c:v>10</c:v>
                </c:pt>
                <c:pt idx="194">
                  <c:v>12</c:v>
                </c:pt>
                <c:pt idx="195">
                  <c:v>7</c:v>
                </c:pt>
                <c:pt idx="196">
                  <c:v>15</c:v>
                </c:pt>
                <c:pt idx="197">
                  <c:v>7</c:v>
                </c:pt>
                <c:pt idx="198">
                  <c:v>10</c:v>
                </c:pt>
                <c:pt idx="199">
                  <c:v>8</c:v>
                </c:pt>
                <c:pt idx="200">
                  <c:v>12</c:v>
                </c:pt>
                <c:pt idx="201">
                  <c:v>10</c:v>
                </c:pt>
                <c:pt idx="202">
                  <c:v>12</c:v>
                </c:pt>
                <c:pt idx="203">
                  <c:v>15</c:v>
                </c:pt>
                <c:pt idx="204">
                  <c:v>10</c:v>
                </c:pt>
                <c:pt idx="205">
                  <c:v>12</c:v>
                </c:pt>
                <c:pt idx="206">
                  <c:v>20</c:v>
                </c:pt>
                <c:pt idx="207">
                  <c:v>10</c:v>
                </c:pt>
                <c:pt idx="208">
                  <c:v>15</c:v>
                </c:pt>
                <c:pt idx="209">
                  <c:v>8</c:v>
                </c:pt>
                <c:pt idx="210">
                  <c:v>12</c:v>
                </c:pt>
                <c:pt idx="211">
                  <c:v>10</c:v>
                </c:pt>
                <c:pt idx="212">
                  <c:v>12</c:v>
                </c:pt>
                <c:pt idx="213">
                  <c:v>15</c:v>
                </c:pt>
                <c:pt idx="214">
                  <c:v>18</c:v>
                </c:pt>
                <c:pt idx="215">
                  <c:v>25</c:v>
                </c:pt>
                <c:pt idx="216">
                  <c:v>22</c:v>
                </c:pt>
                <c:pt idx="217">
                  <c:v>9</c:v>
                </c:pt>
                <c:pt idx="218">
                  <c:v>14</c:v>
                </c:pt>
                <c:pt idx="219">
                  <c:v>10</c:v>
                </c:pt>
                <c:pt idx="220">
                  <c:v>13</c:v>
                </c:pt>
                <c:pt idx="221">
                  <c:v>12</c:v>
                </c:pt>
                <c:pt idx="222">
                  <c:v>15</c:v>
                </c:pt>
                <c:pt idx="223">
                  <c:v>18</c:v>
                </c:pt>
                <c:pt idx="224">
                  <c:v>20</c:v>
                </c:pt>
                <c:pt idx="225">
                  <c:v>25</c:v>
                </c:pt>
                <c:pt idx="226">
                  <c:v>9</c:v>
                </c:pt>
                <c:pt idx="227">
                  <c:v>14</c:v>
                </c:pt>
                <c:pt idx="228">
                  <c:v>11</c:v>
                </c:pt>
                <c:pt idx="229">
                  <c:v>13</c:v>
                </c:pt>
                <c:pt idx="230">
                  <c:v>12</c:v>
                </c:pt>
                <c:pt idx="231">
                  <c:v>15</c:v>
                </c:pt>
                <c:pt idx="232">
                  <c:v>18</c:v>
                </c:pt>
                <c:pt idx="233">
                  <c:v>20</c:v>
                </c:pt>
                <c:pt idx="234">
                  <c:v>25</c:v>
                </c:pt>
                <c:pt idx="235">
                  <c:v>22</c:v>
                </c:pt>
                <c:pt idx="236">
                  <c:v>9</c:v>
                </c:pt>
                <c:pt idx="237">
                  <c:v>14</c:v>
                </c:pt>
                <c:pt idx="238">
                  <c:v>10</c:v>
                </c:pt>
                <c:pt idx="239">
                  <c:v>13</c:v>
                </c:pt>
                <c:pt idx="240">
                  <c:v>12</c:v>
                </c:pt>
                <c:pt idx="241">
                  <c:v>15</c:v>
                </c:pt>
                <c:pt idx="242">
                  <c:v>18</c:v>
                </c:pt>
                <c:pt idx="243">
                  <c:v>20</c:v>
                </c:pt>
                <c:pt idx="244">
                  <c:v>25</c:v>
                </c:pt>
                <c:pt idx="245">
                  <c:v>22</c:v>
                </c:pt>
                <c:pt idx="246">
                  <c:v>10</c:v>
                </c:pt>
                <c:pt idx="247">
                  <c:v>15</c:v>
                </c:pt>
                <c:pt idx="248">
                  <c:v>18</c:v>
                </c:pt>
                <c:pt idx="249">
                  <c:v>12</c:v>
                </c:pt>
                <c:pt idx="250">
                  <c:v>25</c:v>
                </c:pt>
                <c:pt idx="251">
                  <c:v>20</c:v>
                </c:pt>
                <c:pt idx="252">
                  <c:v>15</c:v>
                </c:pt>
                <c:pt idx="253">
                  <c:v>18</c:v>
                </c:pt>
                <c:pt idx="254">
                  <c:v>22</c:v>
                </c:pt>
                <c:pt idx="255">
                  <c:v>20</c:v>
                </c:pt>
                <c:pt idx="256">
                  <c:v>15</c:v>
                </c:pt>
                <c:pt idx="257">
                  <c:v>12</c:v>
                </c:pt>
                <c:pt idx="258">
                  <c:v>25</c:v>
                </c:pt>
                <c:pt idx="259">
                  <c:v>13</c:v>
                </c:pt>
                <c:pt idx="260">
                  <c:v>17</c:v>
                </c:pt>
                <c:pt idx="261">
                  <c:v>14</c:v>
                </c:pt>
                <c:pt idx="262">
                  <c:v>19</c:v>
                </c:pt>
                <c:pt idx="263">
                  <c:v>16</c:v>
                </c:pt>
                <c:pt idx="264">
                  <c:v>21</c:v>
                </c:pt>
                <c:pt idx="265">
                  <c:v>23</c:v>
                </c:pt>
                <c:pt idx="266">
                  <c:v>14</c:v>
                </c:pt>
                <c:pt idx="267">
                  <c:v>24</c:v>
                </c:pt>
                <c:pt idx="268">
                  <c:v>18</c:v>
                </c:pt>
                <c:pt idx="269">
                  <c:v>20</c:v>
                </c:pt>
                <c:pt idx="270">
                  <c:v>16</c:v>
                </c:pt>
                <c:pt idx="271">
                  <c:v>22</c:v>
                </c:pt>
                <c:pt idx="272">
                  <c:v>19</c:v>
                </c:pt>
                <c:pt idx="273">
                  <c:v>23</c:v>
                </c:pt>
                <c:pt idx="274">
                  <c:v>15</c:v>
                </c:pt>
                <c:pt idx="275">
                  <c:v>25</c:v>
                </c:pt>
                <c:pt idx="276">
                  <c:v>14</c:v>
                </c:pt>
                <c:pt idx="277">
                  <c:v>17</c:v>
                </c:pt>
                <c:pt idx="278">
                  <c:v>21</c:v>
                </c:pt>
                <c:pt idx="279">
                  <c:v>23</c:v>
                </c:pt>
                <c:pt idx="280">
                  <c:v>14</c:v>
                </c:pt>
                <c:pt idx="281">
                  <c:v>24</c:v>
                </c:pt>
                <c:pt idx="282">
                  <c:v>18</c:v>
                </c:pt>
                <c:pt idx="283">
                  <c:v>20</c:v>
                </c:pt>
                <c:pt idx="284">
                  <c:v>16</c:v>
                </c:pt>
                <c:pt idx="285">
                  <c:v>22</c:v>
                </c:pt>
                <c:pt idx="286">
                  <c:v>19</c:v>
                </c:pt>
                <c:pt idx="287">
                  <c:v>23</c:v>
                </c:pt>
                <c:pt idx="288">
                  <c:v>15</c:v>
                </c:pt>
                <c:pt idx="289">
                  <c:v>25</c:v>
                </c:pt>
                <c:pt idx="290">
                  <c:v>14</c:v>
                </c:pt>
                <c:pt idx="291">
                  <c:v>17</c:v>
                </c:pt>
                <c:pt idx="292">
                  <c:v>21</c:v>
                </c:pt>
                <c:pt idx="293">
                  <c:v>23</c:v>
                </c:pt>
                <c:pt idx="294">
                  <c:v>14</c:v>
                </c:pt>
                <c:pt idx="295">
                  <c:v>24</c:v>
                </c:pt>
                <c:pt idx="296">
                  <c:v>8</c:v>
                </c:pt>
                <c:pt idx="297">
                  <c:v>12</c:v>
                </c:pt>
                <c:pt idx="298">
                  <c:v>15</c:v>
                </c:pt>
                <c:pt idx="299">
                  <c:v>10</c:v>
                </c:pt>
                <c:pt idx="300">
                  <c:v>18</c:v>
                </c:pt>
                <c:pt idx="301">
                  <c:v>14</c:v>
                </c:pt>
                <c:pt idx="302">
                  <c:v>22</c:v>
                </c:pt>
                <c:pt idx="303">
                  <c:v>16</c:v>
                </c:pt>
                <c:pt idx="304">
                  <c:v>25</c:v>
                </c:pt>
                <c:pt idx="305">
                  <c:v>12</c:v>
                </c:pt>
                <c:pt idx="306">
                  <c:v>20</c:v>
                </c:pt>
                <c:pt idx="307">
                  <c:v>14</c:v>
                </c:pt>
                <c:pt idx="308">
                  <c:v>15</c:v>
                </c:pt>
                <c:pt idx="309">
                  <c:v>18</c:v>
                </c:pt>
                <c:pt idx="310">
                  <c:v>13</c:v>
                </c:pt>
                <c:pt idx="311">
                  <c:v>10</c:v>
                </c:pt>
                <c:pt idx="312">
                  <c:v>20</c:v>
                </c:pt>
                <c:pt idx="313">
                  <c:v>16</c:v>
                </c:pt>
                <c:pt idx="314">
                  <c:v>25</c:v>
                </c:pt>
                <c:pt idx="315">
                  <c:v>14</c:v>
                </c:pt>
                <c:pt idx="316">
                  <c:v>20</c:v>
                </c:pt>
                <c:pt idx="317">
                  <c:v>12</c:v>
                </c:pt>
                <c:pt idx="318">
                  <c:v>8</c:v>
                </c:pt>
                <c:pt idx="319">
                  <c:v>15</c:v>
                </c:pt>
                <c:pt idx="320">
                  <c:v>18</c:v>
                </c:pt>
                <c:pt idx="321">
                  <c:v>10</c:v>
                </c:pt>
                <c:pt idx="322">
                  <c:v>18</c:v>
                </c:pt>
                <c:pt idx="323">
                  <c:v>14</c:v>
                </c:pt>
                <c:pt idx="324">
                  <c:v>22</c:v>
                </c:pt>
                <c:pt idx="325">
                  <c:v>16</c:v>
                </c:pt>
                <c:pt idx="326">
                  <c:v>25</c:v>
                </c:pt>
                <c:pt idx="327">
                  <c:v>14</c:v>
                </c:pt>
                <c:pt idx="328">
                  <c:v>20</c:v>
                </c:pt>
                <c:pt idx="329">
                  <c:v>12</c:v>
                </c:pt>
                <c:pt idx="330">
                  <c:v>15</c:v>
                </c:pt>
                <c:pt idx="331">
                  <c:v>18</c:v>
                </c:pt>
                <c:pt idx="332">
                  <c:v>28</c:v>
                </c:pt>
                <c:pt idx="333">
                  <c:v>15</c:v>
                </c:pt>
                <c:pt idx="334">
                  <c:v>22</c:v>
                </c:pt>
                <c:pt idx="335">
                  <c:v>40</c:v>
                </c:pt>
                <c:pt idx="336">
                  <c:v>18</c:v>
                </c:pt>
                <c:pt idx="337">
                  <c:v>25</c:v>
                </c:pt>
                <c:pt idx="338">
                  <c:v>30</c:v>
                </c:pt>
                <c:pt idx="339">
                  <c:v>35</c:v>
                </c:pt>
                <c:pt idx="340">
                  <c:v>20</c:v>
                </c:pt>
                <c:pt idx="341">
                  <c:v>18</c:v>
                </c:pt>
                <c:pt idx="342">
                  <c:v>25</c:v>
                </c:pt>
                <c:pt idx="343">
                  <c:v>18</c:v>
                </c:pt>
                <c:pt idx="344">
                  <c:v>30</c:v>
                </c:pt>
                <c:pt idx="345">
                  <c:v>40</c:v>
                </c:pt>
                <c:pt idx="346">
                  <c:v>22</c:v>
                </c:pt>
                <c:pt idx="347">
                  <c:v>35</c:v>
                </c:pt>
                <c:pt idx="348">
                  <c:v>15</c:v>
                </c:pt>
                <c:pt idx="349">
                  <c:v>28</c:v>
                </c:pt>
                <c:pt idx="350">
                  <c:v>20</c:v>
                </c:pt>
                <c:pt idx="351">
                  <c:v>30</c:v>
                </c:pt>
                <c:pt idx="352">
                  <c:v>25</c:v>
                </c:pt>
                <c:pt idx="353">
                  <c:v>18</c:v>
                </c:pt>
                <c:pt idx="354">
                  <c:v>22</c:v>
                </c:pt>
                <c:pt idx="355">
                  <c:v>40</c:v>
                </c:pt>
                <c:pt idx="356">
                  <c:v>35</c:v>
                </c:pt>
                <c:pt idx="357">
                  <c:v>20</c:v>
                </c:pt>
                <c:pt idx="358">
                  <c:v>28</c:v>
                </c:pt>
                <c:pt idx="359">
                  <c:v>15</c:v>
                </c:pt>
                <c:pt idx="360">
                  <c:v>25</c:v>
                </c:pt>
                <c:pt idx="361">
                  <c:v>30</c:v>
                </c:pt>
                <c:pt idx="362">
                  <c:v>18</c:v>
                </c:pt>
                <c:pt idx="363">
                  <c:v>22</c:v>
                </c:pt>
                <c:pt idx="364">
                  <c:v>35</c:v>
                </c:pt>
                <c:pt idx="365">
                  <c:v>20</c:v>
                </c:pt>
                <c:pt idx="366">
                  <c:v>28</c:v>
                </c:pt>
                <c:pt idx="367">
                  <c:v>15</c:v>
                </c:pt>
                <c:pt idx="368">
                  <c:v>40</c:v>
                </c:pt>
                <c:pt idx="369">
                  <c:v>18</c:v>
                </c:pt>
                <c:pt idx="370">
                  <c:v>25</c:v>
                </c:pt>
                <c:pt idx="371">
                  <c:v>18</c:v>
                </c:pt>
                <c:pt idx="372">
                  <c:v>22</c:v>
                </c:pt>
                <c:pt idx="373">
                  <c:v>35</c:v>
                </c:pt>
                <c:pt idx="374">
                  <c:v>30</c:v>
                </c:pt>
                <c:pt idx="375">
                  <c:v>28</c:v>
                </c:pt>
                <c:pt idx="376">
                  <c:v>20</c:v>
                </c:pt>
                <c:pt idx="377">
                  <c:v>18</c:v>
                </c:pt>
                <c:pt idx="378">
                  <c:v>22</c:v>
                </c:pt>
                <c:pt idx="379">
                  <c:v>35</c:v>
                </c:pt>
                <c:pt idx="380">
                  <c:v>15</c:v>
                </c:pt>
                <c:pt idx="381">
                  <c:v>25</c:v>
                </c:pt>
                <c:pt idx="382">
                  <c:v>40</c:v>
                </c:pt>
                <c:pt idx="383">
                  <c:v>18</c:v>
                </c:pt>
                <c:pt idx="384">
                  <c:v>28</c:v>
                </c:pt>
                <c:pt idx="385">
                  <c:v>30</c:v>
                </c:pt>
                <c:pt idx="386">
                  <c:v>22</c:v>
                </c:pt>
                <c:pt idx="387">
                  <c:v>35</c:v>
                </c:pt>
                <c:pt idx="388">
                  <c:v>20</c:v>
                </c:pt>
                <c:pt idx="389">
                  <c:v>18</c:v>
                </c:pt>
                <c:pt idx="390">
                  <c:v>25</c:v>
                </c:pt>
                <c:pt idx="391">
                  <c:v>18</c:v>
                </c:pt>
                <c:pt idx="392">
                  <c:v>22</c:v>
                </c:pt>
                <c:pt idx="393">
                  <c:v>35</c:v>
                </c:pt>
                <c:pt idx="394">
                  <c:v>30</c:v>
                </c:pt>
                <c:pt idx="395">
                  <c:v>28</c:v>
                </c:pt>
                <c:pt idx="396">
                  <c:v>20</c:v>
                </c:pt>
                <c:pt idx="397">
                  <c:v>18</c:v>
                </c:pt>
                <c:pt idx="398">
                  <c:v>22</c:v>
                </c:pt>
                <c:pt idx="399">
                  <c:v>35</c:v>
                </c:pt>
                <c:pt idx="400">
                  <c:v>15</c:v>
                </c:pt>
                <c:pt idx="401">
                  <c:v>25</c:v>
                </c:pt>
                <c:pt idx="402">
                  <c:v>40</c:v>
                </c:pt>
                <c:pt idx="403">
                  <c:v>18</c:v>
                </c:pt>
                <c:pt idx="404">
                  <c:v>28</c:v>
                </c:pt>
                <c:pt idx="405">
                  <c:v>30</c:v>
                </c:pt>
                <c:pt idx="406">
                  <c:v>22</c:v>
                </c:pt>
                <c:pt idx="407">
                  <c:v>35</c:v>
                </c:pt>
                <c:pt idx="408">
                  <c:v>20</c:v>
                </c:pt>
                <c:pt idx="409">
                  <c:v>18</c:v>
                </c:pt>
                <c:pt idx="410">
                  <c:v>18</c:v>
                </c:pt>
                <c:pt idx="411">
                  <c:v>22</c:v>
                </c:pt>
                <c:pt idx="412">
                  <c:v>28</c:v>
                </c:pt>
                <c:pt idx="413">
                  <c:v>35</c:v>
                </c:pt>
                <c:pt idx="414">
                  <c:v>20</c:v>
                </c:pt>
                <c:pt idx="415">
                  <c:v>25</c:v>
                </c:pt>
                <c:pt idx="416">
                  <c:v>30</c:v>
                </c:pt>
                <c:pt idx="417">
                  <c:v>18</c:v>
                </c:pt>
                <c:pt idx="418">
                  <c:v>22</c:v>
                </c:pt>
                <c:pt idx="419">
                  <c:v>28</c:v>
                </c:pt>
                <c:pt idx="420">
                  <c:v>15</c:v>
                </c:pt>
                <c:pt idx="421">
                  <c:v>18</c:v>
                </c:pt>
                <c:pt idx="422">
                  <c:v>22</c:v>
                </c:pt>
                <c:pt idx="423">
                  <c:v>28</c:v>
                </c:pt>
                <c:pt idx="424">
                  <c:v>22</c:v>
                </c:pt>
                <c:pt idx="425">
                  <c:v>25</c:v>
                </c:pt>
                <c:pt idx="426">
                  <c:v>30</c:v>
                </c:pt>
                <c:pt idx="427">
                  <c:v>18</c:v>
                </c:pt>
                <c:pt idx="428">
                  <c:v>28</c:v>
                </c:pt>
                <c:pt idx="429">
                  <c:v>35</c:v>
                </c:pt>
                <c:pt idx="430">
                  <c:v>20</c:v>
                </c:pt>
                <c:pt idx="431">
                  <c:v>22</c:v>
                </c:pt>
                <c:pt idx="432">
                  <c:v>40</c:v>
                </c:pt>
                <c:pt idx="433">
                  <c:v>18</c:v>
                </c:pt>
                <c:pt idx="434">
                  <c:v>25</c:v>
                </c:pt>
                <c:pt idx="435">
                  <c:v>35</c:v>
                </c:pt>
                <c:pt idx="436">
                  <c:v>18</c:v>
                </c:pt>
                <c:pt idx="437">
                  <c:v>28</c:v>
                </c:pt>
                <c:pt idx="438">
                  <c:v>22</c:v>
                </c:pt>
                <c:pt idx="439">
                  <c:v>20</c:v>
                </c:pt>
                <c:pt idx="440">
                  <c:v>20</c:v>
                </c:pt>
                <c:pt idx="441">
                  <c:v>25</c:v>
                </c:pt>
                <c:pt idx="442">
                  <c:v>18</c:v>
                </c:pt>
                <c:pt idx="443">
                  <c:v>22</c:v>
                </c:pt>
                <c:pt idx="444">
                  <c:v>15</c:v>
                </c:pt>
                <c:pt idx="445">
                  <c:v>28</c:v>
                </c:pt>
                <c:pt idx="446">
                  <c:v>22</c:v>
                </c:pt>
                <c:pt idx="447">
                  <c:v>30</c:v>
                </c:pt>
                <c:pt idx="448">
                  <c:v>25</c:v>
                </c:pt>
                <c:pt idx="449">
                  <c:v>35</c:v>
                </c:pt>
                <c:pt idx="450">
                  <c:v>30</c:v>
                </c:pt>
                <c:pt idx="451">
                  <c:v>18</c:v>
                </c:pt>
                <c:pt idx="452">
                  <c:v>28</c:v>
                </c:pt>
                <c:pt idx="453">
                  <c:v>22</c:v>
                </c:pt>
                <c:pt idx="454">
                  <c:v>20</c:v>
                </c:pt>
                <c:pt idx="455">
                  <c:v>25</c:v>
                </c:pt>
                <c:pt idx="456">
                  <c:v>15</c:v>
                </c:pt>
                <c:pt idx="457">
                  <c:v>22</c:v>
                </c:pt>
                <c:pt idx="458">
                  <c:v>18</c:v>
                </c:pt>
                <c:pt idx="459">
                  <c:v>28</c:v>
                </c:pt>
                <c:pt idx="460">
                  <c:v>30</c:v>
                </c:pt>
                <c:pt idx="461">
                  <c:v>18</c:v>
                </c:pt>
                <c:pt idx="462">
                  <c:v>22</c:v>
                </c:pt>
                <c:pt idx="463">
                  <c:v>25</c:v>
                </c:pt>
                <c:pt idx="464">
                  <c:v>20</c:v>
                </c:pt>
                <c:pt idx="465">
                  <c:v>28</c:v>
                </c:pt>
                <c:pt idx="466">
                  <c:v>18</c:v>
                </c:pt>
                <c:pt idx="467">
                  <c:v>22</c:v>
                </c:pt>
                <c:pt idx="468">
                  <c:v>15</c:v>
                </c:pt>
                <c:pt idx="469">
                  <c:v>30</c:v>
                </c:pt>
                <c:pt idx="470">
                  <c:v>40</c:v>
                </c:pt>
                <c:pt idx="471">
                  <c:v>35</c:v>
                </c:pt>
                <c:pt idx="472">
                  <c:v>25</c:v>
                </c:pt>
                <c:pt idx="473">
                  <c:v>30</c:v>
                </c:pt>
                <c:pt idx="474">
                  <c:v>22</c:v>
                </c:pt>
                <c:pt idx="475">
                  <c:v>28</c:v>
                </c:pt>
                <c:pt idx="476">
                  <c:v>18</c:v>
                </c:pt>
                <c:pt idx="477">
                  <c:v>20</c:v>
                </c:pt>
                <c:pt idx="478">
                  <c:v>25</c:v>
                </c:pt>
                <c:pt idx="479">
                  <c:v>30</c:v>
                </c:pt>
                <c:pt idx="480">
                  <c:v>35</c:v>
                </c:pt>
                <c:pt idx="481">
                  <c:v>40</c:v>
                </c:pt>
                <c:pt idx="482">
                  <c:v>30</c:v>
                </c:pt>
                <c:pt idx="483">
                  <c:v>25</c:v>
                </c:pt>
                <c:pt idx="484">
                  <c:v>22</c:v>
                </c:pt>
                <c:pt idx="485">
                  <c:v>28</c:v>
                </c:pt>
                <c:pt idx="486">
                  <c:v>18</c:v>
                </c:pt>
                <c:pt idx="487">
                  <c:v>22</c:v>
                </c:pt>
                <c:pt idx="488">
                  <c:v>30</c:v>
                </c:pt>
                <c:pt idx="489">
                  <c:v>35</c:v>
                </c:pt>
                <c:pt idx="490">
                  <c:v>28</c:v>
                </c:pt>
                <c:pt idx="491">
                  <c:v>30</c:v>
                </c:pt>
                <c:pt idx="492">
                  <c:v>22</c:v>
                </c:pt>
                <c:pt idx="493">
                  <c:v>35</c:v>
                </c:pt>
                <c:pt idx="494">
                  <c:v>18</c:v>
                </c:pt>
                <c:pt idx="495">
                  <c:v>25</c:v>
                </c:pt>
                <c:pt idx="496">
                  <c:v>22</c:v>
                </c:pt>
                <c:pt idx="497">
                  <c:v>30</c:v>
                </c:pt>
                <c:pt idx="498">
                  <c:v>20</c:v>
                </c:pt>
                <c:pt idx="499">
                  <c:v>28</c:v>
                </c:pt>
                <c:pt idx="500">
                  <c:v>35</c:v>
                </c:pt>
                <c:pt idx="501">
                  <c:v>25</c:v>
                </c:pt>
                <c:pt idx="502">
                  <c:v>22</c:v>
                </c:pt>
                <c:pt idx="503">
                  <c:v>30</c:v>
                </c:pt>
                <c:pt idx="504">
                  <c:v>18</c:v>
                </c:pt>
                <c:pt idx="505">
                  <c:v>28</c:v>
                </c:pt>
                <c:pt idx="506">
                  <c:v>20</c:v>
                </c:pt>
                <c:pt idx="507">
                  <c:v>22</c:v>
                </c:pt>
                <c:pt idx="508">
                  <c:v>25</c:v>
                </c:pt>
                <c:pt idx="509">
                  <c:v>22</c:v>
                </c:pt>
                <c:pt idx="510">
                  <c:v>40</c:v>
                </c:pt>
                <c:pt idx="511">
                  <c:v>35</c:v>
                </c:pt>
                <c:pt idx="512">
                  <c:v>30</c:v>
                </c:pt>
                <c:pt idx="513">
                  <c:v>22</c:v>
                </c:pt>
                <c:pt idx="514">
                  <c:v>18</c:v>
                </c:pt>
                <c:pt idx="515">
                  <c:v>28</c:v>
                </c:pt>
                <c:pt idx="516">
                  <c:v>25</c:v>
                </c:pt>
                <c:pt idx="517">
                  <c:v>22</c:v>
                </c:pt>
                <c:pt idx="518">
                  <c:v>35</c:v>
                </c:pt>
                <c:pt idx="519">
                  <c:v>30</c:v>
                </c:pt>
                <c:pt idx="520">
                  <c:v>40</c:v>
                </c:pt>
                <c:pt idx="521">
                  <c:v>35</c:v>
                </c:pt>
                <c:pt idx="522">
                  <c:v>30</c:v>
                </c:pt>
                <c:pt idx="523">
                  <c:v>22</c:v>
                </c:pt>
                <c:pt idx="524">
                  <c:v>18</c:v>
                </c:pt>
                <c:pt idx="525">
                  <c:v>28</c:v>
                </c:pt>
                <c:pt idx="526">
                  <c:v>25</c:v>
                </c:pt>
                <c:pt idx="527">
                  <c:v>22</c:v>
                </c:pt>
                <c:pt idx="528">
                  <c:v>35</c:v>
                </c:pt>
                <c:pt idx="529">
                  <c:v>30</c:v>
                </c:pt>
                <c:pt idx="530">
                  <c:v>40</c:v>
                </c:pt>
                <c:pt idx="531">
                  <c:v>35</c:v>
                </c:pt>
                <c:pt idx="532">
                  <c:v>30</c:v>
                </c:pt>
                <c:pt idx="533">
                  <c:v>22</c:v>
                </c:pt>
                <c:pt idx="534">
                  <c:v>28</c:v>
                </c:pt>
                <c:pt idx="535">
                  <c:v>18</c:v>
                </c:pt>
                <c:pt idx="536">
                  <c:v>22</c:v>
                </c:pt>
                <c:pt idx="537">
                  <c:v>28</c:v>
                </c:pt>
                <c:pt idx="538">
                  <c:v>35</c:v>
                </c:pt>
                <c:pt idx="539">
                  <c:v>22</c:v>
                </c:pt>
                <c:pt idx="540">
                  <c:v>40</c:v>
                </c:pt>
                <c:pt idx="541">
                  <c:v>35</c:v>
                </c:pt>
                <c:pt idx="542">
                  <c:v>30</c:v>
                </c:pt>
                <c:pt idx="543">
                  <c:v>22</c:v>
                </c:pt>
                <c:pt idx="544">
                  <c:v>28</c:v>
                </c:pt>
                <c:pt idx="545">
                  <c:v>18</c:v>
                </c:pt>
                <c:pt idx="546">
                  <c:v>22</c:v>
                </c:pt>
                <c:pt idx="547">
                  <c:v>28</c:v>
                </c:pt>
                <c:pt idx="548">
                  <c:v>35</c:v>
                </c:pt>
                <c:pt idx="549">
                  <c:v>22</c:v>
                </c:pt>
                <c:pt idx="550">
                  <c:v>40</c:v>
                </c:pt>
                <c:pt idx="551">
                  <c:v>35</c:v>
                </c:pt>
                <c:pt idx="552">
                  <c:v>30</c:v>
                </c:pt>
                <c:pt idx="553">
                  <c:v>22</c:v>
                </c:pt>
                <c:pt idx="554">
                  <c:v>28</c:v>
                </c:pt>
                <c:pt idx="555">
                  <c:v>18</c:v>
                </c:pt>
                <c:pt idx="556">
                  <c:v>22</c:v>
                </c:pt>
                <c:pt idx="557">
                  <c:v>28</c:v>
                </c:pt>
                <c:pt idx="558">
                  <c:v>35</c:v>
                </c:pt>
                <c:pt idx="559">
                  <c:v>22</c:v>
                </c:pt>
                <c:pt idx="560">
                  <c:v>40</c:v>
                </c:pt>
                <c:pt idx="561">
                  <c:v>35</c:v>
                </c:pt>
                <c:pt idx="562">
                  <c:v>30</c:v>
                </c:pt>
                <c:pt idx="563">
                  <c:v>22</c:v>
                </c:pt>
                <c:pt idx="564">
                  <c:v>28</c:v>
                </c:pt>
                <c:pt idx="565">
                  <c:v>18</c:v>
                </c:pt>
                <c:pt idx="566">
                  <c:v>22</c:v>
                </c:pt>
                <c:pt idx="567">
                  <c:v>28</c:v>
                </c:pt>
                <c:pt idx="568">
                  <c:v>35</c:v>
                </c:pt>
                <c:pt idx="569">
                  <c:v>22</c:v>
                </c:pt>
                <c:pt idx="570">
                  <c:v>40</c:v>
                </c:pt>
                <c:pt idx="571">
                  <c:v>35</c:v>
                </c:pt>
                <c:pt idx="572">
                  <c:v>30</c:v>
                </c:pt>
                <c:pt idx="573">
                  <c:v>22</c:v>
                </c:pt>
                <c:pt idx="574">
                  <c:v>28</c:v>
                </c:pt>
                <c:pt idx="575">
                  <c:v>18</c:v>
                </c:pt>
                <c:pt idx="576">
                  <c:v>22</c:v>
                </c:pt>
                <c:pt idx="577">
                  <c:v>28</c:v>
                </c:pt>
                <c:pt idx="578">
                  <c:v>22</c:v>
                </c:pt>
                <c:pt idx="579">
                  <c:v>35</c:v>
                </c:pt>
                <c:pt idx="580">
                  <c:v>15</c:v>
                </c:pt>
                <c:pt idx="581">
                  <c:v>18</c:v>
                </c:pt>
                <c:pt idx="582">
                  <c:v>22</c:v>
                </c:pt>
                <c:pt idx="583">
                  <c:v>20</c:v>
                </c:pt>
                <c:pt idx="584">
                  <c:v>25</c:v>
                </c:pt>
                <c:pt idx="585">
                  <c:v>20</c:v>
                </c:pt>
                <c:pt idx="586">
                  <c:v>28</c:v>
                </c:pt>
                <c:pt idx="587">
                  <c:v>22</c:v>
                </c:pt>
                <c:pt idx="588">
                  <c:v>18</c:v>
                </c:pt>
                <c:pt idx="589">
                  <c:v>30</c:v>
                </c:pt>
                <c:pt idx="590">
                  <c:v>22</c:v>
                </c:pt>
                <c:pt idx="591">
                  <c:v>35</c:v>
                </c:pt>
                <c:pt idx="592">
                  <c:v>20</c:v>
                </c:pt>
                <c:pt idx="593">
                  <c:v>28</c:v>
                </c:pt>
                <c:pt idx="594">
                  <c:v>22</c:v>
                </c:pt>
                <c:pt idx="595">
                  <c:v>25</c:v>
                </c:pt>
                <c:pt idx="596">
                  <c:v>18</c:v>
                </c:pt>
                <c:pt idx="597">
                  <c:v>28</c:v>
                </c:pt>
                <c:pt idx="598">
                  <c:v>22</c:v>
                </c:pt>
                <c:pt idx="599">
                  <c:v>35</c:v>
                </c:pt>
                <c:pt idx="600">
                  <c:v>20</c:v>
                </c:pt>
                <c:pt idx="601">
                  <c:v>30</c:v>
                </c:pt>
                <c:pt idx="602">
                  <c:v>35</c:v>
                </c:pt>
                <c:pt idx="603">
                  <c:v>28</c:v>
                </c:pt>
                <c:pt idx="604">
                  <c:v>22</c:v>
                </c:pt>
                <c:pt idx="605">
                  <c:v>25</c:v>
                </c:pt>
                <c:pt idx="606">
                  <c:v>30</c:v>
                </c:pt>
                <c:pt idx="607">
                  <c:v>18</c:v>
                </c:pt>
                <c:pt idx="608">
                  <c:v>35</c:v>
                </c:pt>
                <c:pt idx="609">
                  <c:v>28</c:v>
                </c:pt>
                <c:pt idx="610">
                  <c:v>22</c:v>
                </c:pt>
                <c:pt idx="611">
                  <c:v>20</c:v>
                </c:pt>
                <c:pt idx="612">
                  <c:v>18</c:v>
                </c:pt>
                <c:pt idx="613">
                  <c:v>25</c:v>
                </c:pt>
                <c:pt idx="614">
                  <c:v>28</c:v>
                </c:pt>
                <c:pt idx="615">
                  <c:v>22</c:v>
                </c:pt>
                <c:pt idx="616">
                  <c:v>35</c:v>
                </c:pt>
                <c:pt idx="617">
                  <c:v>30</c:v>
                </c:pt>
                <c:pt idx="618">
                  <c:v>20</c:v>
                </c:pt>
                <c:pt idx="619">
                  <c:v>18</c:v>
                </c:pt>
                <c:pt idx="620">
                  <c:v>25</c:v>
                </c:pt>
                <c:pt idx="621">
                  <c:v>28</c:v>
                </c:pt>
                <c:pt idx="622">
                  <c:v>30</c:v>
                </c:pt>
                <c:pt idx="623">
                  <c:v>22</c:v>
                </c:pt>
                <c:pt idx="624">
                  <c:v>28</c:v>
                </c:pt>
                <c:pt idx="625">
                  <c:v>35</c:v>
                </c:pt>
                <c:pt idx="626">
                  <c:v>18</c:v>
                </c:pt>
                <c:pt idx="627">
                  <c:v>25</c:v>
                </c:pt>
                <c:pt idx="628">
                  <c:v>22</c:v>
                </c:pt>
                <c:pt idx="629">
                  <c:v>30</c:v>
                </c:pt>
                <c:pt idx="630">
                  <c:v>20</c:v>
                </c:pt>
                <c:pt idx="631">
                  <c:v>28</c:v>
                </c:pt>
                <c:pt idx="632">
                  <c:v>22</c:v>
                </c:pt>
                <c:pt idx="633">
                  <c:v>25</c:v>
                </c:pt>
                <c:pt idx="634">
                  <c:v>35</c:v>
                </c:pt>
                <c:pt idx="635">
                  <c:v>20</c:v>
                </c:pt>
                <c:pt idx="636">
                  <c:v>28</c:v>
                </c:pt>
                <c:pt idx="637">
                  <c:v>30</c:v>
                </c:pt>
                <c:pt idx="638">
                  <c:v>18</c:v>
                </c:pt>
                <c:pt idx="639">
                  <c:v>25</c:v>
                </c:pt>
                <c:pt idx="640">
                  <c:v>22</c:v>
                </c:pt>
                <c:pt idx="641">
                  <c:v>30</c:v>
                </c:pt>
                <c:pt idx="642">
                  <c:v>20</c:v>
                </c:pt>
                <c:pt idx="643">
                  <c:v>25</c:v>
                </c:pt>
                <c:pt idx="644">
                  <c:v>18</c:v>
                </c:pt>
                <c:pt idx="645">
                  <c:v>22</c:v>
                </c:pt>
                <c:pt idx="646">
                  <c:v>30</c:v>
                </c:pt>
                <c:pt idx="647">
                  <c:v>28</c:v>
                </c:pt>
                <c:pt idx="648">
                  <c:v>22</c:v>
                </c:pt>
                <c:pt idx="649">
                  <c:v>30</c:v>
                </c:pt>
                <c:pt idx="650">
                  <c:v>20</c:v>
                </c:pt>
                <c:pt idx="651">
                  <c:v>28</c:v>
                </c:pt>
                <c:pt idx="652">
                  <c:v>22</c:v>
                </c:pt>
                <c:pt idx="653">
                  <c:v>25</c:v>
                </c:pt>
                <c:pt idx="654">
                  <c:v>35</c:v>
                </c:pt>
                <c:pt idx="655">
                  <c:v>20</c:v>
                </c:pt>
                <c:pt idx="656">
                  <c:v>28</c:v>
                </c:pt>
                <c:pt idx="657">
                  <c:v>30</c:v>
                </c:pt>
                <c:pt idx="658">
                  <c:v>18</c:v>
                </c:pt>
                <c:pt idx="659">
                  <c:v>25</c:v>
                </c:pt>
                <c:pt idx="660">
                  <c:v>22</c:v>
                </c:pt>
                <c:pt idx="661">
                  <c:v>30</c:v>
                </c:pt>
                <c:pt idx="662">
                  <c:v>15</c:v>
                </c:pt>
                <c:pt idx="663">
                  <c:v>22</c:v>
                </c:pt>
                <c:pt idx="664">
                  <c:v>28</c:v>
                </c:pt>
                <c:pt idx="665">
                  <c:v>20</c:v>
                </c:pt>
                <c:pt idx="666">
                  <c:v>25</c:v>
                </c:pt>
                <c:pt idx="667">
                  <c:v>18</c:v>
                </c:pt>
                <c:pt idx="668">
                  <c:v>22</c:v>
                </c:pt>
                <c:pt idx="669">
                  <c:v>18</c:v>
                </c:pt>
                <c:pt idx="670">
                  <c:v>26</c:v>
                </c:pt>
                <c:pt idx="671">
                  <c:v>20</c:v>
                </c:pt>
                <c:pt idx="672">
                  <c:v>24</c:v>
                </c:pt>
                <c:pt idx="673">
                  <c:v>21</c:v>
                </c:pt>
                <c:pt idx="674">
                  <c:v>17</c:v>
                </c:pt>
                <c:pt idx="675">
                  <c:v>23</c:v>
                </c:pt>
                <c:pt idx="676">
                  <c:v>19</c:v>
                </c:pt>
                <c:pt idx="677">
                  <c:v>27</c:v>
                </c:pt>
                <c:pt idx="678">
                  <c:v>22</c:v>
                </c:pt>
                <c:pt idx="679">
                  <c:v>20</c:v>
                </c:pt>
                <c:pt idx="680">
                  <c:v>26</c:v>
                </c:pt>
                <c:pt idx="681">
                  <c:v>16</c:v>
                </c:pt>
                <c:pt idx="682">
                  <c:v>23</c:v>
                </c:pt>
                <c:pt idx="683">
                  <c:v>15</c:v>
                </c:pt>
                <c:pt idx="684">
                  <c:v>18</c:v>
                </c:pt>
                <c:pt idx="685">
                  <c:v>20</c:v>
                </c:pt>
                <c:pt idx="686">
                  <c:v>17</c:v>
                </c:pt>
                <c:pt idx="687">
                  <c:v>21</c:v>
                </c:pt>
                <c:pt idx="688">
                  <c:v>19</c:v>
                </c:pt>
                <c:pt idx="689">
                  <c:v>22</c:v>
                </c:pt>
                <c:pt idx="690">
                  <c:v>16</c:v>
                </c:pt>
                <c:pt idx="691">
                  <c:v>14</c:v>
                </c:pt>
                <c:pt idx="692">
                  <c:v>18</c:v>
                </c:pt>
                <c:pt idx="693">
                  <c:v>20</c:v>
                </c:pt>
                <c:pt idx="694">
                  <c:v>23</c:v>
                </c:pt>
                <c:pt idx="695">
                  <c:v>25</c:v>
                </c:pt>
                <c:pt idx="696">
                  <c:v>21</c:v>
                </c:pt>
                <c:pt idx="697">
                  <c:v>19</c:v>
                </c:pt>
                <c:pt idx="698">
                  <c:v>16</c:v>
                </c:pt>
                <c:pt idx="699">
                  <c:v>18</c:v>
                </c:pt>
                <c:pt idx="700">
                  <c:v>21</c:v>
                </c:pt>
                <c:pt idx="701">
                  <c:v>24</c:v>
                </c:pt>
                <c:pt idx="702">
                  <c:v>22</c:v>
                </c:pt>
                <c:pt idx="703">
                  <c:v>20</c:v>
                </c:pt>
                <c:pt idx="704">
                  <c:v>23</c:v>
                </c:pt>
                <c:pt idx="705">
                  <c:v>26</c:v>
                </c:pt>
                <c:pt idx="706">
                  <c:v>19</c:v>
                </c:pt>
                <c:pt idx="707">
                  <c:v>21</c:v>
                </c:pt>
                <c:pt idx="708">
                  <c:v>18</c:v>
                </c:pt>
                <c:pt idx="709">
                  <c:v>22</c:v>
                </c:pt>
                <c:pt idx="710">
                  <c:v>24</c:v>
                </c:pt>
                <c:pt idx="711">
                  <c:v>20</c:v>
                </c:pt>
                <c:pt idx="712">
                  <c:v>25</c:v>
                </c:pt>
                <c:pt idx="713">
                  <c:v>19</c:v>
                </c:pt>
                <c:pt idx="714">
                  <c:v>23</c:v>
                </c:pt>
                <c:pt idx="715">
                  <c:v>20</c:v>
                </c:pt>
                <c:pt idx="716">
                  <c:v>18</c:v>
                </c:pt>
                <c:pt idx="717">
                  <c:v>22</c:v>
                </c:pt>
                <c:pt idx="718">
                  <c:v>27</c:v>
                </c:pt>
                <c:pt idx="719">
                  <c:v>24</c:v>
                </c:pt>
                <c:pt idx="720">
                  <c:v>19</c:v>
                </c:pt>
                <c:pt idx="721">
                  <c:v>21</c:v>
                </c:pt>
                <c:pt idx="722">
                  <c:v>26</c:v>
                </c:pt>
                <c:pt idx="723">
                  <c:v>23</c:v>
                </c:pt>
                <c:pt idx="724">
                  <c:v>22</c:v>
                </c:pt>
                <c:pt idx="725">
                  <c:v>23</c:v>
                </c:pt>
                <c:pt idx="726">
                  <c:v>26</c:v>
                </c:pt>
                <c:pt idx="727">
                  <c:v>20</c:v>
                </c:pt>
                <c:pt idx="728">
                  <c:v>25</c:v>
                </c:pt>
                <c:pt idx="729">
                  <c:v>22</c:v>
                </c:pt>
                <c:pt idx="730">
                  <c:v>21</c:v>
                </c:pt>
                <c:pt idx="731">
                  <c:v>24</c:v>
                </c:pt>
              </c:numCache>
            </c:numRef>
          </c:xVal>
          <c:yVal>
            <c:numRef>
              <c:f>Cleaned_Data!$H$2:$H$733</c:f>
              <c:numCache>
                <c:formatCode>General</c:formatCode>
                <c:ptCount val="732"/>
                <c:pt idx="0">
                  <c:v>30</c:v>
                </c:pt>
                <c:pt idx="1">
                  <c:v>10</c:v>
                </c:pt>
                <c:pt idx="2">
                  <c:v>40</c:v>
                </c:pt>
                <c:pt idx="3">
                  <c:v>15</c:v>
                </c:pt>
                <c:pt idx="4">
                  <c:v>25</c:v>
                </c:pt>
                <c:pt idx="5">
                  <c:v>50</c:v>
                </c:pt>
                <c:pt idx="6">
                  <c:v>20</c:v>
                </c:pt>
                <c:pt idx="7">
                  <c:v>30</c:v>
                </c:pt>
                <c:pt idx="8">
                  <c:v>60</c:v>
                </c:pt>
                <c:pt idx="9">
                  <c:v>35</c:v>
                </c:pt>
                <c:pt idx="10">
                  <c:v>45</c:v>
                </c:pt>
                <c:pt idx="11">
                  <c:v>15</c:v>
                </c:pt>
                <c:pt idx="12">
                  <c:v>25</c:v>
                </c:pt>
                <c:pt idx="13">
                  <c:v>55</c:v>
                </c:pt>
                <c:pt idx="14">
                  <c:v>30</c:v>
                </c:pt>
                <c:pt idx="15">
                  <c:v>40</c:v>
                </c:pt>
                <c:pt idx="16">
                  <c:v>30</c:v>
                </c:pt>
                <c:pt idx="17">
                  <c:v>35</c:v>
                </c:pt>
                <c:pt idx="18">
                  <c:v>50</c:v>
                </c:pt>
                <c:pt idx="19">
                  <c:v>15</c:v>
                </c:pt>
                <c:pt idx="20">
                  <c:v>45</c:v>
                </c:pt>
                <c:pt idx="21">
                  <c:v>30</c:v>
                </c:pt>
                <c:pt idx="22">
                  <c:v>60</c:v>
                </c:pt>
                <c:pt idx="23">
                  <c:v>40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30</c:v>
                </c:pt>
                <c:pt idx="28">
                  <c:v>45</c:v>
                </c:pt>
                <c:pt idx="29">
                  <c:v>25</c:v>
                </c:pt>
                <c:pt idx="30">
                  <c:v>35</c:v>
                </c:pt>
                <c:pt idx="31">
                  <c:v>30</c:v>
                </c:pt>
                <c:pt idx="32">
                  <c:v>60</c:v>
                </c:pt>
                <c:pt idx="33">
                  <c:v>50</c:v>
                </c:pt>
                <c:pt idx="34">
                  <c:v>30</c:v>
                </c:pt>
                <c:pt idx="35">
                  <c:v>45</c:v>
                </c:pt>
                <c:pt idx="36">
                  <c:v>35</c:v>
                </c:pt>
                <c:pt idx="37">
                  <c:v>30</c:v>
                </c:pt>
                <c:pt idx="38">
                  <c:v>25</c:v>
                </c:pt>
                <c:pt idx="39">
                  <c:v>60</c:v>
                </c:pt>
                <c:pt idx="40">
                  <c:v>50</c:v>
                </c:pt>
                <c:pt idx="41">
                  <c:v>30</c:v>
                </c:pt>
                <c:pt idx="42">
                  <c:v>45</c:v>
                </c:pt>
                <c:pt idx="43">
                  <c:v>35</c:v>
                </c:pt>
                <c:pt idx="44">
                  <c:v>30</c:v>
                </c:pt>
                <c:pt idx="45">
                  <c:v>25</c:v>
                </c:pt>
                <c:pt idx="46">
                  <c:v>55</c:v>
                </c:pt>
                <c:pt idx="47">
                  <c:v>30</c:v>
                </c:pt>
                <c:pt idx="48">
                  <c:v>40</c:v>
                </c:pt>
                <c:pt idx="49">
                  <c:v>30</c:v>
                </c:pt>
                <c:pt idx="50">
                  <c:v>45</c:v>
                </c:pt>
                <c:pt idx="51">
                  <c:v>35</c:v>
                </c:pt>
                <c:pt idx="52">
                  <c:v>40</c:v>
                </c:pt>
                <c:pt idx="53">
                  <c:v>30</c:v>
                </c:pt>
                <c:pt idx="54">
                  <c:v>50</c:v>
                </c:pt>
                <c:pt idx="55">
                  <c:v>35</c:v>
                </c:pt>
                <c:pt idx="56">
                  <c:v>60</c:v>
                </c:pt>
                <c:pt idx="57">
                  <c:v>45</c:v>
                </c:pt>
                <c:pt idx="58">
                  <c:v>30</c:v>
                </c:pt>
                <c:pt idx="59">
                  <c:v>35</c:v>
                </c:pt>
                <c:pt idx="60">
                  <c:v>50</c:v>
                </c:pt>
                <c:pt idx="61">
                  <c:v>40</c:v>
                </c:pt>
                <c:pt idx="62">
                  <c:v>30</c:v>
                </c:pt>
                <c:pt idx="63">
                  <c:v>45</c:v>
                </c:pt>
                <c:pt idx="64">
                  <c:v>35</c:v>
                </c:pt>
                <c:pt idx="65">
                  <c:v>50</c:v>
                </c:pt>
                <c:pt idx="66">
                  <c:v>30</c:v>
                </c:pt>
                <c:pt idx="67">
                  <c:v>45</c:v>
                </c:pt>
                <c:pt idx="68">
                  <c:v>40</c:v>
                </c:pt>
                <c:pt idx="69">
                  <c:v>35</c:v>
                </c:pt>
                <c:pt idx="70">
                  <c:v>30</c:v>
                </c:pt>
                <c:pt idx="71">
                  <c:v>50</c:v>
                </c:pt>
                <c:pt idx="72">
                  <c:v>45</c:v>
                </c:pt>
                <c:pt idx="73">
                  <c:v>40</c:v>
                </c:pt>
                <c:pt idx="74">
                  <c:v>60</c:v>
                </c:pt>
                <c:pt idx="75">
                  <c:v>30</c:v>
                </c:pt>
                <c:pt idx="76">
                  <c:v>40</c:v>
                </c:pt>
                <c:pt idx="77">
                  <c:v>30</c:v>
                </c:pt>
                <c:pt idx="78">
                  <c:v>50</c:v>
                </c:pt>
                <c:pt idx="79">
                  <c:v>35</c:v>
                </c:pt>
                <c:pt idx="80">
                  <c:v>60</c:v>
                </c:pt>
                <c:pt idx="81">
                  <c:v>45</c:v>
                </c:pt>
                <c:pt idx="82">
                  <c:v>30</c:v>
                </c:pt>
                <c:pt idx="83">
                  <c:v>35</c:v>
                </c:pt>
                <c:pt idx="84">
                  <c:v>50</c:v>
                </c:pt>
                <c:pt idx="85">
                  <c:v>40</c:v>
                </c:pt>
                <c:pt idx="86">
                  <c:v>30</c:v>
                </c:pt>
                <c:pt idx="87">
                  <c:v>45</c:v>
                </c:pt>
                <c:pt idx="88">
                  <c:v>35</c:v>
                </c:pt>
                <c:pt idx="89">
                  <c:v>50</c:v>
                </c:pt>
                <c:pt idx="90">
                  <c:v>30</c:v>
                </c:pt>
                <c:pt idx="91">
                  <c:v>45</c:v>
                </c:pt>
                <c:pt idx="92">
                  <c:v>40</c:v>
                </c:pt>
                <c:pt idx="93">
                  <c:v>35</c:v>
                </c:pt>
                <c:pt idx="94">
                  <c:v>30</c:v>
                </c:pt>
                <c:pt idx="95">
                  <c:v>50</c:v>
                </c:pt>
                <c:pt idx="96">
                  <c:v>45</c:v>
                </c:pt>
                <c:pt idx="97">
                  <c:v>40</c:v>
                </c:pt>
                <c:pt idx="98">
                  <c:v>60</c:v>
                </c:pt>
                <c:pt idx="99">
                  <c:v>30</c:v>
                </c:pt>
                <c:pt idx="100">
                  <c:v>45</c:v>
                </c:pt>
                <c:pt idx="101">
                  <c:v>35</c:v>
                </c:pt>
                <c:pt idx="102">
                  <c:v>30</c:v>
                </c:pt>
                <c:pt idx="103">
                  <c:v>30</c:v>
                </c:pt>
                <c:pt idx="104">
                  <c:v>60</c:v>
                </c:pt>
                <c:pt idx="105">
                  <c:v>50</c:v>
                </c:pt>
                <c:pt idx="106">
                  <c:v>45</c:v>
                </c:pt>
                <c:pt idx="107">
                  <c:v>25</c:v>
                </c:pt>
                <c:pt idx="108">
                  <c:v>30</c:v>
                </c:pt>
                <c:pt idx="109">
                  <c:v>40</c:v>
                </c:pt>
                <c:pt idx="110">
                  <c:v>30</c:v>
                </c:pt>
                <c:pt idx="111">
                  <c:v>50</c:v>
                </c:pt>
                <c:pt idx="112">
                  <c:v>35</c:v>
                </c:pt>
                <c:pt idx="113">
                  <c:v>60</c:v>
                </c:pt>
                <c:pt idx="114">
                  <c:v>45</c:v>
                </c:pt>
                <c:pt idx="115">
                  <c:v>30</c:v>
                </c:pt>
                <c:pt idx="116">
                  <c:v>35</c:v>
                </c:pt>
                <c:pt idx="117">
                  <c:v>50</c:v>
                </c:pt>
                <c:pt idx="118">
                  <c:v>40</c:v>
                </c:pt>
                <c:pt idx="119">
                  <c:v>30</c:v>
                </c:pt>
                <c:pt idx="120">
                  <c:v>45</c:v>
                </c:pt>
                <c:pt idx="121">
                  <c:v>35</c:v>
                </c:pt>
                <c:pt idx="122">
                  <c:v>50</c:v>
                </c:pt>
                <c:pt idx="123">
                  <c:v>30</c:v>
                </c:pt>
                <c:pt idx="124">
                  <c:v>60</c:v>
                </c:pt>
                <c:pt idx="125">
                  <c:v>45</c:v>
                </c:pt>
                <c:pt idx="126">
                  <c:v>30</c:v>
                </c:pt>
                <c:pt idx="127">
                  <c:v>35</c:v>
                </c:pt>
                <c:pt idx="128">
                  <c:v>50</c:v>
                </c:pt>
                <c:pt idx="129">
                  <c:v>35</c:v>
                </c:pt>
                <c:pt idx="130">
                  <c:v>50</c:v>
                </c:pt>
                <c:pt idx="131">
                  <c:v>40</c:v>
                </c:pt>
                <c:pt idx="132">
                  <c:v>30</c:v>
                </c:pt>
                <c:pt idx="133">
                  <c:v>45</c:v>
                </c:pt>
                <c:pt idx="134">
                  <c:v>35</c:v>
                </c:pt>
                <c:pt idx="135">
                  <c:v>50</c:v>
                </c:pt>
                <c:pt idx="136">
                  <c:v>40</c:v>
                </c:pt>
                <c:pt idx="137">
                  <c:v>30</c:v>
                </c:pt>
                <c:pt idx="138">
                  <c:v>50</c:v>
                </c:pt>
                <c:pt idx="139">
                  <c:v>35</c:v>
                </c:pt>
                <c:pt idx="140">
                  <c:v>60</c:v>
                </c:pt>
                <c:pt idx="141">
                  <c:v>45</c:v>
                </c:pt>
                <c:pt idx="142">
                  <c:v>30</c:v>
                </c:pt>
                <c:pt idx="143">
                  <c:v>35</c:v>
                </c:pt>
                <c:pt idx="144">
                  <c:v>50</c:v>
                </c:pt>
                <c:pt idx="145">
                  <c:v>40</c:v>
                </c:pt>
                <c:pt idx="146">
                  <c:v>30</c:v>
                </c:pt>
                <c:pt idx="147">
                  <c:v>45</c:v>
                </c:pt>
                <c:pt idx="148">
                  <c:v>35</c:v>
                </c:pt>
                <c:pt idx="149">
                  <c:v>50</c:v>
                </c:pt>
                <c:pt idx="150">
                  <c:v>30</c:v>
                </c:pt>
                <c:pt idx="151">
                  <c:v>60</c:v>
                </c:pt>
                <c:pt idx="152">
                  <c:v>45</c:v>
                </c:pt>
                <c:pt idx="153">
                  <c:v>30</c:v>
                </c:pt>
                <c:pt idx="154">
                  <c:v>35</c:v>
                </c:pt>
                <c:pt idx="155">
                  <c:v>50</c:v>
                </c:pt>
                <c:pt idx="156">
                  <c:v>35</c:v>
                </c:pt>
                <c:pt idx="157">
                  <c:v>50</c:v>
                </c:pt>
                <c:pt idx="158">
                  <c:v>40</c:v>
                </c:pt>
                <c:pt idx="159">
                  <c:v>30</c:v>
                </c:pt>
                <c:pt idx="160">
                  <c:v>45</c:v>
                </c:pt>
                <c:pt idx="161">
                  <c:v>35</c:v>
                </c:pt>
                <c:pt idx="162">
                  <c:v>50</c:v>
                </c:pt>
                <c:pt idx="163">
                  <c:v>10</c:v>
                </c:pt>
                <c:pt idx="164">
                  <c:v>15</c:v>
                </c:pt>
                <c:pt idx="165">
                  <c:v>20</c:v>
                </c:pt>
                <c:pt idx="166">
                  <c:v>25</c:v>
                </c:pt>
                <c:pt idx="167">
                  <c:v>15</c:v>
                </c:pt>
                <c:pt idx="168">
                  <c:v>20</c:v>
                </c:pt>
                <c:pt idx="169">
                  <c:v>15</c:v>
                </c:pt>
                <c:pt idx="170">
                  <c:v>25</c:v>
                </c:pt>
                <c:pt idx="171">
                  <c:v>30</c:v>
                </c:pt>
                <c:pt idx="172">
                  <c:v>15</c:v>
                </c:pt>
                <c:pt idx="173">
                  <c:v>20</c:v>
                </c:pt>
                <c:pt idx="174">
                  <c:v>25</c:v>
                </c:pt>
                <c:pt idx="175">
                  <c:v>15</c:v>
                </c:pt>
                <c:pt idx="176">
                  <c:v>20</c:v>
                </c:pt>
                <c:pt idx="177">
                  <c:v>25</c:v>
                </c:pt>
                <c:pt idx="178">
                  <c:v>30</c:v>
                </c:pt>
                <c:pt idx="179">
                  <c:v>15</c:v>
                </c:pt>
                <c:pt idx="180">
                  <c:v>20</c:v>
                </c:pt>
                <c:pt idx="181">
                  <c:v>25</c:v>
                </c:pt>
                <c:pt idx="182">
                  <c:v>15</c:v>
                </c:pt>
                <c:pt idx="183">
                  <c:v>20</c:v>
                </c:pt>
                <c:pt idx="184">
                  <c:v>30</c:v>
                </c:pt>
                <c:pt idx="185">
                  <c:v>15</c:v>
                </c:pt>
                <c:pt idx="186">
                  <c:v>20</c:v>
                </c:pt>
                <c:pt idx="187">
                  <c:v>25</c:v>
                </c:pt>
                <c:pt idx="188">
                  <c:v>15</c:v>
                </c:pt>
                <c:pt idx="189">
                  <c:v>20</c:v>
                </c:pt>
                <c:pt idx="190">
                  <c:v>25</c:v>
                </c:pt>
                <c:pt idx="191">
                  <c:v>30</c:v>
                </c:pt>
                <c:pt idx="192">
                  <c:v>15</c:v>
                </c:pt>
                <c:pt idx="193">
                  <c:v>20</c:v>
                </c:pt>
                <c:pt idx="194">
                  <c:v>25</c:v>
                </c:pt>
                <c:pt idx="195">
                  <c:v>15</c:v>
                </c:pt>
                <c:pt idx="196">
                  <c:v>30</c:v>
                </c:pt>
                <c:pt idx="197">
                  <c:v>15</c:v>
                </c:pt>
                <c:pt idx="198">
                  <c:v>20</c:v>
                </c:pt>
                <c:pt idx="199">
                  <c:v>15</c:v>
                </c:pt>
                <c:pt idx="200">
                  <c:v>25</c:v>
                </c:pt>
                <c:pt idx="201">
                  <c:v>20</c:v>
                </c:pt>
                <c:pt idx="202">
                  <c:v>25</c:v>
                </c:pt>
                <c:pt idx="203">
                  <c:v>30</c:v>
                </c:pt>
                <c:pt idx="204">
                  <c:v>20</c:v>
                </c:pt>
                <c:pt idx="205">
                  <c:v>25</c:v>
                </c:pt>
                <c:pt idx="206">
                  <c:v>40</c:v>
                </c:pt>
                <c:pt idx="207">
                  <c:v>20</c:v>
                </c:pt>
                <c:pt idx="208">
                  <c:v>30</c:v>
                </c:pt>
                <c:pt idx="209">
                  <c:v>15</c:v>
                </c:pt>
                <c:pt idx="210">
                  <c:v>25</c:v>
                </c:pt>
                <c:pt idx="211">
                  <c:v>20</c:v>
                </c:pt>
                <c:pt idx="212">
                  <c:v>25</c:v>
                </c:pt>
                <c:pt idx="213">
                  <c:v>30</c:v>
                </c:pt>
                <c:pt idx="214">
                  <c:v>35</c:v>
                </c:pt>
                <c:pt idx="215">
                  <c:v>50</c:v>
                </c:pt>
                <c:pt idx="216">
                  <c:v>45</c:v>
                </c:pt>
                <c:pt idx="217">
                  <c:v>18</c:v>
                </c:pt>
                <c:pt idx="218">
                  <c:v>28</c:v>
                </c:pt>
                <c:pt idx="219">
                  <c:v>20</c:v>
                </c:pt>
                <c:pt idx="220">
                  <c:v>26</c:v>
                </c:pt>
                <c:pt idx="221">
                  <c:v>25</c:v>
                </c:pt>
                <c:pt idx="222">
                  <c:v>30</c:v>
                </c:pt>
                <c:pt idx="223">
                  <c:v>36</c:v>
                </c:pt>
                <c:pt idx="224">
                  <c:v>40</c:v>
                </c:pt>
                <c:pt idx="225">
                  <c:v>50</c:v>
                </c:pt>
                <c:pt idx="226">
                  <c:v>18</c:v>
                </c:pt>
                <c:pt idx="227">
                  <c:v>28</c:v>
                </c:pt>
                <c:pt idx="228">
                  <c:v>22</c:v>
                </c:pt>
                <c:pt idx="229">
                  <c:v>26</c:v>
                </c:pt>
                <c:pt idx="230">
                  <c:v>25</c:v>
                </c:pt>
                <c:pt idx="231">
                  <c:v>30</c:v>
                </c:pt>
                <c:pt idx="232">
                  <c:v>36</c:v>
                </c:pt>
                <c:pt idx="233">
                  <c:v>40</c:v>
                </c:pt>
                <c:pt idx="234">
                  <c:v>50</c:v>
                </c:pt>
                <c:pt idx="235">
                  <c:v>45</c:v>
                </c:pt>
                <c:pt idx="236">
                  <c:v>18</c:v>
                </c:pt>
                <c:pt idx="237">
                  <c:v>28</c:v>
                </c:pt>
                <c:pt idx="238">
                  <c:v>20</c:v>
                </c:pt>
                <c:pt idx="239">
                  <c:v>26</c:v>
                </c:pt>
                <c:pt idx="240">
                  <c:v>25</c:v>
                </c:pt>
                <c:pt idx="241">
                  <c:v>30</c:v>
                </c:pt>
                <c:pt idx="242">
                  <c:v>36</c:v>
                </c:pt>
                <c:pt idx="243">
                  <c:v>40</c:v>
                </c:pt>
                <c:pt idx="244">
                  <c:v>50</c:v>
                </c:pt>
                <c:pt idx="245">
                  <c:v>44</c:v>
                </c:pt>
                <c:pt idx="246">
                  <c:v>20</c:v>
                </c:pt>
                <c:pt idx="247">
                  <c:v>30</c:v>
                </c:pt>
                <c:pt idx="248">
                  <c:v>36</c:v>
                </c:pt>
                <c:pt idx="249">
                  <c:v>24</c:v>
                </c:pt>
                <c:pt idx="250">
                  <c:v>50</c:v>
                </c:pt>
                <c:pt idx="251">
                  <c:v>40</c:v>
                </c:pt>
                <c:pt idx="252">
                  <c:v>30</c:v>
                </c:pt>
                <c:pt idx="253">
                  <c:v>36</c:v>
                </c:pt>
                <c:pt idx="254">
                  <c:v>44</c:v>
                </c:pt>
                <c:pt idx="255">
                  <c:v>40</c:v>
                </c:pt>
                <c:pt idx="256">
                  <c:v>30</c:v>
                </c:pt>
                <c:pt idx="257">
                  <c:v>24</c:v>
                </c:pt>
                <c:pt idx="258">
                  <c:v>50</c:v>
                </c:pt>
                <c:pt idx="259">
                  <c:v>26</c:v>
                </c:pt>
                <c:pt idx="260">
                  <c:v>34</c:v>
                </c:pt>
                <c:pt idx="261">
                  <c:v>28</c:v>
                </c:pt>
                <c:pt idx="262">
                  <c:v>38</c:v>
                </c:pt>
                <c:pt idx="263">
                  <c:v>32</c:v>
                </c:pt>
                <c:pt idx="264">
                  <c:v>42</c:v>
                </c:pt>
                <c:pt idx="265">
                  <c:v>46</c:v>
                </c:pt>
                <c:pt idx="266">
                  <c:v>28</c:v>
                </c:pt>
                <c:pt idx="267">
                  <c:v>48</c:v>
                </c:pt>
                <c:pt idx="268">
                  <c:v>36</c:v>
                </c:pt>
                <c:pt idx="269">
                  <c:v>40</c:v>
                </c:pt>
                <c:pt idx="270">
                  <c:v>32</c:v>
                </c:pt>
                <c:pt idx="271">
                  <c:v>44</c:v>
                </c:pt>
                <c:pt idx="272">
                  <c:v>38</c:v>
                </c:pt>
                <c:pt idx="273">
                  <c:v>46</c:v>
                </c:pt>
                <c:pt idx="274">
                  <c:v>30</c:v>
                </c:pt>
                <c:pt idx="275">
                  <c:v>50</c:v>
                </c:pt>
                <c:pt idx="276">
                  <c:v>28</c:v>
                </c:pt>
                <c:pt idx="277">
                  <c:v>34</c:v>
                </c:pt>
                <c:pt idx="278">
                  <c:v>42</c:v>
                </c:pt>
                <c:pt idx="279">
                  <c:v>46</c:v>
                </c:pt>
                <c:pt idx="280">
                  <c:v>28</c:v>
                </c:pt>
                <c:pt idx="281">
                  <c:v>48</c:v>
                </c:pt>
                <c:pt idx="282">
                  <c:v>36</c:v>
                </c:pt>
                <c:pt idx="283">
                  <c:v>40</c:v>
                </c:pt>
                <c:pt idx="284">
                  <c:v>32</c:v>
                </c:pt>
                <c:pt idx="285">
                  <c:v>44</c:v>
                </c:pt>
                <c:pt idx="286">
                  <c:v>38</c:v>
                </c:pt>
                <c:pt idx="287">
                  <c:v>46</c:v>
                </c:pt>
                <c:pt idx="288">
                  <c:v>30</c:v>
                </c:pt>
                <c:pt idx="289">
                  <c:v>50</c:v>
                </c:pt>
                <c:pt idx="290">
                  <c:v>28</c:v>
                </c:pt>
                <c:pt idx="291">
                  <c:v>34</c:v>
                </c:pt>
                <c:pt idx="292">
                  <c:v>42</c:v>
                </c:pt>
                <c:pt idx="293">
                  <c:v>46</c:v>
                </c:pt>
                <c:pt idx="294">
                  <c:v>28</c:v>
                </c:pt>
                <c:pt idx="295">
                  <c:v>48</c:v>
                </c:pt>
                <c:pt idx="296">
                  <c:v>16</c:v>
                </c:pt>
                <c:pt idx="297">
                  <c:v>24</c:v>
                </c:pt>
                <c:pt idx="298">
                  <c:v>30</c:v>
                </c:pt>
                <c:pt idx="299">
                  <c:v>20</c:v>
                </c:pt>
                <c:pt idx="300">
                  <c:v>36</c:v>
                </c:pt>
                <c:pt idx="301">
                  <c:v>28</c:v>
                </c:pt>
                <c:pt idx="302">
                  <c:v>44</c:v>
                </c:pt>
                <c:pt idx="303">
                  <c:v>32</c:v>
                </c:pt>
                <c:pt idx="304">
                  <c:v>50</c:v>
                </c:pt>
                <c:pt idx="305">
                  <c:v>24</c:v>
                </c:pt>
                <c:pt idx="306">
                  <c:v>40</c:v>
                </c:pt>
                <c:pt idx="307">
                  <c:v>28</c:v>
                </c:pt>
                <c:pt idx="308">
                  <c:v>30</c:v>
                </c:pt>
                <c:pt idx="309">
                  <c:v>36</c:v>
                </c:pt>
                <c:pt idx="310">
                  <c:v>26</c:v>
                </c:pt>
                <c:pt idx="311">
                  <c:v>20</c:v>
                </c:pt>
                <c:pt idx="312">
                  <c:v>40</c:v>
                </c:pt>
                <c:pt idx="313">
                  <c:v>32</c:v>
                </c:pt>
                <c:pt idx="314">
                  <c:v>50</c:v>
                </c:pt>
                <c:pt idx="315">
                  <c:v>28</c:v>
                </c:pt>
                <c:pt idx="316">
                  <c:v>40</c:v>
                </c:pt>
                <c:pt idx="317">
                  <c:v>24</c:v>
                </c:pt>
                <c:pt idx="318">
                  <c:v>16</c:v>
                </c:pt>
                <c:pt idx="319">
                  <c:v>30</c:v>
                </c:pt>
                <c:pt idx="320">
                  <c:v>36</c:v>
                </c:pt>
                <c:pt idx="321">
                  <c:v>20</c:v>
                </c:pt>
                <c:pt idx="322">
                  <c:v>36</c:v>
                </c:pt>
                <c:pt idx="323">
                  <c:v>28</c:v>
                </c:pt>
                <c:pt idx="324">
                  <c:v>44</c:v>
                </c:pt>
                <c:pt idx="325">
                  <c:v>32</c:v>
                </c:pt>
                <c:pt idx="326">
                  <c:v>50</c:v>
                </c:pt>
                <c:pt idx="327">
                  <c:v>28</c:v>
                </c:pt>
                <c:pt idx="328">
                  <c:v>40</c:v>
                </c:pt>
                <c:pt idx="329">
                  <c:v>24</c:v>
                </c:pt>
                <c:pt idx="330">
                  <c:v>30</c:v>
                </c:pt>
                <c:pt idx="331">
                  <c:v>36</c:v>
                </c:pt>
                <c:pt idx="332">
                  <c:v>55</c:v>
                </c:pt>
                <c:pt idx="333">
                  <c:v>30</c:v>
                </c:pt>
                <c:pt idx="334">
                  <c:v>45</c:v>
                </c:pt>
                <c:pt idx="335">
                  <c:v>80</c:v>
                </c:pt>
                <c:pt idx="336">
                  <c:v>35</c:v>
                </c:pt>
                <c:pt idx="337">
                  <c:v>50</c:v>
                </c:pt>
                <c:pt idx="338">
                  <c:v>60</c:v>
                </c:pt>
                <c:pt idx="339">
                  <c:v>70</c:v>
                </c:pt>
                <c:pt idx="340">
                  <c:v>40</c:v>
                </c:pt>
                <c:pt idx="341">
                  <c:v>35</c:v>
                </c:pt>
                <c:pt idx="342">
                  <c:v>50</c:v>
                </c:pt>
                <c:pt idx="343">
                  <c:v>35</c:v>
                </c:pt>
                <c:pt idx="344">
                  <c:v>60</c:v>
                </c:pt>
                <c:pt idx="345">
                  <c:v>80</c:v>
                </c:pt>
                <c:pt idx="346">
                  <c:v>45</c:v>
                </c:pt>
                <c:pt idx="347">
                  <c:v>70</c:v>
                </c:pt>
                <c:pt idx="348">
                  <c:v>30</c:v>
                </c:pt>
                <c:pt idx="349">
                  <c:v>55</c:v>
                </c:pt>
                <c:pt idx="350">
                  <c:v>40</c:v>
                </c:pt>
                <c:pt idx="351">
                  <c:v>60</c:v>
                </c:pt>
                <c:pt idx="352">
                  <c:v>50</c:v>
                </c:pt>
                <c:pt idx="353">
                  <c:v>35</c:v>
                </c:pt>
                <c:pt idx="354">
                  <c:v>45</c:v>
                </c:pt>
                <c:pt idx="355">
                  <c:v>80</c:v>
                </c:pt>
                <c:pt idx="356">
                  <c:v>70</c:v>
                </c:pt>
                <c:pt idx="357">
                  <c:v>40</c:v>
                </c:pt>
                <c:pt idx="358">
                  <c:v>55</c:v>
                </c:pt>
                <c:pt idx="359">
                  <c:v>30</c:v>
                </c:pt>
                <c:pt idx="360">
                  <c:v>50</c:v>
                </c:pt>
                <c:pt idx="361">
                  <c:v>60</c:v>
                </c:pt>
                <c:pt idx="362">
                  <c:v>35</c:v>
                </c:pt>
                <c:pt idx="363">
                  <c:v>45</c:v>
                </c:pt>
                <c:pt idx="364">
                  <c:v>70</c:v>
                </c:pt>
                <c:pt idx="365">
                  <c:v>40</c:v>
                </c:pt>
                <c:pt idx="366">
                  <c:v>55</c:v>
                </c:pt>
                <c:pt idx="367">
                  <c:v>30</c:v>
                </c:pt>
                <c:pt idx="368">
                  <c:v>80</c:v>
                </c:pt>
                <c:pt idx="369">
                  <c:v>35</c:v>
                </c:pt>
                <c:pt idx="370">
                  <c:v>50</c:v>
                </c:pt>
                <c:pt idx="371">
                  <c:v>35</c:v>
                </c:pt>
                <c:pt idx="372">
                  <c:v>45</c:v>
                </c:pt>
                <c:pt idx="373">
                  <c:v>70</c:v>
                </c:pt>
                <c:pt idx="374">
                  <c:v>60</c:v>
                </c:pt>
                <c:pt idx="375">
                  <c:v>55</c:v>
                </c:pt>
                <c:pt idx="376">
                  <c:v>40</c:v>
                </c:pt>
                <c:pt idx="377">
                  <c:v>35</c:v>
                </c:pt>
                <c:pt idx="378">
                  <c:v>45</c:v>
                </c:pt>
                <c:pt idx="379">
                  <c:v>70</c:v>
                </c:pt>
                <c:pt idx="380">
                  <c:v>30</c:v>
                </c:pt>
                <c:pt idx="381">
                  <c:v>50</c:v>
                </c:pt>
                <c:pt idx="382">
                  <c:v>80</c:v>
                </c:pt>
                <c:pt idx="383">
                  <c:v>35</c:v>
                </c:pt>
                <c:pt idx="384">
                  <c:v>55</c:v>
                </c:pt>
                <c:pt idx="385">
                  <c:v>60</c:v>
                </c:pt>
                <c:pt idx="386">
                  <c:v>45</c:v>
                </c:pt>
                <c:pt idx="387">
                  <c:v>70</c:v>
                </c:pt>
                <c:pt idx="388">
                  <c:v>40</c:v>
                </c:pt>
                <c:pt idx="389">
                  <c:v>35</c:v>
                </c:pt>
                <c:pt idx="390">
                  <c:v>50</c:v>
                </c:pt>
                <c:pt idx="391">
                  <c:v>35</c:v>
                </c:pt>
                <c:pt idx="392">
                  <c:v>45</c:v>
                </c:pt>
                <c:pt idx="393">
                  <c:v>70</c:v>
                </c:pt>
                <c:pt idx="394">
                  <c:v>60</c:v>
                </c:pt>
                <c:pt idx="395">
                  <c:v>55</c:v>
                </c:pt>
                <c:pt idx="396">
                  <c:v>40</c:v>
                </c:pt>
                <c:pt idx="397">
                  <c:v>35</c:v>
                </c:pt>
                <c:pt idx="398">
                  <c:v>45</c:v>
                </c:pt>
                <c:pt idx="399">
                  <c:v>70</c:v>
                </c:pt>
                <c:pt idx="400">
                  <c:v>30</c:v>
                </c:pt>
                <c:pt idx="401">
                  <c:v>50</c:v>
                </c:pt>
                <c:pt idx="402">
                  <c:v>80</c:v>
                </c:pt>
                <c:pt idx="403">
                  <c:v>35</c:v>
                </c:pt>
                <c:pt idx="404">
                  <c:v>55</c:v>
                </c:pt>
                <c:pt idx="405">
                  <c:v>60</c:v>
                </c:pt>
                <c:pt idx="406">
                  <c:v>45</c:v>
                </c:pt>
                <c:pt idx="407">
                  <c:v>70</c:v>
                </c:pt>
                <c:pt idx="408">
                  <c:v>40</c:v>
                </c:pt>
                <c:pt idx="409">
                  <c:v>35</c:v>
                </c:pt>
                <c:pt idx="410">
                  <c:v>35</c:v>
                </c:pt>
                <c:pt idx="411">
                  <c:v>45</c:v>
                </c:pt>
                <c:pt idx="412">
                  <c:v>55</c:v>
                </c:pt>
                <c:pt idx="413">
                  <c:v>70</c:v>
                </c:pt>
                <c:pt idx="414">
                  <c:v>40</c:v>
                </c:pt>
                <c:pt idx="415">
                  <c:v>50</c:v>
                </c:pt>
                <c:pt idx="416">
                  <c:v>60</c:v>
                </c:pt>
                <c:pt idx="417">
                  <c:v>35</c:v>
                </c:pt>
                <c:pt idx="418">
                  <c:v>45</c:v>
                </c:pt>
                <c:pt idx="419">
                  <c:v>55</c:v>
                </c:pt>
                <c:pt idx="420">
                  <c:v>30</c:v>
                </c:pt>
                <c:pt idx="421">
                  <c:v>35</c:v>
                </c:pt>
                <c:pt idx="422">
                  <c:v>45</c:v>
                </c:pt>
                <c:pt idx="423">
                  <c:v>55</c:v>
                </c:pt>
                <c:pt idx="424">
                  <c:v>45</c:v>
                </c:pt>
                <c:pt idx="425">
                  <c:v>50</c:v>
                </c:pt>
                <c:pt idx="426">
                  <c:v>60</c:v>
                </c:pt>
                <c:pt idx="427">
                  <c:v>35</c:v>
                </c:pt>
                <c:pt idx="428">
                  <c:v>55</c:v>
                </c:pt>
                <c:pt idx="429">
                  <c:v>70</c:v>
                </c:pt>
                <c:pt idx="430">
                  <c:v>40</c:v>
                </c:pt>
                <c:pt idx="431">
                  <c:v>45</c:v>
                </c:pt>
                <c:pt idx="432">
                  <c:v>80</c:v>
                </c:pt>
                <c:pt idx="433">
                  <c:v>35</c:v>
                </c:pt>
                <c:pt idx="434">
                  <c:v>50</c:v>
                </c:pt>
                <c:pt idx="435">
                  <c:v>70</c:v>
                </c:pt>
                <c:pt idx="436">
                  <c:v>35</c:v>
                </c:pt>
                <c:pt idx="437">
                  <c:v>55</c:v>
                </c:pt>
                <c:pt idx="438">
                  <c:v>45</c:v>
                </c:pt>
                <c:pt idx="439">
                  <c:v>40</c:v>
                </c:pt>
                <c:pt idx="440">
                  <c:v>40</c:v>
                </c:pt>
                <c:pt idx="441">
                  <c:v>50</c:v>
                </c:pt>
                <c:pt idx="442">
                  <c:v>35</c:v>
                </c:pt>
                <c:pt idx="443">
                  <c:v>45</c:v>
                </c:pt>
                <c:pt idx="444">
                  <c:v>30</c:v>
                </c:pt>
                <c:pt idx="445">
                  <c:v>55</c:v>
                </c:pt>
                <c:pt idx="446">
                  <c:v>45</c:v>
                </c:pt>
                <c:pt idx="447">
                  <c:v>60</c:v>
                </c:pt>
                <c:pt idx="448">
                  <c:v>50</c:v>
                </c:pt>
                <c:pt idx="449">
                  <c:v>70</c:v>
                </c:pt>
                <c:pt idx="450">
                  <c:v>60</c:v>
                </c:pt>
                <c:pt idx="451">
                  <c:v>35</c:v>
                </c:pt>
                <c:pt idx="452">
                  <c:v>55</c:v>
                </c:pt>
                <c:pt idx="453">
                  <c:v>45</c:v>
                </c:pt>
                <c:pt idx="454">
                  <c:v>40</c:v>
                </c:pt>
                <c:pt idx="455">
                  <c:v>50</c:v>
                </c:pt>
                <c:pt idx="456">
                  <c:v>30</c:v>
                </c:pt>
                <c:pt idx="457">
                  <c:v>45</c:v>
                </c:pt>
                <c:pt idx="458">
                  <c:v>35</c:v>
                </c:pt>
                <c:pt idx="459">
                  <c:v>55</c:v>
                </c:pt>
                <c:pt idx="460">
                  <c:v>60</c:v>
                </c:pt>
                <c:pt idx="461">
                  <c:v>35</c:v>
                </c:pt>
                <c:pt idx="462">
                  <c:v>45</c:v>
                </c:pt>
                <c:pt idx="463">
                  <c:v>50</c:v>
                </c:pt>
                <c:pt idx="464">
                  <c:v>40</c:v>
                </c:pt>
                <c:pt idx="465">
                  <c:v>55</c:v>
                </c:pt>
                <c:pt idx="466">
                  <c:v>35</c:v>
                </c:pt>
                <c:pt idx="467">
                  <c:v>45</c:v>
                </c:pt>
                <c:pt idx="468">
                  <c:v>30</c:v>
                </c:pt>
                <c:pt idx="469">
                  <c:v>60</c:v>
                </c:pt>
                <c:pt idx="470">
                  <c:v>80</c:v>
                </c:pt>
                <c:pt idx="471">
                  <c:v>70</c:v>
                </c:pt>
                <c:pt idx="472">
                  <c:v>50</c:v>
                </c:pt>
                <c:pt idx="473">
                  <c:v>60</c:v>
                </c:pt>
                <c:pt idx="474">
                  <c:v>45</c:v>
                </c:pt>
                <c:pt idx="475">
                  <c:v>55</c:v>
                </c:pt>
                <c:pt idx="476">
                  <c:v>35</c:v>
                </c:pt>
                <c:pt idx="477">
                  <c:v>40</c:v>
                </c:pt>
                <c:pt idx="478">
                  <c:v>50</c:v>
                </c:pt>
                <c:pt idx="479">
                  <c:v>60</c:v>
                </c:pt>
                <c:pt idx="480">
                  <c:v>70</c:v>
                </c:pt>
                <c:pt idx="481">
                  <c:v>80</c:v>
                </c:pt>
                <c:pt idx="482">
                  <c:v>60</c:v>
                </c:pt>
                <c:pt idx="483">
                  <c:v>50</c:v>
                </c:pt>
                <c:pt idx="484">
                  <c:v>45</c:v>
                </c:pt>
                <c:pt idx="485">
                  <c:v>55</c:v>
                </c:pt>
                <c:pt idx="486">
                  <c:v>35</c:v>
                </c:pt>
                <c:pt idx="487">
                  <c:v>45</c:v>
                </c:pt>
                <c:pt idx="488">
                  <c:v>60</c:v>
                </c:pt>
                <c:pt idx="489">
                  <c:v>70</c:v>
                </c:pt>
                <c:pt idx="490">
                  <c:v>55</c:v>
                </c:pt>
                <c:pt idx="491">
                  <c:v>60</c:v>
                </c:pt>
                <c:pt idx="492">
                  <c:v>45</c:v>
                </c:pt>
                <c:pt idx="493">
                  <c:v>70</c:v>
                </c:pt>
                <c:pt idx="494">
                  <c:v>35</c:v>
                </c:pt>
                <c:pt idx="495">
                  <c:v>50</c:v>
                </c:pt>
                <c:pt idx="496">
                  <c:v>45</c:v>
                </c:pt>
                <c:pt idx="497">
                  <c:v>60</c:v>
                </c:pt>
                <c:pt idx="498">
                  <c:v>40</c:v>
                </c:pt>
                <c:pt idx="499">
                  <c:v>55</c:v>
                </c:pt>
                <c:pt idx="500">
                  <c:v>70</c:v>
                </c:pt>
                <c:pt idx="501">
                  <c:v>50</c:v>
                </c:pt>
                <c:pt idx="502">
                  <c:v>45</c:v>
                </c:pt>
                <c:pt idx="503">
                  <c:v>60</c:v>
                </c:pt>
                <c:pt idx="504">
                  <c:v>35</c:v>
                </c:pt>
                <c:pt idx="505">
                  <c:v>55</c:v>
                </c:pt>
                <c:pt idx="506">
                  <c:v>40</c:v>
                </c:pt>
                <c:pt idx="507">
                  <c:v>45</c:v>
                </c:pt>
                <c:pt idx="508">
                  <c:v>50</c:v>
                </c:pt>
                <c:pt idx="509">
                  <c:v>45</c:v>
                </c:pt>
                <c:pt idx="510">
                  <c:v>80</c:v>
                </c:pt>
                <c:pt idx="511">
                  <c:v>70</c:v>
                </c:pt>
                <c:pt idx="512">
                  <c:v>60</c:v>
                </c:pt>
                <c:pt idx="513">
                  <c:v>45</c:v>
                </c:pt>
                <c:pt idx="514">
                  <c:v>35</c:v>
                </c:pt>
                <c:pt idx="515">
                  <c:v>55</c:v>
                </c:pt>
                <c:pt idx="516">
                  <c:v>50</c:v>
                </c:pt>
                <c:pt idx="517">
                  <c:v>45</c:v>
                </c:pt>
                <c:pt idx="518">
                  <c:v>70</c:v>
                </c:pt>
                <c:pt idx="519">
                  <c:v>60</c:v>
                </c:pt>
                <c:pt idx="520">
                  <c:v>80</c:v>
                </c:pt>
                <c:pt idx="521">
                  <c:v>70</c:v>
                </c:pt>
                <c:pt idx="522">
                  <c:v>60</c:v>
                </c:pt>
                <c:pt idx="523">
                  <c:v>45</c:v>
                </c:pt>
                <c:pt idx="524">
                  <c:v>35</c:v>
                </c:pt>
                <c:pt idx="525">
                  <c:v>55</c:v>
                </c:pt>
                <c:pt idx="526">
                  <c:v>50</c:v>
                </c:pt>
                <c:pt idx="527">
                  <c:v>45</c:v>
                </c:pt>
                <c:pt idx="528">
                  <c:v>70</c:v>
                </c:pt>
                <c:pt idx="529">
                  <c:v>60</c:v>
                </c:pt>
                <c:pt idx="530">
                  <c:v>80</c:v>
                </c:pt>
                <c:pt idx="531">
                  <c:v>70</c:v>
                </c:pt>
                <c:pt idx="532">
                  <c:v>60</c:v>
                </c:pt>
                <c:pt idx="533">
                  <c:v>45</c:v>
                </c:pt>
                <c:pt idx="534">
                  <c:v>55</c:v>
                </c:pt>
                <c:pt idx="535">
                  <c:v>35</c:v>
                </c:pt>
                <c:pt idx="536">
                  <c:v>45</c:v>
                </c:pt>
                <c:pt idx="537">
                  <c:v>55</c:v>
                </c:pt>
                <c:pt idx="538">
                  <c:v>70</c:v>
                </c:pt>
                <c:pt idx="539">
                  <c:v>45</c:v>
                </c:pt>
                <c:pt idx="540">
                  <c:v>80</c:v>
                </c:pt>
                <c:pt idx="541">
                  <c:v>70</c:v>
                </c:pt>
                <c:pt idx="542">
                  <c:v>60</c:v>
                </c:pt>
                <c:pt idx="543">
                  <c:v>45</c:v>
                </c:pt>
                <c:pt idx="544">
                  <c:v>55</c:v>
                </c:pt>
                <c:pt idx="545">
                  <c:v>35</c:v>
                </c:pt>
                <c:pt idx="546">
                  <c:v>45</c:v>
                </c:pt>
                <c:pt idx="547">
                  <c:v>55</c:v>
                </c:pt>
                <c:pt idx="548">
                  <c:v>70</c:v>
                </c:pt>
                <c:pt idx="549">
                  <c:v>45</c:v>
                </c:pt>
                <c:pt idx="550">
                  <c:v>80</c:v>
                </c:pt>
                <c:pt idx="551">
                  <c:v>70</c:v>
                </c:pt>
                <c:pt idx="552">
                  <c:v>60</c:v>
                </c:pt>
                <c:pt idx="553">
                  <c:v>45</c:v>
                </c:pt>
                <c:pt idx="554">
                  <c:v>55</c:v>
                </c:pt>
                <c:pt idx="555">
                  <c:v>35</c:v>
                </c:pt>
                <c:pt idx="556">
                  <c:v>45</c:v>
                </c:pt>
                <c:pt idx="557">
                  <c:v>55</c:v>
                </c:pt>
                <c:pt idx="558">
                  <c:v>70</c:v>
                </c:pt>
                <c:pt idx="559">
                  <c:v>45</c:v>
                </c:pt>
                <c:pt idx="560">
                  <c:v>80</c:v>
                </c:pt>
                <c:pt idx="561">
                  <c:v>70</c:v>
                </c:pt>
                <c:pt idx="562">
                  <c:v>60</c:v>
                </c:pt>
                <c:pt idx="563">
                  <c:v>45</c:v>
                </c:pt>
                <c:pt idx="564">
                  <c:v>55</c:v>
                </c:pt>
                <c:pt idx="565">
                  <c:v>35</c:v>
                </c:pt>
                <c:pt idx="566">
                  <c:v>45</c:v>
                </c:pt>
                <c:pt idx="567">
                  <c:v>55</c:v>
                </c:pt>
                <c:pt idx="568">
                  <c:v>70</c:v>
                </c:pt>
                <c:pt idx="569">
                  <c:v>45</c:v>
                </c:pt>
                <c:pt idx="570">
                  <c:v>80</c:v>
                </c:pt>
                <c:pt idx="571">
                  <c:v>70</c:v>
                </c:pt>
                <c:pt idx="572">
                  <c:v>60</c:v>
                </c:pt>
                <c:pt idx="573">
                  <c:v>45</c:v>
                </c:pt>
                <c:pt idx="574">
                  <c:v>55</c:v>
                </c:pt>
                <c:pt idx="575">
                  <c:v>35</c:v>
                </c:pt>
                <c:pt idx="576">
                  <c:v>45</c:v>
                </c:pt>
                <c:pt idx="577">
                  <c:v>55</c:v>
                </c:pt>
                <c:pt idx="578">
                  <c:v>45</c:v>
                </c:pt>
                <c:pt idx="579">
                  <c:v>70</c:v>
                </c:pt>
                <c:pt idx="580">
                  <c:v>30</c:v>
                </c:pt>
                <c:pt idx="581">
                  <c:v>35</c:v>
                </c:pt>
                <c:pt idx="582">
                  <c:v>45</c:v>
                </c:pt>
                <c:pt idx="583">
                  <c:v>40</c:v>
                </c:pt>
                <c:pt idx="584">
                  <c:v>50</c:v>
                </c:pt>
                <c:pt idx="585">
                  <c:v>40</c:v>
                </c:pt>
                <c:pt idx="586">
                  <c:v>55</c:v>
                </c:pt>
                <c:pt idx="587">
                  <c:v>45</c:v>
                </c:pt>
                <c:pt idx="588">
                  <c:v>35</c:v>
                </c:pt>
                <c:pt idx="589">
                  <c:v>60</c:v>
                </c:pt>
                <c:pt idx="590">
                  <c:v>45</c:v>
                </c:pt>
                <c:pt idx="591">
                  <c:v>70</c:v>
                </c:pt>
                <c:pt idx="592">
                  <c:v>40</c:v>
                </c:pt>
                <c:pt idx="593">
                  <c:v>55</c:v>
                </c:pt>
                <c:pt idx="594">
                  <c:v>45</c:v>
                </c:pt>
                <c:pt idx="595">
                  <c:v>50</c:v>
                </c:pt>
                <c:pt idx="596">
                  <c:v>35</c:v>
                </c:pt>
                <c:pt idx="597">
                  <c:v>55</c:v>
                </c:pt>
                <c:pt idx="598">
                  <c:v>45</c:v>
                </c:pt>
                <c:pt idx="599">
                  <c:v>70</c:v>
                </c:pt>
                <c:pt idx="600">
                  <c:v>40</c:v>
                </c:pt>
                <c:pt idx="601">
                  <c:v>60</c:v>
                </c:pt>
                <c:pt idx="602">
                  <c:v>70</c:v>
                </c:pt>
                <c:pt idx="603">
                  <c:v>55</c:v>
                </c:pt>
                <c:pt idx="604">
                  <c:v>45</c:v>
                </c:pt>
                <c:pt idx="605">
                  <c:v>50</c:v>
                </c:pt>
                <c:pt idx="606">
                  <c:v>60</c:v>
                </c:pt>
                <c:pt idx="607">
                  <c:v>35</c:v>
                </c:pt>
                <c:pt idx="608">
                  <c:v>70</c:v>
                </c:pt>
                <c:pt idx="609">
                  <c:v>55</c:v>
                </c:pt>
                <c:pt idx="610">
                  <c:v>45</c:v>
                </c:pt>
                <c:pt idx="611">
                  <c:v>40</c:v>
                </c:pt>
                <c:pt idx="612">
                  <c:v>35</c:v>
                </c:pt>
                <c:pt idx="613">
                  <c:v>50</c:v>
                </c:pt>
                <c:pt idx="614">
                  <c:v>55</c:v>
                </c:pt>
                <c:pt idx="615">
                  <c:v>45</c:v>
                </c:pt>
                <c:pt idx="616">
                  <c:v>70</c:v>
                </c:pt>
                <c:pt idx="617">
                  <c:v>60</c:v>
                </c:pt>
                <c:pt idx="618">
                  <c:v>40</c:v>
                </c:pt>
                <c:pt idx="619">
                  <c:v>35</c:v>
                </c:pt>
                <c:pt idx="620">
                  <c:v>50</c:v>
                </c:pt>
                <c:pt idx="621">
                  <c:v>55</c:v>
                </c:pt>
                <c:pt idx="622">
                  <c:v>60</c:v>
                </c:pt>
                <c:pt idx="623">
                  <c:v>45</c:v>
                </c:pt>
                <c:pt idx="624">
                  <c:v>55</c:v>
                </c:pt>
                <c:pt idx="625">
                  <c:v>70</c:v>
                </c:pt>
                <c:pt idx="626">
                  <c:v>35</c:v>
                </c:pt>
                <c:pt idx="627">
                  <c:v>50</c:v>
                </c:pt>
                <c:pt idx="628">
                  <c:v>45</c:v>
                </c:pt>
                <c:pt idx="629">
                  <c:v>60</c:v>
                </c:pt>
                <c:pt idx="630">
                  <c:v>40</c:v>
                </c:pt>
                <c:pt idx="631">
                  <c:v>55</c:v>
                </c:pt>
                <c:pt idx="632">
                  <c:v>45</c:v>
                </c:pt>
                <c:pt idx="633">
                  <c:v>50</c:v>
                </c:pt>
                <c:pt idx="634">
                  <c:v>70</c:v>
                </c:pt>
                <c:pt idx="635">
                  <c:v>40</c:v>
                </c:pt>
                <c:pt idx="636">
                  <c:v>55</c:v>
                </c:pt>
                <c:pt idx="637">
                  <c:v>60</c:v>
                </c:pt>
                <c:pt idx="638">
                  <c:v>35</c:v>
                </c:pt>
                <c:pt idx="639">
                  <c:v>50</c:v>
                </c:pt>
                <c:pt idx="640">
                  <c:v>45</c:v>
                </c:pt>
                <c:pt idx="641">
                  <c:v>60</c:v>
                </c:pt>
                <c:pt idx="642">
                  <c:v>40</c:v>
                </c:pt>
                <c:pt idx="643">
                  <c:v>50</c:v>
                </c:pt>
                <c:pt idx="644">
                  <c:v>35</c:v>
                </c:pt>
                <c:pt idx="645">
                  <c:v>45</c:v>
                </c:pt>
                <c:pt idx="646">
                  <c:v>60</c:v>
                </c:pt>
                <c:pt idx="647">
                  <c:v>55</c:v>
                </c:pt>
                <c:pt idx="648">
                  <c:v>45</c:v>
                </c:pt>
                <c:pt idx="649">
                  <c:v>60</c:v>
                </c:pt>
                <c:pt idx="650">
                  <c:v>40</c:v>
                </c:pt>
                <c:pt idx="651">
                  <c:v>55</c:v>
                </c:pt>
                <c:pt idx="652">
                  <c:v>45</c:v>
                </c:pt>
                <c:pt idx="653">
                  <c:v>50</c:v>
                </c:pt>
                <c:pt idx="654">
                  <c:v>70</c:v>
                </c:pt>
                <c:pt idx="655">
                  <c:v>40</c:v>
                </c:pt>
                <c:pt idx="656">
                  <c:v>55</c:v>
                </c:pt>
                <c:pt idx="657">
                  <c:v>60</c:v>
                </c:pt>
                <c:pt idx="658">
                  <c:v>35</c:v>
                </c:pt>
                <c:pt idx="659">
                  <c:v>50</c:v>
                </c:pt>
                <c:pt idx="660">
                  <c:v>45</c:v>
                </c:pt>
                <c:pt idx="661">
                  <c:v>60</c:v>
                </c:pt>
                <c:pt idx="662">
                  <c:v>30</c:v>
                </c:pt>
                <c:pt idx="663">
                  <c:v>40</c:v>
                </c:pt>
                <c:pt idx="664">
                  <c:v>55</c:v>
                </c:pt>
                <c:pt idx="665">
                  <c:v>38</c:v>
                </c:pt>
                <c:pt idx="666">
                  <c:v>50</c:v>
                </c:pt>
                <c:pt idx="667">
                  <c:v>35</c:v>
                </c:pt>
                <c:pt idx="668">
                  <c:v>45</c:v>
                </c:pt>
                <c:pt idx="669">
                  <c:v>36</c:v>
                </c:pt>
                <c:pt idx="670">
                  <c:v>48</c:v>
                </c:pt>
                <c:pt idx="671">
                  <c:v>40</c:v>
                </c:pt>
                <c:pt idx="672">
                  <c:v>42</c:v>
                </c:pt>
                <c:pt idx="673">
                  <c:v>39</c:v>
                </c:pt>
                <c:pt idx="674">
                  <c:v>33</c:v>
                </c:pt>
                <c:pt idx="675">
                  <c:v>44</c:v>
                </c:pt>
                <c:pt idx="676">
                  <c:v>37</c:v>
                </c:pt>
                <c:pt idx="677">
                  <c:v>52</c:v>
                </c:pt>
                <c:pt idx="678">
                  <c:v>43</c:v>
                </c:pt>
                <c:pt idx="679">
                  <c:v>39</c:v>
                </c:pt>
                <c:pt idx="680">
                  <c:v>48</c:v>
                </c:pt>
                <c:pt idx="681">
                  <c:v>32</c:v>
                </c:pt>
                <c:pt idx="682">
                  <c:v>42</c:v>
                </c:pt>
                <c:pt idx="683">
                  <c:v>28</c:v>
                </c:pt>
                <c:pt idx="684">
                  <c:v>36</c:v>
                </c:pt>
                <c:pt idx="685">
                  <c:v>40</c:v>
                </c:pt>
                <c:pt idx="686">
                  <c:v>34</c:v>
                </c:pt>
                <c:pt idx="687">
                  <c:v>41</c:v>
                </c:pt>
                <c:pt idx="688">
                  <c:v>38</c:v>
                </c:pt>
                <c:pt idx="689">
                  <c:v>44</c:v>
                </c:pt>
                <c:pt idx="690">
                  <c:v>31</c:v>
                </c:pt>
                <c:pt idx="691">
                  <c:v>27</c:v>
                </c:pt>
                <c:pt idx="692">
                  <c:v>35</c:v>
                </c:pt>
                <c:pt idx="693">
                  <c:v>39</c:v>
                </c:pt>
                <c:pt idx="694">
                  <c:v>46</c:v>
                </c:pt>
                <c:pt idx="695">
                  <c:v>50</c:v>
                </c:pt>
                <c:pt idx="696">
                  <c:v>42</c:v>
                </c:pt>
                <c:pt idx="697">
                  <c:v>37</c:v>
                </c:pt>
                <c:pt idx="698">
                  <c:v>32</c:v>
                </c:pt>
                <c:pt idx="699">
                  <c:v>36</c:v>
                </c:pt>
                <c:pt idx="700">
                  <c:v>41</c:v>
                </c:pt>
                <c:pt idx="701">
                  <c:v>48</c:v>
                </c:pt>
                <c:pt idx="702">
                  <c:v>43</c:v>
                </c:pt>
                <c:pt idx="703">
                  <c:v>39</c:v>
                </c:pt>
                <c:pt idx="704">
                  <c:v>42</c:v>
                </c:pt>
                <c:pt idx="705">
                  <c:v>50</c:v>
                </c:pt>
                <c:pt idx="706">
                  <c:v>38</c:v>
                </c:pt>
                <c:pt idx="707">
                  <c:v>43</c:v>
                </c:pt>
                <c:pt idx="708">
                  <c:v>36</c:v>
                </c:pt>
                <c:pt idx="709">
                  <c:v>45</c:v>
                </c:pt>
                <c:pt idx="710">
                  <c:v>48</c:v>
                </c:pt>
                <c:pt idx="711">
                  <c:v>40</c:v>
                </c:pt>
                <c:pt idx="712">
                  <c:v>49</c:v>
                </c:pt>
                <c:pt idx="713">
                  <c:v>37</c:v>
                </c:pt>
                <c:pt idx="714">
                  <c:v>44</c:v>
                </c:pt>
                <c:pt idx="715">
                  <c:v>39</c:v>
                </c:pt>
                <c:pt idx="716">
                  <c:v>35</c:v>
                </c:pt>
                <c:pt idx="717">
                  <c:v>43</c:v>
                </c:pt>
                <c:pt idx="718">
                  <c:v>52</c:v>
                </c:pt>
                <c:pt idx="719">
                  <c:v>48</c:v>
                </c:pt>
                <c:pt idx="720">
                  <c:v>38</c:v>
                </c:pt>
                <c:pt idx="721">
                  <c:v>42</c:v>
                </c:pt>
                <c:pt idx="722">
                  <c:v>50</c:v>
                </c:pt>
                <c:pt idx="723">
                  <c:v>45</c:v>
                </c:pt>
                <c:pt idx="724">
                  <c:v>43</c:v>
                </c:pt>
                <c:pt idx="725">
                  <c:v>44</c:v>
                </c:pt>
                <c:pt idx="726">
                  <c:v>51</c:v>
                </c:pt>
                <c:pt idx="727">
                  <c:v>39</c:v>
                </c:pt>
                <c:pt idx="728">
                  <c:v>48</c:v>
                </c:pt>
                <c:pt idx="729">
                  <c:v>42</c:v>
                </c:pt>
                <c:pt idx="730">
                  <c:v>43</c:v>
                </c:pt>
                <c:pt idx="731">
                  <c:v>47</c:v>
                </c:pt>
              </c:numCache>
            </c:numRef>
          </c:yVal>
        </c:ser>
        <c:axId val="42328284"/>
        <c:axId val="5937416"/>
      </c:scatterChart>
      <c:valAx>
        <c:axId val="5937416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Likes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2328284"/>
        <c:crosses val="autoZero"/>
        <c:crossBetween val="midCat"/>
      </c:valAx>
      <c:valAx>
        <c:axId val="42328284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Retweets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937416"/>
        <c:crosses val="autoZero"/>
        <c:crossBetween val="midCat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Post Count by Hour</a:t>
            </a:r>
          </a:p>
        </c:rich>
      </c:tx>
    </c:title>
    <c:plotArea>
      <c:lineChart>
        <c:grouping val="standard"/>
        <c:ser>
          <c:idx val="0"/>
          <c:order val="0"/>
          <c:tx>
            <c:v>Post Count</c:v>
          </c:tx>
          <c:marker>
            <c:symbol val="none"/>
          </c:marker>
          <c:cat>
            <c:strRef>
              <c:f>'Hourly_Analysis'!$B$6:$B$29</c:f>
              <c:strCache>
                <c:ptCount val="0"/>
              </c:strCache>
            </c:strRef>
          </c:cat>
          <c:val>
            <c:numRef>
              <c:f>'Hourly_Analysis'!$C$6:$C$29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Posts</c:v>
          </c:tx>
          <c:xVal>
            <c:numLit>
              <c:formatCode>General</c:formatCode>
              <c:ptCount val="0"/>
            </c:numLit>
          </c:xVal>
          <c:yVal>
            <c:numRef>
              <c:f>Cleaned_Data!$H$2:$H$733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4</xdr:row>
      <xdr:rowOff>160560</xdr:rowOff>
    </xdr:from>
    <xdr:to>
      <xdr:col>8</xdr:col>
      <xdr:colOff>39240</xdr:colOff>
      <xdr:row>19</xdr:row>
      <xdr:rowOff>182880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cedb4da72a43ec"/>
        </a:graphicData>
      </a:graphic>
    </xdr:graphicFrame>
    <xdr:clientData/>
  </xdr:twoCellAnchor>
  <xdr:twoCellAnchor>
    <xdr:from>
      <xdr:col>9</xdr:col>
      <xdr:colOff>0</xdr:colOff>
      <xdr:row>4</xdr:row>
      <xdr:rowOff>160560</xdr:rowOff>
    </xdr:from>
    <xdr:to>
      <xdr:col>16</xdr:col>
      <xdr:colOff>39240</xdr:colOff>
      <xdr:row>19</xdr:row>
      <xdr:rowOff>182880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37f15af1ba46c9"/>
        </a:graphicData>
      </a:graphic>
    </xdr:graphicFrame>
    <xdr:clientData/>
  </xdr:twoCellAnchor>
  <xdr:twoCellAnchor>
    <xdr:from>
      <xdr:col>1</xdr:col>
      <xdr:colOff>0</xdr:colOff>
      <xdr:row>22</xdr:row>
      <xdr:rowOff>160560</xdr:rowOff>
    </xdr:from>
    <xdr:to>
      <xdr:col>8</xdr:col>
      <xdr:colOff>39240</xdr:colOff>
      <xdr:row>37</xdr:row>
      <xdr:rowOff>182880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d10e8528704e36"/>
        </a:graphicData>
      </a:graphic>
    </xdr:graphicFrame>
    <xdr:clientData/>
  </xdr:twoCellAnchor>
  <xdr:twoCellAnchor>
    <xdr:from>
      <xdr:col>9</xdr:col>
      <xdr:colOff>0</xdr:colOff>
      <xdr:row>22</xdr:row>
      <xdr:rowOff>160560</xdr:rowOff>
    </xdr:from>
    <xdr:to>
      <xdr:col>17</xdr:col>
      <xdr:colOff>147600</xdr:colOff>
      <xdr:row>37</xdr:row>
      <xdr:rowOff>182880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18acc71ac942fe"/>
        </a:graphicData>
      </a:graphic>
    </xdr:graphicFrame>
    <xdr:clientData/>
  </xdr:twoCellAnchor>
  <xdr:twoCellAnchor>
    <xdr:from>
      <xdr:col>1</xdr:col>
      <xdr:colOff>0</xdr:colOff>
      <xdr:row>40</xdr:row>
      <xdr:rowOff>160560</xdr:rowOff>
    </xdr:from>
    <xdr:to>
      <xdr:col>11</xdr:col>
      <xdr:colOff>364680</xdr:colOff>
      <xdr:row>55</xdr:row>
      <xdr:rowOff>182880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d73069a33845e7"/>
        </a:graphicData>
      </a:graphic>
    </xdr:graphicFrame>
    <xdr:clientData/>
  </xdr:twoCellAnchor>
  <xdr:twoCellAnchor>
    <xdr:from>
      <xdr:col>9</xdr:col>
      <xdr:colOff>0</xdr:colOff>
      <xdr:row>40</xdr:row>
      <xdr:rowOff>160560</xdr:rowOff>
    </xdr:from>
    <xdr:to>
      <xdr:col>18</xdr:col>
      <xdr:colOff>256320</xdr:colOff>
      <xdr:row>57</xdr:row>
      <xdr:rowOff>162000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649b343bb54c6d"/>
        </a:graphicData>
      </a:graphic>
    </xdr:graphicFrame>
    <xdr:clientData/>
  </xdr:twoCellAnchor>
  <xdr:twoCellAnchor>
    <xdr:from>
      <xdr:col>1</xdr:col>
      <xdr:colOff>0</xdr:colOff>
      <xdr:row>59</xdr:row>
      <xdr:rowOff>0</xdr:rowOff>
    </xdr:from>
    <xdr:to>
      <xdr:col>9</xdr:col>
      <xdr:colOff>0</xdr:colOff>
      <xdr:row>76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bcc31faa004f24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18</xdr:col>
      <xdr:colOff>0</xdr:colOff>
      <xdr:row>58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77b082e49d4b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awDataTable" displayName="RawDataTable" ref="A1:O733" headerRowCount="1" totalsRowCount="0" totalsRowShown="0">
  <x:autoFilter ref="A1:O733"/>
  <x:tableColumns count="15">
    <x:tableColumn id="1" name="Unnamed: 0.1"/>
    <x:tableColumn id="2" name="Unnamed: 0"/>
    <x:tableColumn id="3" name="Text"/>
    <x:tableColumn id="4" name="Sentiment"/>
    <x:tableColumn id="5" name="Timestamp"/>
    <x:tableColumn id="6" name="User"/>
    <x:tableColumn id="7" name="Platform"/>
    <x:tableColumn id="8" name="Hashtags"/>
    <x:tableColumn id="9" name="Retweets"/>
    <x:tableColumn id="10" name="Likes"/>
    <x:tableColumn id="11" name="Country"/>
    <x:tableColumn id="12" name="Year"/>
    <x:tableColumn id="13" name="Month"/>
    <x:tableColumn id="14" name="Day"/>
    <x:tableColumn id="15" name="Hour"/>
  </x:tableColumns>
</x:table>
</file>

<file path=xl/tables/table2.xml><?xml version="1.0" encoding="utf-8"?>
<x:table xmlns:x="http://schemas.openxmlformats.org/spreadsheetml/2006/main" id="1" name="CleanedDataTable" displayName="CleanedDataTable" ref="A1:N733" headerRowCount="1" totalsRowCount="0" totalsRowShown="0">
  <x:autoFilter ref="A1:N733"/>
  <x:tableColumns count="14">
    <x:tableColumn id="1" name="Text"/>
    <x:tableColumn id="2" name="Sentiment"/>
    <x:tableColumn id="3" name="Timestamp"/>
    <x:tableColumn id="4" name="User"/>
    <x:tableColumn id="5" name="Platform"/>
    <x:tableColumn id="6" name="Hashtags"/>
    <x:tableColumn id="7" name="Retweets"/>
    <x:tableColumn id="8" name="Likes"/>
    <x:tableColumn id="9" name="Country"/>
    <x:tableColumn id="10" name="Year"/>
    <x:tableColumn id="11" name="Month"/>
    <x:tableColumn id="12" name="Day"/>
    <x:tableColumn id="13" name="Hour"/>
    <x:tableColumn id="14" name="Sentiment_Group"/>
  </x:tableColumns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6faf3344e14a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55c440bf2e4647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4b934889a92d477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2" max="2" width="55" hidden="0" customWidth="1"/>
  </x:cols>
  <x:sheetData>
    <x:row r="2" ht="17.350000381469727" hidden="0">
      <x:c r="B2" s="104" t="str">
        <x:v>Codveda Business Analytics Internship</x:v>
      </x:c>
    </x:row>
    <x:row r="3" ht="15" hidden="0">
      <x:c r="B3" s="105" t="str">
        <x:v>Project 1: Social Media Sentiment and Engagement Analysis</x:v>
      </x:c>
    </x:row>
    <x:row r="4" ht="15" hidden="0">
      <x:c r="B4" s="106" t="str">
        <x:v>Excel Analysis Workbook</x:v>
      </x:c>
    </x:row>
    <x:row r="5">
      <x:c r="B5" s="107" t="str"/>
    </x:row>
    <x:row r="6" ht="15" hidden="0">
      <x:c r="B6" s="108" t="str">
        <x:v>Dataset: Sentiment dataset.csv</x:v>
      </x:c>
    </x:row>
    <x:row r="7" ht="15" hidden="0">
      <x:c r="B7" s="108" t="str">
        <x:v>Original data: 732 rows and 15 columns</x:v>
      </x:c>
    </x:row>
    <x:row r="8" ht="15" hidden="0">
      <x:c r="B8" s="108" t="str">
        <x:v>Cleaned data: 732 rows and 14 columns</x:v>
      </x:c>
    </x:row>
    <x:row r="9" ht="15" hidden="0">
      <x:c r="B9" s="108" t="str">
        <x:v>Missing values found: 0</x:v>
      </x:c>
    </x:row>
    <x:row r="10" ht="15" hidden="0">
      <x:c r="B10" s="108" t="str">
        <x:v>Duplicate rows found: 0</x:v>
      </x:c>
    </x:row>
    <x:row r="11" ht="15" hidden="0">
      <x:c r="B11" s="108" t="str"/>
    </x:row>
    <x:row r="12" ht="15" hidden="0">
      <x:c r="B12" s="109" t="str">
        <x:v>Workbook sheets</x:v>
      </x:c>
    </x:row>
    <x:row r="13" ht="15" hidden="0">
      <x:c r="B13" s="109" t="str">
        <x:v>1. Data_Dictionary - description of variables</x:v>
      </x:c>
    </x:row>
    <x:row r="14" ht="15" hidden="0">
      <x:c r="B14" s="109" t="str">
        <x:v>2. Raw_Data - original dataset</x:v>
      </x:c>
    </x:row>
    <x:row r="15" ht="15" hidden="0">
      <x:c r="B15" s="109" t="str">
        <x:v>3. Cleaning_Log - data cleaning checks and actions</x:v>
      </x:c>
    </x:row>
    <x:row r="16" ht="15" hidden="0">
      <x:c r="B16" s="109" t="str">
        <x:v>4. Sentiment_Grouping_Map - grouping of sentiment labels</x:v>
      </x:c>
    </x:row>
    <x:row r="17" ht="15" hidden="0">
      <x:c r="B17" s="109" t="str">
        <x:v>5. Cleaned_Data - dataset used for analysis</x:v>
      </x:c>
    </x:row>
    <x:row r="18" ht="15" hidden="0">
      <x:c r="B18" s="109" t="str">
        <x:v>6. Descriptive_Stats - summary statistics</x:v>
      </x:c>
    </x:row>
    <x:row r="19" ht="15" hidden="0">
      <x:c r="B19" s="109" t="str">
        <x:v>8. Platform_Analysis - platform results</x:v>
      </x:c>
    </x:row>
    <x:row r="20" ht="15" hidden="0">
      <x:c r="B20" s="109" t="str">
        <x:v>9. Country_Analysis - country results</x:v>
      </x:c>
    </x:row>
    <x:row r="21" ht="15" hidden="0">
      <x:c r="B21" s="109" t="str">
        <x:v>10. Time_Trend_Analysis - yearly trend</x:v>
      </x:c>
    </x:row>
    <x:row r="22" ht="15" hidden="0">
      <x:c r="B22" s="109" t="str">
        <x:v>11. Correlation - relationship between Likes and Retweets</x:v>
      </x:c>
    </x:row>
    <x:row r="23" ht="15" hidden="0">
      <x:c r="B23" s="109" t="str">
        <x:v>12. Charts_Dashboard - main charts</x:v>
      </x:c>
    </x:row>
    <x:row r="24" ht="15" hidden="0">
      <x:c r="B24" s="109" t="str">
        <x:v>13. Hourly_Analysis - posting activity by hour</x:v>
      </x:c>
    </x:row>
    <x:row r="25" ht="15" hidden="0">
      <x:c r="B25" s="108" t="str"/>
    </x:row>
    <x:row r="26" ht="15" hidden="0">
      <x:c r="B26" s="108" t="str">
        <x:v>Analysis cells use Excel formulas linked to the Cleaned_Data sheet.</x:v>
      </x:c>
    </x:row>
    <x:row r="27" ht="15" hidden="0">
      <x:c r="B27" s="109" t="str">
        <x:v>The results update when the source values in Cleaned_Data are changed.</x:v>
      </x:c>
    </x:row>
    <x:row r="28" ht="15" hidden="0">
      <x:c r="B28" s="10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0" hidden="0" customWidth="1"/>
    <x:col min="2" max="2" width="18" hidden="0" customWidth="1"/>
    <x:col min="3" max="3" width="52" hidden="0" customWidth="1"/>
    <x:col min="4" max="4" width="28" hidden="0" customWidth="1"/>
  </x:cols>
  <x:sheetData>
    <x:row r="1" ht="15" hidden="0">
      <x:c r="A1" s="51" t="str">
        <x:v>Column Name</x:v>
      </x:c>
      <x:c r="B1" s="51" t="str">
        <x:v>Data Type</x:v>
      </x:c>
      <x:c r="C1" s="51" t="str">
        <x:v>Description</x:v>
      </x:c>
      <x:c r="D1" s="51" t="str">
        <x:v>Example Value</x:v>
      </x:c>
    </x:row>
    <x:row r="2" ht="15" hidden="0">
      <x:c r="A2" s="47" t="str">
        <x:v>Text</x:v>
      </x:c>
      <x:c r="B2" s="47" t="str">
        <x:v>Text</x:v>
      </x:c>
      <x:c r="C2" s="47" t="str">
        <x:v>Content of the social media post</x:v>
      </x:c>
      <x:c r="D2" s="47" t="str">
        <x:v>Enjoying a beautiful day at the park!</x:v>
      </x:c>
    </x:row>
    <x:row r="3" ht="23.850000381469727" hidden="0">
      <x:c r="A3" s="47" t="str">
        <x:v>Sentiment</x:v>
      </x:c>
      <x:c r="B3" s="47" t="str">
        <x:v>Text</x:v>
      </x:c>
      <x:c r="C3" s="47" t="str">
        <x:v>Original sentiment label in the dataset</x:v>
      </x:c>
      <x:c r="D3" s="47" t="str">
        <x:v>Positive</x:v>
      </x:c>
    </x:row>
    <x:row r="4" ht="35.04999923706055" hidden="0">
      <x:c r="A4" s="47" t="str">
        <x:v>Sentiment_Group</x:v>
      </x:c>
      <x:c r="B4" s="47" t="str">
        <x:v>Text</x:v>
      </x:c>
      <x:c r="C4" s="47" t="str">
        <x:v>Sentiment grouped as Positive, Negative or Neutral</x:v>
      </x:c>
      <x:c r="D4" s="47" t="str">
        <x:v>Positive</x:v>
      </x:c>
    </x:row>
    <x:row r="5" ht="15" hidden="0">
      <x:c r="A5" s="47" t="str">
        <x:v>Timestamp</x:v>
      </x:c>
      <x:c r="B5" s="47" t="str">
        <x:v>Date/Time</x:v>
      </x:c>
      <x:c r="C5" s="47" t="str">
        <x:v>Date and time of the post</x:v>
      </x:c>
      <x:c r="D5" s="47" t="str">
        <x:v>2023-01-15 12:30:00</x:v>
      </x:c>
    </x:row>
    <x:row r="6" ht="15" hidden="0">
      <x:c r="A6" s="47" t="str">
        <x:v>User</x:v>
      </x:c>
      <x:c r="B6" s="47" t="str">
        <x:v>Text</x:v>
      </x:c>
      <x:c r="C6" s="47" t="str">
        <x:v>User name in the dataset</x:v>
      </x:c>
      <x:c r="D6" s="47" t="str">
        <x:v>User123</x:v>
      </x:c>
    </x:row>
    <x:row r="7" ht="15" hidden="0">
      <x:c r="A7" s="47" t="str">
        <x:v>Platform</x:v>
      </x:c>
      <x:c r="B7" s="47" t="str">
        <x:v>Text</x:v>
      </x:c>
      <x:c r="C7" s="47" t="str">
        <x:v>Social media platform</x:v>
      </x:c>
      <x:c r="D7" s="47" t="str">
        <x:v>Instagram</x:v>
      </x:c>
    </x:row>
    <x:row r="8" ht="15" hidden="0">
      <x:c r="A8" s="47" t="str">
        <x:v>Hashtags</x:v>
      </x:c>
      <x:c r="B8" s="47" t="str">
        <x:v>Text</x:v>
      </x:c>
      <x:c r="C8" s="47" t="str">
        <x:v>Hashtags linked to the post</x:v>
      </x:c>
      <x:c r="D8" s="47" t="str">
        <x:v>#Nature #Park</x:v>
      </x:c>
    </x:row>
    <x:row r="9" ht="15" hidden="0">
      <x:c r="A9" s="47" t="str">
        <x:v>Retweets</x:v>
      </x:c>
      <x:c r="B9" s="47" t="str">
        <x:v>Number</x:v>
      </x:c>
      <x:c r="C9" s="47" t="str">
        <x:v>Number of retweets</x:v>
      </x:c>
      <x:c r="D9" s="47" t="str">
        <x:v>20</x:v>
      </x:c>
    </x:row>
    <x:row r="10" ht="15" hidden="0">
      <x:c r="A10" s="47" t="str">
        <x:v>Likes</x:v>
      </x:c>
      <x:c r="B10" s="47" t="str">
        <x:v>Number</x:v>
      </x:c>
      <x:c r="C10" s="47" t="str">
        <x:v>Number of likes</x:v>
      </x:c>
      <x:c r="D10" s="47" t="str">
        <x:v>30</x:v>
      </x:c>
    </x:row>
    <x:row r="11" ht="23.850000381469727" hidden="0">
      <x:c r="A11" s="47" t="str">
        <x:v>Country</x:v>
      </x:c>
      <x:c r="B11" s="47" t="str">
        <x:v>Text</x:v>
      </x:c>
      <x:c r="C11" s="47" t="str">
        <x:v>Country linked to the post</x:v>
      </x:c>
      <x:c r="D11" s="47" t="str">
        <x:v>USA</x:v>
      </x:c>
    </x:row>
    <x:row r="12" ht="15" hidden="0">
      <x:c r="A12" s="47" t="str">
        <x:v>Year</x:v>
      </x:c>
      <x:c r="B12" s="47" t="str">
        <x:v>Number</x:v>
      </x:c>
      <x:c r="C12" s="47" t="str">
        <x:v>Year of the post</x:v>
      </x:c>
      <x:c r="D12" s="47" t="str">
        <x:v>2023</x:v>
      </x:c>
    </x:row>
    <x:row r="13" ht="15" hidden="0">
      <x:c r="A13" s="47" t="str">
        <x:v>Month</x:v>
      </x:c>
      <x:c r="B13" s="47" t="str">
        <x:v>Number</x:v>
      </x:c>
      <x:c r="C13" s="47" t="str">
        <x:v>Month number</x:v>
      </x:c>
      <x:c r="D13" s="47" t="str">
        <x:v>1</x:v>
      </x:c>
    </x:row>
    <x:row r="14" ht="15" hidden="0">
      <x:c r="A14" s="47" t="str">
        <x:v>Day</x:v>
      </x:c>
      <x:c r="B14" s="47" t="str">
        <x:v>Number</x:v>
      </x:c>
      <x:c r="C14" s="47" t="str">
        <x:v>Day of the month</x:v>
      </x:c>
      <x:c r="D14" s="47" t="str">
        <x:v>15</x:v>
      </x:c>
    </x:row>
    <x:row r="15" ht="15" hidden="0">
      <x:c r="A15" s="47" t="str">
        <x:v>Hour</x:v>
      </x:c>
      <x:c r="B15" s="47" t="str">
        <x:v>Number</x:v>
      </x:c>
      <x:c r="C15" s="47" t="str">
        <x:v>Hour of the day</x:v>
      </x:c>
      <x:c r="D15" s="47" t="str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1" hidden="0" customWidth="1"/>
    <x:col min="2" max="2" width="10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10" width="10" hidden="0" customWidth="1"/>
    <x:col min="11" max="11" width="11" hidden="0" customWidth="1"/>
    <x:col min="12" max="15" width="10" hidden="0" customWidth="1"/>
    <x:col min="9" max="9" width="16" hidden="0" customWidth="1"/>
    <x:col min="10" max="10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6.850000381469727" hidden="0">
      <x:c r="A1" s="51" t="s">
        <x:v>0</x:v>
      </x:c>
      <x:c r="B1" s="51" t="s">
        <x:v>1</x:v>
      </x:c>
      <x:c r="C1" s="51" t="s">
        <x:v>2</x:v>
      </x:c>
      <x:c r="D1" s="51" t="s">
        <x:v>3</x:v>
      </x:c>
      <x:c r="E1" s="51" t="s">
        <x:v>4</x:v>
      </x:c>
      <x:c r="F1" s="51" t="s">
        <x:v>5</x:v>
      </x:c>
      <x:c r="G1" s="51" t="s">
        <x:v>6</x:v>
      </x:c>
      <x:c r="H1" s="51" t="s">
        <x:v>7</x:v>
      </x:c>
      <x:c r="I1" s="51" t="s">
        <x:v>8</x:v>
      </x:c>
      <x:c r="J1" s="51" t="s">
        <x:v>9</x:v>
      </x:c>
      <x:c r="K1" s="51" t="s">
        <x:v>10</x:v>
      </x:c>
      <x:c r="L1" s="51" t="s">
        <x:v>11</x:v>
      </x:c>
      <x:c r="M1" s="51" t="s">
        <x:v>12</x:v>
      </x:c>
      <x:c r="N1" s="51" t="s">
        <x:v>13</x:v>
      </x:c>
      <x:c r="O1" s="51" t="s">
        <x:v>14</x:v>
      </x:c>
    </x:row>
    <x:row r="2" ht="15" hidden="0">
      <x:c r="A2" s="73" t="n">
        <x:v>0</x:v>
      </x:c>
      <x:c r="B2" s="73" t="n">
        <x:v>0</x:v>
      </x:c>
      <x:c r="C2" s="73" t="s">
        <x:v>15</x:v>
      </x:c>
      <x:c r="D2" s="73" t="s">
        <x:v>16</x:v>
      </x:c>
      <x:c r="E2" s="73" t="s">
        <x:v>17</x:v>
      </x:c>
      <x:c r="F2" s="73" t="s">
        <x:v>18</x:v>
      </x:c>
      <x:c r="G2" s="73" t="s">
        <x:v>19</x:v>
      </x:c>
      <x:c r="H2" s="73" t="s">
        <x:v>20</x:v>
      </x:c>
      <x:c r="I2" s="73" t="n">
        <x:v>15</x:v>
      </x:c>
      <x:c r="J2" s="73" t="n">
        <x:v>30</x:v>
      </x:c>
      <x:c r="K2" s="73" t="s">
        <x:v>21</x:v>
      </x:c>
      <x:c r="L2" s="73" t="n">
        <x:v>2023</x:v>
      </x:c>
      <x:c r="M2" s="73" t="n">
        <x:v>1</x:v>
      </x:c>
      <x:c r="N2" s="73" t="n">
        <x:v>15</x:v>
      </x:c>
      <x:c r="O2" s="73" t="n">
        <x:v>12</x:v>
      </x:c>
    </x:row>
    <x:row r="3" ht="15" hidden="0">
      <x:c r="A3" s="73" t="n">
        <x:v>1</x:v>
      </x:c>
      <x:c r="B3" s="73" t="n">
        <x:v>1</x:v>
      </x:c>
      <x:c r="C3" s="73" t="s">
        <x:v>22</x:v>
      </x:c>
      <x:c r="D3" s="73" t="s">
        <x:v>23</x:v>
      </x:c>
      <x:c r="E3" s="73" t="s">
        <x:v>24</x:v>
      </x:c>
      <x:c r="F3" s="73" t="s">
        <x:v>25</x:v>
      </x:c>
      <x:c r="G3" s="73" t="s">
        <x:v>19</x:v>
      </x:c>
      <x:c r="H3" s="73" t="s">
        <x:v>26</x:v>
      </x:c>
      <x:c r="I3" s="73" t="n">
        <x:v>5</x:v>
      </x:c>
      <x:c r="J3" s="73" t="n">
        <x:v>10</x:v>
      </x:c>
      <x:c r="K3" s="73" t="s">
        <x:v>27</x:v>
      </x:c>
      <x:c r="L3" s="73" t="n">
        <x:v>2023</x:v>
      </x:c>
      <x:c r="M3" s="73" t="n">
        <x:v>1</x:v>
      </x:c>
      <x:c r="N3" s="73" t="n">
        <x:v>15</x:v>
      </x:c>
      <x:c r="O3" s="73" t="n">
        <x:v>8</x:v>
      </x:c>
    </x:row>
    <x:row r="4" ht="15" hidden="0">
      <x:c r="A4" s="73" t="n">
        <x:v>2</x:v>
      </x:c>
      <x:c r="B4" s="73" t="n">
        <x:v>2</x:v>
      </x:c>
      <x:c r="C4" s="73" t="s">
        <x:v>28</x:v>
      </x:c>
      <x:c r="D4" s="73" t="s">
        <x:v>16</x:v>
      </x:c>
      <x:c r="E4" s="73" t="s">
        <x:v>29</x:v>
      </x:c>
      <x:c r="F4" s="73" t="s">
        <x:v>30</x:v>
      </x:c>
      <x:c r="G4" s="73" t="s">
        <x:v>31</x:v>
      </x:c>
      <x:c r="H4" s="73" t="s">
        <x:v>32</x:v>
      </x:c>
      <x:c r="I4" s="73" t="n">
        <x:v>20</x:v>
      </x:c>
      <x:c r="J4" s="73" t="n">
        <x:v>40</x:v>
      </x:c>
      <x:c r="K4" s="73" t="s">
        <x:v>33</x:v>
      </x:c>
      <x:c r="L4" s="73" t="n">
        <x:v>2023</x:v>
      </x:c>
      <x:c r="M4" s="73" t="n">
        <x:v>1</x:v>
      </x:c>
      <x:c r="N4" s="73" t="n">
        <x:v>15</x:v>
      </x:c>
      <x:c r="O4" s="73" t="n">
        <x:v>15</x:v>
      </x:c>
    </x:row>
    <x:row r="5" ht="15" hidden="0">
      <x:c r="A5" s="73" t="n">
        <x:v>3</x:v>
      </x:c>
      <x:c r="B5" s="73" t="n">
        <x:v>3</x:v>
      </x:c>
      <x:c r="C5" s="73" t="s">
        <x:v>34</x:v>
      </x:c>
      <x:c r="D5" s="73" t="s">
        <x:v>16</x:v>
      </x:c>
      <x:c r="E5" s="73" t="s">
        <x:v>35</x:v>
      </x:c>
      <x:c r="F5" s="73" t="s">
        <x:v>36</x:v>
      </x:c>
      <x:c r="G5" s="73" t="s">
        <x:v>37</x:v>
      </x:c>
      <x:c r="H5" s="73" t="s">
        <x:v>38</x:v>
      </x:c>
      <x:c r="I5" s="73" t="n">
        <x:v>8</x:v>
      </x:c>
      <x:c r="J5" s="73" t="n">
        <x:v>15</x:v>
      </x:c>
      <x:c r="K5" s="73" t="s">
        <x:v>39</x:v>
      </x:c>
      <x:c r="L5" s="73" t="n">
        <x:v>2023</x:v>
      </x:c>
      <x:c r="M5" s="73" t="n">
        <x:v>1</x:v>
      </x:c>
      <x:c r="N5" s="73" t="n">
        <x:v>15</x:v>
      </x:c>
      <x:c r="O5" s="73" t="n">
        <x:v>18</x:v>
      </x:c>
    </x:row>
    <x:row r="6" ht="15" hidden="0">
      <x:c r="A6" s="73" t="n">
        <x:v>4</x:v>
      </x:c>
      <x:c r="B6" s="73" t="n">
        <x:v>4</x:v>
      </x:c>
      <x:c r="C6" s="73" t="s">
        <x:v>40</x:v>
      </x:c>
      <x:c r="D6" s="73" t="s">
        <x:v>41</x:v>
      </x:c>
      <x:c r="E6" s="73" t="s">
        <x:v>42</x:v>
      </x:c>
      <x:c r="F6" s="73" t="s">
        <x:v>43</x:v>
      </x:c>
      <x:c r="G6" s="73" t="s">
        <x:v>31</x:v>
      </x:c>
      <x:c r="H6" s="73" t="s">
        <x:v>44</x:v>
      </x:c>
      <x:c r="I6" s="73" t="n">
        <x:v>12</x:v>
      </x:c>
      <x:c r="J6" s="73" t="n">
        <x:v>25</x:v>
      </x:c>
      <x:c r="K6" s="73" t="s">
        <x:v>45</x:v>
      </x:c>
      <x:c r="L6" s="73" t="n">
        <x:v>2023</x:v>
      </x:c>
      <x:c r="M6" s="73" t="n">
        <x:v>1</x:v>
      </x:c>
      <x:c r="N6" s="73" t="n">
        <x:v>15</x:v>
      </x:c>
      <x:c r="O6" s="73" t="n">
        <x:v>19</x:v>
      </x:c>
    </x:row>
    <x:row r="7" ht="15" hidden="0">
      <x:c r="A7" s="73" t="n">
        <x:v>5</x:v>
      </x:c>
      <x:c r="B7" s="73" t="n">
        <x:v>5</x:v>
      </x:c>
      <x:c r="C7" s="73" t="s">
        <x:v>46</x:v>
      </x:c>
      <x:c r="D7" s="73" t="s">
        <x:v>16</x:v>
      </x:c>
      <x:c r="E7" s="73" t="s">
        <x:v>47</x:v>
      </x:c>
      <x:c r="F7" s="73" t="s">
        <x:v>48</x:v>
      </x:c>
      <x:c r="G7" s="73" t="s">
        <x:v>19</x:v>
      </x:c>
      <x:c r="H7" s="73" t="s">
        <x:v>49</x:v>
      </x:c>
      <x:c r="I7" s="73" t="n">
        <x:v>25</x:v>
      </x:c>
      <x:c r="J7" s="73" t="n">
        <x:v>50</x:v>
      </x:c>
      <x:c r="K7" s="73" t="s">
        <x:v>50</x:v>
      </x:c>
      <x:c r="L7" s="73" t="n">
        <x:v>2023</x:v>
      </x:c>
      <x:c r="M7" s="73" t="n">
        <x:v>1</x:v>
      </x:c>
      <x:c r="N7" s="73" t="n">
        <x:v>16</x:v>
      </x:c>
      <x:c r="O7" s="73" t="n">
        <x:v>9</x:v>
      </x:c>
    </x:row>
    <x:row r="8" ht="15" hidden="0">
      <x:c r="A8" s="73" t="n">
        <x:v>6</x:v>
      </x:c>
      <x:c r="B8" s="73" t="n">
        <x:v>6</x:v>
      </x:c>
      <x:c r="C8" s="73" t="s">
        <x:v>51</x:v>
      </x:c>
      <x:c r="D8" s="73" t="s">
        <x:v>16</x:v>
      </x:c>
      <x:c r="E8" s="73" t="s">
        <x:v>52</x:v>
      </x:c>
      <x:c r="F8" s="73" t="s">
        <x:v>53</x:v>
      </x:c>
      <x:c r="G8" s="73" t="s">
        <x:v>37</x:v>
      </x:c>
      <x:c r="H8" s="73" t="s">
        <x:v>54</x:v>
      </x:c>
      <x:c r="I8" s="73" t="n">
        <x:v>10</x:v>
      </x:c>
      <x:c r="J8" s="73" t="n">
        <x:v>20</x:v>
      </x:c>
      <x:c r="K8" s="73" t="s">
        <x:v>27</x:v>
      </x:c>
      <x:c r="L8" s="73" t="n">
        <x:v>2023</x:v>
      </x:c>
      <x:c r="M8" s="73" t="n">
        <x:v>1</x:v>
      </x:c>
      <x:c r="N8" s="73" t="n">
        <x:v>16</x:v>
      </x:c>
      <x:c r="O8" s="73" t="n">
        <x:v>14</x:v>
      </x:c>
    </x:row>
    <x:row r="9" ht="15" hidden="0">
      <x:c r="A9" s="73" t="n">
        <x:v>7</x:v>
      </x:c>
      <x:c r="B9" s="73" t="n">
        <x:v>7</x:v>
      </x:c>
      <x:c r="C9" s="73" t="s">
        <x:v>55</x:v>
      </x:c>
      <x:c r="D9" s="73" t="s">
        <x:v>16</x:v>
      </x:c>
      <x:c r="E9" s="73" t="s">
        <x:v>56</x:v>
      </x:c>
      <x:c r="F9" s="73" t="s">
        <x:v>57</x:v>
      </x:c>
      <x:c r="G9" s="73" t="s">
        <x:v>31</x:v>
      </x:c>
      <x:c r="H9" s="73" t="s">
        <x:v>58</x:v>
      </x:c>
      <x:c r="I9" s="73" t="n">
        <x:v>15</x:v>
      </x:c>
      <x:c r="J9" s="73" t="n">
        <x:v>30</x:v>
      </x:c>
      <x:c r="K9" s="73" t="s">
        <x:v>59</x:v>
      </x:c>
      <x:c r="L9" s="73" t="n">
        <x:v>2023</x:v>
      </x:c>
      <x:c r="M9" s="73" t="n">
        <x:v>1</x:v>
      </x:c>
      <x:c r="N9" s="73" t="n">
        <x:v>16</x:v>
      </x:c>
      <x:c r="O9" s="73" t="n">
        <x:v>19</x:v>
      </x:c>
    </x:row>
    <x:row r="10" ht="15" hidden="0">
      <x:c r="A10" s="73" t="n">
        <x:v>8</x:v>
      </x:c>
      <x:c r="B10" s="73" t="n">
        <x:v>8</x:v>
      </x:c>
      <x:c r="C10" s="73" t="s">
        <x:v>60</x:v>
      </x:c>
      <x:c r="D10" s="73" t="s">
        <x:v>23</x:v>
      </x:c>
      <x:c r="E10" s="73" t="s">
        <x:v>61</x:v>
      </x:c>
      <x:c r="F10" s="73" t="s">
        <x:v>62</x:v>
      </x:c>
      <x:c r="G10" s="73" t="s">
        <x:v>19</x:v>
      </x:c>
      <x:c r="H10" s="73" t="s">
        <x:v>63</x:v>
      </x:c>
      <x:c r="I10" s="73" t="n">
        <x:v>30</x:v>
      </x:c>
      <x:c r="J10" s="73" t="n">
        <x:v>60</x:v>
      </x:c>
      <x:c r="K10" s="73" t="s">
        <x:v>21</x:v>
      </x:c>
      <x:c r="L10" s="73" t="n">
        <x:v>2023</x:v>
      </x:c>
      <x:c r="M10" s="73" t="n">
        <x:v>1</x:v>
      </x:c>
      <x:c r="N10" s="73" t="n">
        <x:v>17</x:v>
      </x:c>
      <x:c r="O10" s="73" t="n">
        <x:v>8</x:v>
      </x:c>
    </x:row>
    <x:row r="11" ht="15" hidden="0">
      <x:c r="A11" s="73" t="n">
        <x:v>9</x:v>
      </x:c>
      <x:c r="B11" s="73" t="n">
        <x:v>9</x:v>
      </x:c>
      <x:c r="C11" s="73" t="s">
        <x:v>64</x:v>
      </x:c>
      <x:c r="D11" s="73" t="s">
        <x:v>41</x:v>
      </x:c>
      <x:c r="E11" s="73" t="s">
        <x:v>65</x:v>
      </x:c>
      <x:c r="F11" s="73" t="s">
        <x:v>66</x:v>
      </x:c>
      <x:c r="G11" s="73" t="s">
        <x:v>37</x:v>
      </x:c>
      <x:c r="H11" s="73" t="s">
        <x:v>67</x:v>
      </x:c>
      <x:c r="I11" s="73" t="n">
        <x:v>18</x:v>
      </x:c>
      <x:c r="J11" s="73" t="n">
        <x:v>35</x:v>
      </x:c>
      <x:c r="K11" s="73" t="s">
        <x:v>45</x:v>
      </x:c>
      <x:c r="L11" s="73" t="n">
        <x:v>2023</x:v>
      </x:c>
      <x:c r="M11" s="73" t="n">
        <x:v>1</x:v>
      </x:c>
      <x:c r="N11" s="73" t="n">
        <x:v>17</x:v>
      </x:c>
      <x:c r="O11" s="73" t="n">
        <x:v>12</x:v>
      </x:c>
    </x:row>
    <x:row r="12" ht="15" hidden="0">
      <x:c r="A12" s="73" t="n">
        <x:v>10</x:v>
      </x:c>
      <x:c r="B12" s="73" t="n">
        <x:v>10</x:v>
      </x:c>
      <x:c r="C12" s="73" t="s">
        <x:v>68</x:v>
      </x:c>
      <x:c r="D12" s="73" t="s">
        <x:v>16</x:v>
      </x:c>
      <x:c r="E12" s="73" t="s">
        <x:v>69</x:v>
      </x:c>
      <x:c r="F12" s="73" t="s">
        <x:v>70</x:v>
      </x:c>
      <x:c r="G12" s="73" t="s">
        <x:v>31</x:v>
      </x:c>
      <x:c r="H12" s="73" t="s">
        <x:v>71</x:v>
      </x:c>
      <x:c r="I12" s="73" t="n">
        <x:v>22</x:v>
      </x:c>
      <x:c r="J12" s="73" t="n">
        <x:v>45</x:v>
      </x:c>
      <x:c r="K12" s="73" t="s">
        <x:v>72</x:v>
      </x:c>
      <x:c r="L12" s="73" t="n">
        <x:v>2023</x:v>
      </x:c>
      <x:c r="M12" s="73" t="n">
        <x:v>1</x:v>
      </x:c>
      <x:c r="N12" s="73" t="n">
        <x:v>17</x:v>
      </x:c>
      <x:c r="O12" s="73" t="n">
        <x:v>15</x:v>
      </x:c>
    </x:row>
    <x:row r="13" ht="15" hidden="0">
      <x:c r="A13" s="73" t="n">
        <x:v>11</x:v>
      </x:c>
      <x:c r="B13" s="73" t="n">
        <x:v>11</x:v>
      </x:c>
      <x:c r="C13" s="73" t="s">
        <x:v>73</x:v>
      </x:c>
      <x:c r="D13" s="73" t="s">
        <x:v>23</x:v>
      </x:c>
      <x:c r="E13" s="73" t="s">
        <x:v>74</x:v>
      </x:c>
      <x:c r="F13" s="73" t="s">
        <x:v>75</x:v>
      </x:c>
      <x:c r="G13" s="73" t="s">
        <x:v>19</x:v>
      </x:c>
      <x:c r="H13" s="73" t="s">
        <x:v>76</x:v>
      </x:c>
      <x:c r="I13" s="73" t="n">
        <x:v>7</x:v>
      </x:c>
      <x:c r="J13" s="73" t="n">
        <x:v>15</x:v>
      </x:c>
      <x:c r="K13" s="73" t="s">
        <x:v>27</x:v>
      </x:c>
      <x:c r="L13" s="73" t="n">
        <x:v>2023</x:v>
      </x:c>
      <x:c r="M13" s="73" t="n">
        <x:v>1</x:v>
      </x:c>
      <x:c r="N13" s="73" t="n">
        <x:v>18</x:v>
      </x:c>
      <x:c r="O13" s="73" t="n">
        <x:v>10</x:v>
      </x:c>
    </x:row>
    <x:row r="14" ht="15" hidden="0">
      <x:c r="A14" s="73" t="n">
        <x:v>12</x:v>
      </x:c>
      <x:c r="B14" s="73" t="n">
        <x:v>12</x:v>
      </x:c>
      <x:c r="C14" s="73" t="s">
        <x:v>77</x:v>
      </x:c>
      <x:c r="D14" s="73" t="s">
        <x:v>16</x:v>
      </x:c>
      <x:c r="E14" s="73" t="s">
        <x:v>78</x:v>
      </x:c>
      <x:c r="F14" s="73" t="s">
        <x:v>79</x:v>
      </x:c>
      <x:c r="G14" s="73" t="s">
        <x:v>37</x:v>
      </x:c>
      <x:c r="H14" s="73" t="s">
        <x:v>80</x:v>
      </x:c>
      <x:c r="I14" s="73" t="n">
        <x:v>12</x:v>
      </x:c>
      <x:c r="J14" s="73" t="n">
        <x:v>25</x:v>
      </x:c>
      <x:c r="K14" s="73" t="s">
        <x:v>39</x:v>
      </x:c>
      <x:c r="L14" s="73" t="n">
        <x:v>2023</x:v>
      </x:c>
      <x:c r="M14" s="73" t="n">
        <x:v>1</x:v>
      </x:c>
      <x:c r="N14" s="73" t="n">
        <x:v>18</x:v>
      </x:c>
      <x:c r="O14" s="73" t="n">
        <x:v>14</x:v>
      </x:c>
    </x:row>
    <x:row r="15" ht="15" hidden="0">
      <x:c r="A15" s="73" t="n">
        <x:v>13</x:v>
      </x:c>
      <x:c r="B15" s="73" t="n">
        <x:v>13</x:v>
      </x:c>
      <x:c r="C15" s="73" t="s">
        <x:v>81</x:v>
      </x:c>
      <x:c r="D15" s="73" t="s">
        <x:v>16</x:v>
      </x:c>
      <x:c r="E15" s="73" t="s">
        <x:v>82</x:v>
      </x:c>
      <x:c r="F15" s="73" t="s">
        <x:v>83</x:v>
      </x:c>
      <x:c r="G15" s="73" t="s">
        <x:v>31</x:v>
      </x:c>
      <x:c r="H15" s="73" t="s">
        <x:v>84</x:v>
      </x:c>
      <x:c r="I15" s="73" t="n">
        <x:v>28</x:v>
      </x:c>
      <x:c r="J15" s="73" t="n">
        <x:v>55</x:v>
      </x:c>
      <x:c r="K15" s="73" t="s">
        <x:v>33</x:v>
      </x:c>
      <x:c r="L15" s="73" t="n">
        <x:v>2023</x:v>
      </x:c>
      <x:c r="M15" s="73" t="n">
        <x:v>1</x:v>
      </x:c>
      <x:c r="N15" s="73" t="n">
        <x:v>18</x:v>
      </x:c>
      <x:c r="O15" s="73" t="n">
        <x:v>18</x:v>
      </x:c>
    </x:row>
    <x:row r="16" ht="15" hidden="0">
      <x:c r="A16" s="73" t="n">
        <x:v>14</x:v>
      </x:c>
      <x:c r="B16" s="73" t="n">
        <x:v>14</x:v>
      </x:c>
      <x:c r="C16" s="73" t="s">
        <x:v>85</x:v>
      </x:c>
      <x:c r="D16" s="73" t="s">
        <x:v>41</x:v>
      </x:c>
      <x:c r="E16" s="73" t="s">
        <x:v>86</x:v>
      </x:c>
      <x:c r="F16" s="73" t="s">
        <x:v>87</x:v>
      </x:c>
      <x:c r="G16" s="73" t="s">
        <x:v>19</x:v>
      </x:c>
      <x:c r="H16" s="73" t="s">
        <x:v>88</x:v>
      </x:c>
      <x:c r="I16" s="73" t="n">
        <x:v>15</x:v>
      </x:c>
      <x:c r="J16" s="73" t="n">
        <x:v>30</x:v>
      </x:c>
      <x:c r="K16" s="73" t="s">
        <x:v>50</x:v>
      </x:c>
      <x:c r="L16" s="73" t="n">
        <x:v>2023</x:v>
      </x:c>
      <x:c r="M16" s="73" t="n">
        <x:v>1</x:v>
      </x:c>
      <x:c r="N16" s="73" t="n">
        <x:v>19</x:v>
      </x:c>
      <x:c r="O16" s="73" t="n">
        <x:v>9</x:v>
      </x:c>
    </x:row>
    <x:row r="17" ht="15" hidden="0">
      <x:c r="A17" s="73" t="n">
        <x:v>15</x:v>
      </x:c>
      <x:c r="B17" s="73" t="n">
        <x:v>15</x:v>
      </x:c>
      <x:c r="C17" s="73" t="s">
        <x:v>89</x:v>
      </x:c>
      <x:c r="D17" s="73" t="s">
        <x:v>16</x:v>
      </x:c>
      <x:c r="E17" s="73" t="s">
        <x:v>90</x:v>
      </x:c>
      <x:c r="F17" s="73" t="s">
        <x:v>91</x:v>
      </x:c>
      <x:c r="G17" s="73" t="s">
        <x:v>37</x:v>
      </x:c>
      <x:c r="H17" s="73" t="s">
        <x:v>92</x:v>
      </x:c>
      <x:c r="I17" s="73" t="n">
        <x:v>20</x:v>
      </x:c>
      <x:c r="J17" s="73" t="n">
        <x:v>40</x:v>
      </x:c>
      <x:c r="K17" s="73" t="s">
        <x:v>21</x:v>
      </x:c>
      <x:c r="L17" s="73" t="n">
        <x:v>2023</x:v>
      </x:c>
      <x:c r="M17" s="73" t="n">
        <x:v>1</x:v>
      </x:c>
      <x:c r="N17" s="73" t="n">
        <x:v>19</x:v>
      </x:c>
      <x:c r="O17" s="73" t="n">
        <x:v>13</x:v>
      </x:c>
    </x:row>
    <x:row r="18" ht="15" hidden="0">
      <x:c r="A18" s="73" t="n">
        <x:v>16</x:v>
      </x:c>
      <x:c r="B18" s="73" t="n">
        <x:v>16</x:v>
      </x:c>
      <x:c r="C18" s="73" t="s">
        <x:v>93</x:v>
      </x:c>
      <x:c r="D18" s="73" t="s">
        <x:v>16</x:v>
      </x:c>
      <x:c r="E18" s="73" t="s">
        <x:v>94</x:v>
      </x:c>
      <x:c r="F18" s="73" t="s">
        <x:v>95</x:v>
      </x:c>
      <x:c r="G18" s="73" t="s">
        <x:v>31</x:v>
      </x:c>
      <x:c r="H18" s="73" t="s">
        <x:v>96</x:v>
      </x:c>
      <x:c r="I18" s="73" t="n">
        <x:v>15</x:v>
      </x:c>
      <x:c r="J18" s="73" t="n">
        <x:v>30</x:v>
      </x:c>
      <x:c r="K18" s="73" t="s">
        <x:v>97</x:v>
      </x:c>
      <x:c r="L18" s="73" t="n">
        <x:v>2023</x:v>
      </x:c>
      <x:c r="M18" s="73" t="n">
        <x:v>1</x:v>
      </x:c>
      <x:c r="N18" s="73" t="n">
        <x:v>19</x:v>
      </x:c>
      <x:c r="O18" s="73" t="n">
        <x:v>17</x:v>
      </x:c>
    </x:row>
    <x:row r="19" ht="15" hidden="0">
      <x:c r="A19" s="73" t="n">
        <x:v>17</x:v>
      </x:c>
      <x:c r="B19" s="73" t="n">
        <x:v>17</x:v>
      </x:c>
      <x:c r="C19" s="73" t="s">
        <x:v>98</x:v>
      </x:c>
      <x:c r="D19" s="73" t="s">
        <x:v>16</x:v>
      </x:c>
      <x:c r="E19" s="73" t="s">
        <x:v>99</x:v>
      </x:c>
      <x:c r="F19" s="73" t="s">
        <x:v>100</x:v>
      </x:c>
      <x:c r="G19" s="73" t="s">
        <x:v>19</x:v>
      </x:c>
      <x:c r="H19" s="73" t="s">
        <x:v>101</x:v>
      </x:c>
      <x:c r="I19" s="73" t="n">
        <x:v>18</x:v>
      </x:c>
      <x:c r="J19" s="73" t="n">
        <x:v>35</x:v>
      </x:c>
      <x:c r="K19" s="73" t="s">
        <x:v>39</x:v>
      </x:c>
      <x:c r="L19" s="73" t="n">
        <x:v>2023</x:v>
      </x:c>
      <x:c r="M19" s="73" t="n">
        <x:v>1</x:v>
      </x:c>
      <x:c r="N19" s="73" t="n">
        <x:v>20</x:v>
      </x:c>
      <x:c r="O19" s="73" t="n">
        <x:v>0</x:v>
      </x:c>
    </x:row>
    <x:row r="20" ht="15" hidden="0">
      <x:c r="A20" s="73" t="n">
        <x:v>18</x:v>
      </x:c>
      <x:c r="B20" s="73" t="n">
        <x:v>18</x:v>
      </x:c>
      <x:c r="C20" s="73" t="s">
        <x:v>102</x:v>
      </x:c>
      <x:c r="D20" s="73" t="s">
        <x:v>41</x:v>
      </x:c>
      <x:c r="E20" s="73" t="s">
        <x:v>103</x:v>
      </x:c>
      <x:c r="F20" s="73" t="s">
        <x:v>104</x:v>
      </x:c>
      <x:c r="G20" s="73" t="s">
        <x:v>37</x:v>
      </x:c>
      <x:c r="H20" s="73" t="s">
        <x:v>105</x:v>
      </x:c>
      <x:c r="I20" s="73" t="n">
        <x:v>25</x:v>
      </x:c>
      <x:c r="J20" s="73" t="n">
        <x:v>50</x:v>
      </x:c>
      <x:c r="K20" s="73" t="s">
        <x:v>72</x:v>
      </x:c>
      <x:c r="L20" s="73" t="n">
        <x:v>2023</x:v>
      </x:c>
      <x:c r="M20" s="73" t="n">
        <x:v>1</x:v>
      </x:c>
      <x:c r="N20" s="73" t="n">
        <x:v>20</x:v>
      </x:c>
      <x:c r="O20" s="73" t="n">
        <x:v>11</x:v>
      </x:c>
    </x:row>
    <x:row r="21" ht="15" hidden="0">
      <x:c r="A21" s="73" t="n">
        <x:v>19</x:v>
      </x:c>
      <x:c r="B21" s="73" t="n">
        <x:v>19</x:v>
      </x:c>
      <x:c r="C21" s="73" t="s">
        <x:v>106</x:v>
      </x:c>
      <x:c r="D21" s="73" t="s">
        <x:v>23</x:v>
      </x:c>
      <x:c r="E21" s="73" t="s">
        <x:v>107</x:v>
      </x:c>
      <x:c r="F21" s="73" t="s">
        <x:v>108</x:v>
      </x:c>
      <x:c r="G21" s="73" t="s">
        <x:v>31</x:v>
      </x:c>
      <x:c r="H21" s="73" t="s">
        <x:v>109</x:v>
      </x:c>
      <x:c r="I21" s="73" t="n">
        <x:v>8</x:v>
      </x:c>
      <x:c r="J21" s="73" t="n">
        <x:v>15</x:v>
      </x:c>
      <x:c r="K21" s="73" t="s">
        <x:v>110</x:v>
      </x:c>
      <x:c r="L21" s="73" t="n">
        <x:v>2023</x:v>
      </x:c>
      <x:c r="M21" s="73" t="n">
        <x:v>1</x:v>
      </x:c>
      <x:c r="N21" s="73" t="n">
        <x:v>20</x:v>
      </x:c>
      <x:c r="O21" s="73" t="n">
        <x:v>15</x:v>
      </x:c>
    </x:row>
    <x:row r="22" ht="15" hidden="0">
      <x:c r="A22" s="73" t="n">
        <x:v>20</x:v>
      </x:c>
      <x:c r="B22" s="73" t="n">
        <x:v>20</x:v>
      </x:c>
      <x:c r="C22" s="73" t="s">
        <x:v>111</x:v>
      </x:c>
      <x:c r="D22" s="73" t="s">
        <x:v>16</x:v>
      </x:c>
      <x:c r="E22" s="73" t="s">
        <x:v>112</x:v>
      </x:c>
      <x:c r="F22" s="73" t="s">
        <x:v>113</x:v>
      </x:c>
      <x:c r="G22" s="73" t="s">
        <x:v>19</x:v>
      </x:c>
      <x:c r="H22" s="73" t="s">
        <x:v>114</x:v>
      </x:c>
      <x:c r="I22" s="73" t="n">
        <x:v>22</x:v>
      </x:c>
      <x:c r="J22" s="73" t="n">
        <x:v>45</x:v>
      </x:c>
      <x:c r="K22" s="73" t="s">
        <x:v>50</x:v>
      </x:c>
      <x:c r="L22" s="73" t="n">
        <x:v>2023</x:v>
      </x:c>
      <x:c r="M22" s="73" t="n">
        <x:v>1</x:v>
      </x:c>
      <x:c r="N22" s="73" t="n">
        <x:v>21</x:v>
      </x:c>
      <x:c r="O22" s="73" t="n">
        <x:v>8</x:v>
      </x:c>
    </x:row>
    <x:row r="23" ht="15" hidden="0">
      <x:c r="A23" s="73" t="n">
        <x:v>21</x:v>
      </x:c>
      <x:c r="B23" s="73" t="n">
        <x:v>21</x:v>
      </x:c>
      <x:c r="C23" s="73" t="s">
        <x:v>115</x:v>
      </x:c>
      <x:c r="D23" s="73" t="s">
        <x:v>16</x:v>
      </x:c>
      <x:c r="E23" s="73" t="s">
        <x:v>116</x:v>
      </x:c>
      <x:c r="F23" s="73" t="s">
        <x:v>117</x:v>
      </x:c>
      <x:c r="G23" s="73" t="s">
        <x:v>37</x:v>
      </x:c>
      <x:c r="H23" s="73" t="s">
        <x:v>118</x:v>
      </x:c>
      <x:c r="I23" s="73" t="n">
        <x:v>15</x:v>
      </x:c>
      <x:c r="J23" s="73" t="n">
        <x:v>30</x:v>
      </x:c>
      <x:c r="K23" s="73" t="s">
        <x:v>72</x:v>
      </x:c>
      <x:c r="L23" s="73" t="n">
        <x:v>2023</x:v>
      </x:c>
      <x:c r="M23" s="73" t="n">
        <x:v>1</x:v>
      </x:c>
      <x:c r="N23" s="73" t="n">
        <x:v>21</x:v>
      </x:c>
      <x:c r="O23" s="73" t="n">
        <x:v>13</x:v>
      </x:c>
    </x:row>
    <x:row r="24" ht="15" hidden="0">
      <x:c r="A24" s="73" t="n">
        <x:v>22</x:v>
      </x:c>
      <x:c r="B24" s="73" t="n">
        <x:v>22</x:v>
      </x:c>
      <x:c r="C24" s="73" t="s">
        <x:v>119</x:v>
      </x:c>
      <x:c r="D24" s="73" t="s">
        <x:v>16</x:v>
      </x:c>
      <x:c r="E24" s="73" t="s">
        <x:v>120</x:v>
      </x:c>
      <x:c r="F24" s="73" t="s">
        <x:v>121</x:v>
      </x:c>
      <x:c r="G24" s="73" t="s">
        <x:v>31</x:v>
      </x:c>
      <x:c r="H24" s="73" t="s">
        <x:v>122</x:v>
      </x:c>
      <x:c r="I24" s="73" t="n">
        <x:v>30</x:v>
      </x:c>
      <x:c r="J24" s="73" t="n">
        <x:v>60</x:v>
      </x:c>
      <x:c r="K24" s="73" t="s">
        <x:v>123</x:v>
      </x:c>
      <x:c r="L24" s="73" t="n">
        <x:v>2023</x:v>
      </x:c>
      <x:c r="M24" s="73" t="n">
        <x:v>1</x:v>
      </x:c>
      <x:c r="N24" s="73" t="n">
        <x:v>21</x:v>
      </x:c>
      <x:c r="O24" s="73" t="n">
        <x:v>16</x:v>
      </x:c>
    </x:row>
    <x:row r="25" ht="15" hidden="0">
      <x:c r="A25" s="73" t="n">
        <x:v>23</x:v>
      </x:c>
      <x:c r="B25" s="73" t="n">
        <x:v>23</x:v>
      </x:c>
      <x:c r="C25" s="73" t="s">
        <x:v>124</x:v>
      </x:c>
      <x:c r="D25" s="73" t="s">
        <x:v>16</x:v>
      </x:c>
      <x:c r="E25" s="73" t="s">
        <x:v>125</x:v>
      </x:c>
      <x:c r="F25" s="73" t="s">
        <x:v>126</x:v>
      </x:c>
      <x:c r="G25" s="73" t="s">
        <x:v>19</x:v>
      </x:c>
      <x:c r="H25" s="73" t="s">
        <x:v>127</x:v>
      </x:c>
      <x:c r="I25" s="73" t="n">
        <x:v>20</x:v>
      </x:c>
      <x:c r="J25" s="73" t="n">
        <x:v>40</x:v>
      </x:c>
      <x:c r="K25" s="73" t="s">
        <x:v>39</x:v>
      </x:c>
      <x:c r="L25" s="73" t="n">
        <x:v>2023</x:v>
      </x:c>
      <x:c r="M25" s="73" t="n">
        <x:v>1</x:v>
      </x:c>
      <x:c r="N25" s="73" t="n">
        <x:v>22</x:v>
      </x:c>
      <x:c r="O25" s="73" t="n">
        <x:v>9</x:v>
      </x:c>
    </x:row>
    <x:row r="26" ht="15" hidden="0">
      <x:c r="A26" s="73" t="n">
        <x:v>24</x:v>
      </x:c>
      <x:c r="B26" s="73" t="n">
        <x:v>24</x:v>
      </x:c>
      <x:c r="C26" s="73" t="s">
        <x:v>128</x:v>
      </x:c>
      <x:c r="D26" s="73" t="s">
        <x:v>16</x:v>
      </x:c>
      <x:c r="E26" s="73" t="s">
        <x:v>129</x:v>
      </x:c>
      <x:c r="F26" s="73" t="s">
        <x:v>130</x:v>
      </x:c>
      <x:c r="G26" s="73" t="s">
        <x:v>37</x:v>
      </x:c>
      <x:c r="H26" s="73" t="s">
        <x:v>131</x:v>
      </x:c>
      <x:c r="I26" s="73" t="n">
        <x:v>12</x:v>
      </x:c>
      <x:c r="J26" s="73" t="n">
        <x:v>25</x:v>
      </x:c>
      <x:c r="K26" s="73" t="s">
        <x:v>132</x:v>
      </x:c>
      <x:c r="L26" s="73" t="n">
        <x:v>2023</x:v>
      </x:c>
      <x:c r="M26" s="73" t="n">
        <x:v>1</x:v>
      </x:c>
      <x:c r="N26" s="73" t="n">
        <x:v>22</x:v>
      </x:c>
      <x:c r="O26" s="73" t="n">
        <x:v>14</x:v>
      </x:c>
    </x:row>
    <x:row r="27" ht="15" hidden="0">
      <x:c r="A27" s="73" t="n">
        <x:v>25</x:v>
      </x:c>
      <x:c r="B27" s="73" t="n">
        <x:v>25</x:v>
      </x:c>
      <x:c r="C27" s="73" t="s">
        <x:v>133</x:v>
      </x:c>
      <x:c r="D27" s="73" t="s">
        <x:v>16</x:v>
      </x:c>
      <x:c r="E27" s="73" t="s">
        <x:v>134</x:v>
      </x:c>
      <x:c r="F27" s="73" t="s">
        <x:v>135</x:v>
      </x:c>
      <x:c r="G27" s="73" t="s">
        <x:v>31</x:v>
      </x:c>
      <x:c r="H27" s="73" t="s">
        <x:v>136</x:v>
      </x:c>
      <x:c r="I27" s="73" t="n">
        <x:v>15</x:v>
      </x:c>
      <x:c r="J27" s="73" t="n">
        <x:v>30</x:v>
      </x:c>
      <x:c r="K27" s="73" t="s">
        <x:v>137</x:v>
      </x:c>
      <x:c r="L27" s="73" t="n">
        <x:v>2023</x:v>
      </x:c>
      <x:c r="M27" s="73" t="n">
        <x:v>1</x:v>
      </x:c>
      <x:c r="N27" s="73" t="n">
        <x:v>22</x:v>
      </x:c>
      <x:c r="O27" s="73" t="n">
        <x:v>12</x:v>
      </x:c>
    </x:row>
    <x:row r="28" ht="15" hidden="0">
      <x:c r="A28" s="73" t="n">
        <x:v>27</x:v>
      </x:c>
      <x:c r="B28" s="73" t="n">
        <x:v>28</x:v>
      </x:c>
      <x:c r="C28" s="73" t="s">
        <x:v>138</x:v>
      </x:c>
      <x:c r="D28" s="73" t="s">
        <x:v>16</x:v>
      </x:c>
      <x:c r="E28" s="73" t="s">
        <x:v>139</x:v>
      </x:c>
      <x:c r="F28" s="73" t="s">
        <x:v>140</x:v>
      </x:c>
      <x:c r="G28" s="73" t="s">
        <x:v>37</x:v>
      </x:c>
      <x:c r="H28" s="73" t="s">
        <x:v>141</x:v>
      </x:c>
      <x:c r="I28" s="73" t="n">
        <x:v>25</x:v>
      </x:c>
      <x:c r="J28" s="73" t="n">
        <x:v>50</x:v>
      </x:c>
      <x:c r="K28" s="73" t="s">
        <x:v>142</x:v>
      </x:c>
      <x:c r="L28" s="73" t="n">
        <x:v>2023</x:v>
      </x:c>
      <x:c r="M28" s="73" t="n">
        <x:v>1</x:v>
      </x:c>
      <x:c r="N28" s="73" t="n">
        <x:v>23</x:v>
      </x:c>
      <x:c r="O28" s="73" t="n">
        <x:v>16</x:v>
      </x:c>
    </x:row>
    <x:row r="29" ht="15" hidden="0">
      <x:c r="A29" s="73" t="n">
        <x:v>28</x:v>
      </x:c>
      <x:c r="B29" s="73" t="n">
        <x:v>29</x:v>
      </x:c>
      <x:c r="C29" s="73" t="s">
        <x:v>143</x:v>
      </x:c>
      <x:c r="D29" s="73" t="s">
        <x:v>16</x:v>
      </x:c>
      <x:c r="E29" s="73" t="s">
        <x:v>144</x:v>
      </x:c>
      <x:c r="F29" s="73" t="s">
        <x:v>145</x:v>
      </x:c>
      <x:c r="G29" s="73" t="s">
        <x:v>31</x:v>
      </x:c>
      <x:c r="H29" s="73" t="s">
        <x:v>146</x:v>
      </x:c>
      <x:c r="I29" s="73" t="n">
        <x:v>15</x:v>
      </x:c>
      <x:c r="J29" s="73" t="n">
        <x:v>30</x:v>
      </x:c>
      <x:c r="K29" s="73" t="s">
        <x:v>45</x:v>
      </x:c>
      <x:c r="L29" s="73" t="n">
        <x:v>2023</x:v>
      </x:c>
      <x:c r="M29" s="73" t="n">
        <x:v>1</x:v>
      </x:c>
      <x:c r="N29" s="73" t="n">
        <x:v>23</x:v>
      </x:c>
      <x:c r="O29" s="73" t="n">
        <x:v>19</x:v>
      </x:c>
    </x:row>
    <x:row r="30" ht="15" hidden="0">
      <x:c r="A30" s="73" t="n">
        <x:v>29</x:v>
      </x:c>
      <x:c r="B30" s="73" t="n">
        <x:v>30</x:v>
      </x:c>
      <x:c r="C30" s="73" t="s">
        <x:v>147</x:v>
      </x:c>
      <x:c r="D30" s="73" t="s">
        <x:v>16</x:v>
      </x:c>
      <x:c r="E30" s="73" t="s">
        <x:v>148</x:v>
      </x:c>
      <x:c r="F30" s="73" t="s">
        <x:v>149</x:v>
      </x:c>
      <x:c r="G30" s="73" t="s">
        <x:v>19</x:v>
      </x:c>
      <x:c r="H30" s="73" t="s">
        <x:v>150</x:v>
      </x:c>
      <x:c r="I30" s="73" t="n">
        <x:v>22</x:v>
      </x:c>
      <x:c r="J30" s="73" t="n">
        <x:v>45</x:v>
      </x:c>
      <x:c r="K30" s="73" t="s">
        <x:v>21</x:v>
      </x:c>
      <x:c r="L30" s="73" t="n">
        <x:v>2023</x:v>
      </x:c>
      <x:c r="M30" s="73" t="n">
        <x:v>1</x:v>
      </x:c>
      <x:c r="N30" s="73" t="n">
        <x:v>24</x:v>
      </x:c>
      <x:c r="O30" s="73" t="n">
        <x:v>11</x:v>
      </x:c>
    </x:row>
    <x:row r="31" ht="15" hidden="0">
      <x:c r="A31" s="73" t="n">
        <x:v>30</x:v>
      </x:c>
      <x:c r="B31" s="73" t="n">
        <x:v>31</x:v>
      </x:c>
      <x:c r="C31" s="73" t="s">
        <x:v>151</x:v>
      </x:c>
      <x:c r="D31" s="73" t="s">
        <x:v>16</x:v>
      </x:c>
      <x:c r="E31" s="73" t="s">
        <x:v>152</x:v>
      </x:c>
      <x:c r="F31" s="73" t="s">
        <x:v>153</x:v>
      </x:c>
      <x:c r="G31" s="73" t="s">
        <x:v>37</x:v>
      </x:c>
      <x:c r="H31" s="73" t="s">
        <x:v>154</x:v>
      </x:c>
      <x:c r="I31" s="73" t="n">
        <x:v>12</x:v>
      </x:c>
      <x:c r="J31" s="73" t="n">
        <x:v>25</x:v>
      </x:c>
      <x:c r="K31" s="73" t="s">
        <x:v>155</x:v>
      </x:c>
      <x:c r="L31" s="73" t="n">
        <x:v>2023</x:v>
      </x:c>
      <x:c r="M31" s="73" t="n">
        <x:v>1</x:v>
      </x:c>
      <x:c r="N31" s="73" t="n">
        <x:v>24</x:v>
      </x:c>
      <x:c r="O31" s="73" t="n">
        <x:v>15</x:v>
      </x:c>
    </x:row>
    <x:row r="32" ht="15" hidden="0">
      <x:c r="A32" s="73" t="n">
        <x:v>31</x:v>
      </x:c>
      <x:c r="B32" s="73" t="n">
        <x:v>32</x:v>
      </x:c>
      <x:c r="C32" s="73" t="s">
        <x:v>156</x:v>
      </x:c>
      <x:c r="D32" s="73" t="s">
        <x:v>16</x:v>
      </x:c>
      <x:c r="E32" s="73" t="s">
        <x:v>157</x:v>
      </x:c>
      <x:c r="F32" s="73" t="s">
        <x:v>158</x:v>
      </x:c>
      <x:c r="G32" s="73" t="s">
        <x:v>31</x:v>
      </x:c>
      <x:c r="H32" s="73" t="s">
        <x:v>159</x:v>
      </x:c>
      <x:c r="I32" s="73" t="n">
        <x:v>18</x:v>
      </x:c>
      <x:c r="J32" s="73" t="n">
        <x:v>35</x:v>
      </x:c>
      <x:c r="K32" s="73" t="s">
        <x:v>160</x:v>
      </x:c>
      <x:c r="L32" s="73" t="n">
        <x:v>2023</x:v>
      </x:c>
      <x:c r="M32" s="73" t="n">
        <x:v>1</x:v>
      </x:c>
      <x:c r="N32" s="73" t="n">
        <x:v>24</x:v>
      </x:c>
      <x:c r="O32" s="73" t="n">
        <x:v>17</x:v>
      </x:c>
    </x:row>
    <x:row r="33" ht="15" hidden="0">
      <x:c r="A33" s="73" t="n">
        <x:v>32</x:v>
      </x:c>
      <x:c r="B33" s="73" t="n">
        <x:v>33</x:v>
      </x:c>
      <x:c r="C33" s="73" t="s">
        <x:v>161</x:v>
      </x:c>
      <x:c r="D33" s="73" t="s">
        <x:v>16</x:v>
      </x:c>
      <x:c r="E33" s="73" t="s">
        <x:v>162</x:v>
      </x:c>
      <x:c r="F33" s="73" t="s">
        <x:v>163</x:v>
      </x:c>
      <x:c r="G33" s="73" t="s">
        <x:v>19</x:v>
      </x:c>
      <x:c r="H33" s="73" t="s">
        <x:v>164</x:v>
      </x:c>
      <x:c r="I33" s="73" t="n">
        <x:v>15</x:v>
      </x:c>
      <x:c r="J33" s="73" t="n">
        <x:v>30</x:v>
      </x:c>
      <x:c r="K33" s="73" t="s">
        <x:v>50</x:v>
      </x:c>
      <x:c r="L33" s="73" t="n">
        <x:v>2023</x:v>
      </x:c>
      <x:c r="M33" s="73" t="n">
        <x:v>1</x:v>
      </x:c>
      <x:c r="N33" s="73" t="n">
        <x:v>25</x:v>
      </x:c>
      <x:c r="O33" s="73" t="n">
        <x:v>18</x:v>
      </x:c>
    </x:row>
    <x:row r="34" ht="15" hidden="0">
      <x:c r="A34" s="73" t="n">
        <x:v>33</x:v>
      </x:c>
      <x:c r="B34" s="73" t="n">
        <x:v>34</x:v>
      </x:c>
      <x:c r="C34" s="73" t="s">
        <x:v>165</x:v>
      </x:c>
      <x:c r="D34" s="73" t="s">
        <x:v>16</x:v>
      </x:c>
      <x:c r="E34" s="73" t="s">
        <x:v>166</x:v>
      </x:c>
      <x:c r="F34" s="73" t="s">
        <x:v>167</x:v>
      </x:c>
      <x:c r="G34" s="73" t="s">
        <x:v>37</x:v>
      </x:c>
      <x:c r="H34" s="73" t="s">
        <x:v>168</x:v>
      </x:c>
      <x:c r="I34" s="73" t="n">
        <x:v>30</x:v>
      </x:c>
      <x:c r="J34" s="73" t="n">
        <x:v>60</x:v>
      </x:c>
      <x:c r="K34" s="73" t="s">
        <x:v>123</x:v>
      </x:c>
      <x:c r="L34" s="73" t="n">
        <x:v>2023</x:v>
      </x:c>
      <x:c r="M34" s="73" t="n">
        <x:v>1</x:v>
      </x:c>
      <x:c r="N34" s="73" t="n">
        <x:v>25</x:v>
      </x:c>
      <x:c r="O34" s="73" t="n">
        <x:v>13</x:v>
      </x:c>
    </x:row>
    <x:row r="35" ht="15" hidden="0">
      <x:c r="A35" s="73" t="n">
        <x:v>34</x:v>
      </x:c>
      <x:c r="B35" s="73" t="n">
        <x:v>35</x:v>
      </x:c>
      <x:c r="C35" s="73" t="s">
        <x:v>169</x:v>
      </x:c>
      <x:c r="D35" s="73" t="s">
        <x:v>16</x:v>
      </x:c>
      <x:c r="E35" s="73" t="s">
        <x:v>170</x:v>
      </x:c>
      <x:c r="F35" s="73" t="s">
        <x:v>171</x:v>
      </x:c>
      <x:c r="G35" s="73" t="s">
        <x:v>31</x:v>
      </x:c>
      <x:c r="H35" s="73" t="s">
        <x:v>172</x:v>
      </x:c>
      <x:c r="I35" s="73" t="n">
        <x:v>25</x:v>
      </x:c>
      <x:c r="J35" s="73" t="n">
        <x:v>50</x:v>
      </x:c>
      <x:c r="K35" s="73" t="s">
        <x:v>72</x:v>
      </x:c>
      <x:c r="L35" s="73" t="n">
        <x:v>2023</x:v>
      </x:c>
      <x:c r="M35" s="73" t="n">
        <x:v>1</x:v>
      </x:c>
      <x:c r="N35" s="73" t="n">
        <x:v>26</x:v>
      </x:c>
      <x:c r="O35" s="73" t="n">
        <x:v>9</x:v>
      </x:c>
    </x:row>
    <x:row r="36" ht="15" hidden="0">
      <x:c r="A36" s="73" t="n">
        <x:v>35</x:v>
      </x:c>
      <x:c r="B36" s="73" t="n">
        <x:v>36</x:v>
      </x:c>
      <x:c r="C36" s="73" t="s">
        <x:v>173</x:v>
      </x:c>
      <x:c r="D36" s="73" t="s">
        <x:v>16</x:v>
      </x:c>
      <x:c r="E36" s="73" t="s">
        <x:v>174</x:v>
      </x:c>
      <x:c r="F36" s="73" t="s">
        <x:v>175</x:v>
      </x:c>
      <x:c r="G36" s="73" t="s">
        <x:v>19</x:v>
      </x:c>
      <x:c r="H36" s="73" t="s">
        <x:v>176</x:v>
      </x:c>
      <x:c r="I36" s="73" t="n">
        <x:v>15</x:v>
      </x:c>
      <x:c r="J36" s="73" t="n">
        <x:v>30</x:v>
      </x:c>
      <x:c r="K36" s="73" t="s">
        <x:v>27</x:v>
      </x:c>
      <x:c r="L36" s="73" t="n">
        <x:v>2023</x:v>
      </x:c>
      <x:c r="M36" s="73" t="n">
        <x:v>1</x:v>
      </x:c>
      <x:c r="N36" s="73" t="n">
        <x:v>26</x:v>
      </x:c>
      <x:c r="O36" s="73" t="n">
        <x:v>14</x:v>
      </x:c>
    </x:row>
    <x:row r="37" ht="15" hidden="0">
      <x:c r="A37" s="73" t="n">
        <x:v>36</x:v>
      </x:c>
      <x:c r="B37" s="73" t="n">
        <x:v>37</x:v>
      </x:c>
      <x:c r="C37" s="73" t="s">
        <x:v>177</x:v>
      </x:c>
      <x:c r="D37" s="73" t="s">
        <x:v>16</x:v>
      </x:c>
      <x:c r="E37" s="73" t="s">
        <x:v>178</x:v>
      </x:c>
      <x:c r="F37" s="73" t="s">
        <x:v>179</x:v>
      </x:c>
      <x:c r="G37" s="73" t="s">
        <x:v>37</x:v>
      </x:c>
      <x:c r="H37" s="73" t="s">
        <x:v>180</x:v>
      </x:c>
      <x:c r="I37" s="73" t="n">
        <x:v>22</x:v>
      </x:c>
      <x:c r="J37" s="73" t="n">
        <x:v>45</x:v>
      </x:c>
      <x:c r="K37" s="73" t="s">
        <x:v>160</x:v>
      </x:c>
      <x:c r="L37" s="73" t="n">
        <x:v>2023</x:v>
      </x:c>
      <x:c r="M37" s="73" t="n">
        <x:v>1</x:v>
      </x:c>
      <x:c r="N37" s="73" t="n">
        <x:v>26</x:v>
      </x:c>
      <x:c r="O37" s="73" t="n">
        <x:v>17</x:v>
      </x:c>
    </x:row>
    <x:row r="38" ht="15" hidden="0">
      <x:c r="A38" s="73" t="n">
        <x:v>37</x:v>
      </x:c>
      <x:c r="B38" s="73" t="n">
        <x:v>38</x:v>
      </x:c>
      <x:c r="C38" s="73" t="s">
        <x:v>181</x:v>
      </x:c>
      <x:c r="D38" s="73" t="s">
        <x:v>16</x:v>
      </x:c>
      <x:c r="E38" s="73" t="s">
        <x:v>182</x:v>
      </x:c>
      <x:c r="F38" s="73" t="s">
        <x:v>183</x:v>
      </x:c>
      <x:c r="G38" s="73" t="s">
        <x:v>31</x:v>
      </x:c>
      <x:c r="H38" s="73" t="s">
        <x:v>184</x:v>
      </x:c>
      <x:c r="I38" s="73" t="n">
        <x:v>18</x:v>
      </x:c>
      <x:c r="J38" s="73" t="n">
        <x:v>35</x:v>
      </x:c>
      <x:c r="K38" s="73" t="s">
        <x:v>123</x:v>
      </x:c>
      <x:c r="L38" s="73" t="n">
        <x:v>2023</x:v>
      </x:c>
      <x:c r="M38" s="73" t="n">
        <x:v>1</x:v>
      </x:c>
      <x:c r="N38" s="73" t="n">
        <x:v>27</x:v>
      </x:c>
      <x:c r="O38" s="73" t="n">
        <x:v>20</x:v>
      </x:c>
    </x:row>
    <x:row r="39" ht="15" hidden="0">
      <x:c r="A39" s="73" t="n">
        <x:v>38</x:v>
      </x:c>
      <x:c r="B39" s="73" t="n">
        <x:v>39</x:v>
      </x:c>
      <x:c r="C39" s="73" t="s">
        <x:v>185</x:v>
      </x:c>
      <x:c r="D39" s="73" t="s">
        <x:v>16</x:v>
      </x:c>
      <x:c r="E39" s="73" t="s">
        <x:v>186</x:v>
      </x:c>
      <x:c r="F39" s="73" t="s">
        <x:v>187</x:v>
      </x:c>
      <x:c r="G39" s="73" t="s">
        <x:v>19</x:v>
      </x:c>
      <x:c r="H39" s="73" t="s">
        <x:v>188</x:v>
      </x:c>
      <x:c r="I39" s="73" t="n">
        <x:v>15</x:v>
      </x:c>
      <x:c r="J39" s="73" t="n">
        <x:v>30</x:v>
      </x:c>
      <x:c r="K39" s="73" t="s">
        <x:v>50</x:v>
      </x:c>
      <x:c r="L39" s="73" t="n">
        <x:v>2023</x:v>
      </x:c>
      <x:c r="M39" s="73" t="n">
        <x:v>1</x:v>
      </x:c>
      <x:c r="N39" s="73" t="n">
        <x:v>27</x:v>
      </x:c>
      <x:c r="O39" s="73" t="n">
        <x:v>12</x:v>
      </x:c>
    </x:row>
    <x:row r="40" ht="15" hidden="0">
      <x:c r="A40" s="73" t="n">
        <x:v>39</x:v>
      </x:c>
      <x:c r="B40" s="73" t="n">
        <x:v>40</x:v>
      </x:c>
      <x:c r="C40" s="73" t="s">
        <x:v>189</x:v>
      </x:c>
      <x:c r="D40" s="73" t="s">
        <x:v>16</x:v>
      </x:c>
      <x:c r="E40" s="73" t="s">
        <x:v>190</x:v>
      </x:c>
      <x:c r="F40" s="73" t="s">
        <x:v>191</x:v>
      </x:c>
      <x:c r="G40" s="73" t="s">
        <x:v>37</x:v>
      </x:c>
      <x:c r="H40" s="73" t="s">
        <x:v>192</x:v>
      </x:c>
      <x:c r="I40" s="73" t="n">
        <x:v>12</x:v>
      </x:c>
      <x:c r="J40" s="73" t="n">
        <x:v>25</x:v>
      </x:c>
      <x:c r="K40" s="73" t="s">
        <x:v>155</x:v>
      </x:c>
      <x:c r="L40" s="73" t="n">
        <x:v>2023</x:v>
      </x:c>
      <x:c r="M40" s="73" t="n">
        <x:v>1</x:v>
      </x:c>
      <x:c r="N40" s="73" t="n">
        <x:v>27</x:v>
      </x:c>
      <x:c r="O40" s="73" t="n">
        <x:v>16</x:v>
      </x:c>
    </x:row>
    <x:row r="41" ht="15" hidden="0">
      <x:c r="A41" s="73" t="n">
        <x:v>40</x:v>
      </x:c>
      <x:c r="B41" s="73" t="n">
        <x:v>41</x:v>
      </x:c>
      <x:c r="C41" s="73" t="s">
        <x:v>193</x:v>
      </x:c>
      <x:c r="D41" s="73" t="s">
        <x:v>16</x:v>
      </x:c>
      <x:c r="E41" s="73" t="s">
        <x:v>194</x:v>
      </x:c>
      <x:c r="F41" s="73" t="s">
        <x:v>195</x:v>
      </x:c>
      <x:c r="G41" s="73" t="s">
        <x:v>31</x:v>
      </x:c>
      <x:c r="H41" s="73" t="s">
        <x:v>196</x:v>
      </x:c>
      <x:c r="I41" s="73" t="n">
        <x:v>30</x:v>
      </x:c>
      <x:c r="J41" s="73" t="n">
        <x:v>60</x:v>
      </x:c>
      <x:c r="K41" s="73" t="s">
        <x:v>72</x:v>
      </x:c>
      <x:c r="L41" s="73" t="n">
        <x:v>2023</x:v>
      </x:c>
      <x:c r="M41" s="73" t="n">
        <x:v>1</x:v>
      </x:c>
      <x:c r="N41" s="73" t="n">
        <x:v>28</x:v>
      </x:c>
      <x:c r="O41" s="73" t="n">
        <x:v>9</x:v>
      </x:c>
    </x:row>
    <x:row r="42" ht="15" hidden="0">
      <x:c r="A42" s="73" t="n">
        <x:v>41</x:v>
      </x:c>
      <x:c r="B42" s="73" t="n">
        <x:v>42</x:v>
      </x:c>
      <x:c r="C42" s="73" t="s">
        <x:v>197</x:v>
      </x:c>
      <x:c r="D42" s="73" t="s">
        <x:v>16</x:v>
      </x:c>
      <x:c r="E42" s="73" t="s">
        <x:v>198</x:v>
      </x:c>
      <x:c r="F42" s="73" t="s">
        <x:v>199</x:v>
      </x:c>
      <x:c r="G42" s="73" t="s">
        <x:v>19</x:v>
      </x:c>
      <x:c r="H42" s="73" t="s">
        <x:v>200</x:v>
      </x:c>
      <x:c r="I42" s="73" t="n">
        <x:v>25</x:v>
      </x:c>
      <x:c r="J42" s="73" t="n">
        <x:v>50</x:v>
      </x:c>
      <x:c r="K42" s="73" t="s">
        <x:v>21</x:v>
      </x:c>
      <x:c r="L42" s="73" t="n">
        <x:v>2023</x:v>
      </x:c>
      <x:c r="M42" s="73" t="n">
        <x:v>1</x:v>
      </x:c>
      <x:c r="N42" s="73" t="n">
        <x:v>28</x:v>
      </x:c>
      <x:c r="O42" s="73" t="n">
        <x:v>14</x:v>
      </x:c>
    </x:row>
    <x:row r="43" ht="15" hidden="0">
      <x:c r="A43" s="73" t="n">
        <x:v>42</x:v>
      </x:c>
      <x:c r="B43" s="73" t="n">
        <x:v>43</x:v>
      </x:c>
      <x:c r="C43" s="73" t="s">
        <x:v>201</x:v>
      </x:c>
      <x:c r="D43" s="73" t="s">
        <x:v>16</x:v>
      </x:c>
      <x:c r="E43" s="73" t="s">
        <x:v>202</x:v>
      </x:c>
      <x:c r="F43" s="73" t="s">
        <x:v>203</x:v>
      </x:c>
      <x:c r="G43" s="73" t="s">
        <x:v>37</x:v>
      </x:c>
      <x:c r="H43" s="73" t="s">
        <x:v>204</x:v>
      </x:c>
      <x:c r="I43" s="73" t="n">
        <x:v>15</x:v>
      </x:c>
      <x:c r="J43" s="73" t="n">
        <x:v>30</x:v>
      </x:c>
      <x:c r="K43" s="73" t="s">
        <x:v>137</x:v>
      </x:c>
      <x:c r="L43" s="73" t="n">
        <x:v>2023</x:v>
      </x:c>
      <x:c r="M43" s="73" t="n">
        <x:v>1</x:v>
      </x:c>
      <x:c r="N43" s="73" t="n">
        <x:v>28</x:v>
      </x:c>
      <x:c r="O43" s="73" t="n">
        <x:v>19</x:v>
      </x:c>
    </x:row>
    <x:row r="44" ht="15" hidden="0">
      <x:c r="A44" s="73" t="n">
        <x:v>43</x:v>
      </x:c>
      <x:c r="B44" s="73" t="n">
        <x:v>44</x:v>
      </x:c>
      <x:c r="C44" s="73" t="s">
        <x:v>205</x:v>
      </x:c>
      <x:c r="D44" s="73" t="s">
        <x:v>16</x:v>
      </x:c>
      <x:c r="E44" s="73" t="s">
        <x:v>206</x:v>
      </x:c>
      <x:c r="F44" s="73" t="s">
        <x:v>207</x:v>
      </x:c>
      <x:c r="G44" s="73" t="s">
        <x:v>31</x:v>
      </x:c>
      <x:c r="H44" s="73" t="s">
        <x:v>208</x:v>
      </x:c>
      <x:c r="I44" s="73" t="n">
        <x:v>22</x:v>
      </x:c>
      <x:c r="J44" s="73" t="n">
        <x:v>45</x:v>
      </x:c>
      <x:c r="K44" s="73" t="s">
        <x:v>209</x:v>
      </x:c>
      <x:c r="L44" s="73" t="n">
        <x:v>2023</x:v>
      </x:c>
      <x:c r="M44" s="73" t="n">
        <x:v>1</x:v>
      </x:c>
      <x:c r="N44" s="73" t="n">
        <x:v>29</x:v>
      </x:c>
      <x:c r="O44" s="73" t="n">
        <x:v>17</x:v>
      </x:c>
    </x:row>
    <x:row r="45" ht="15" hidden="0">
      <x:c r="A45" s="73" t="n">
        <x:v>44</x:v>
      </x:c>
      <x:c r="B45" s="73" t="n">
        <x:v>45</x:v>
      </x:c>
      <x:c r="C45" s="73" t="s">
        <x:v>210</x:v>
      </x:c>
      <x:c r="D45" s="73" t="s">
        <x:v>16</x:v>
      </x:c>
      <x:c r="E45" s="73" t="s">
        <x:v>211</x:v>
      </x:c>
      <x:c r="F45" s="73" t="s">
        <x:v>212</x:v>
      </x:c>
      <x:c r="G45" s="73" t="s">
        <x:v>19</x:v>
      </x:c>
      <x:c r="H45" s="73" t="s">
        <x:v>213</x:v>
      </x:c>
      <x:c r="I45" s="73" t="n">
        <x:v>18</x:v>
      </x:c>
      <x:c r="J45" s="73" t="n">
        <x:v>35</x:v>
      </x:c>
      <x:c r="K45" s="73" t="s">
        <x:v>27</x:v>
      </x:c>
      <x:c r="L45" s="73" t="n">
        <x:v>2023</x:v>
      </x:c>
      <x:c r="M45" s="73" t="n">
        <x:v>1</x:v>
      </x:c>
      <x:c r="N45" s="73" t="n">
        <x:v>29</x:v>
      </x:c>
      <x:c r="O45" s="73" t="n">
        <x:v>20</x:v>
      </x:c>
    </x:row>
    <x:row r="46" ht="15" hidden="0">
      <x:c r="A46" s="73" t="n">
        <x:v>45</x:v>
      </x:c>
      <x:c r="B46" s="73" t="n">
        <x:v>46</x:v>
      </x:c>
      <x:c r="C46" s="73" t="s">
        <x:v>214</x:v>
      </x:c>
      <x:c r="D46" s="73" t="s">
        <x:v>16</x:v>
      </x:c>
      <x:c r="E46" s="73" t="s">
        <x:v>215</x:v>
      </x:c>
      <x:c r="F46" s="73" t="s">
        <x:v>216</x:v>
      </x:c>
      <x:c r="G46" s="73" t="s">
        <x:v>37</x:v>
      </x:c>
      <x:c r="H46" s="73" t="s">
        <x:v>217</x:v>
      </x:c>
      <x:c r="I46" s="73" t="n">
        <x:v>15</x:v>
      </x:c>
      <x:c r="J46" s="73" t="n">
        <x:v>30</x:v>
      </x:c>
      <x:c r="K46" s="73" t="s">
        <x:v>21</x:v>
      </x:c>
      <x:c r="L46" s="73" t="n">
        <x:v>2023</x:v>
      </x:c>
      <x:c r="M46" s="73" t="n">
        <x:v>1</x:v>
      </x:c>
      <x:c r="N46" s="73" t="n">
        <x:v>30</x:v>
      </x:c>
      <x:c r="O46" s="73" t="n">
        <x:v>11</x:v>
      </x:c>
    </x:row>
    <x:row r="47" ht="15" hidden="0">
      <x:c r="A47" s="73" t="n">
        <x:v>46</x:v>
      </x:c>
      <x:c r="B47" s="73" t="n">
        <x:v>47</x:v>
      </x:c>
      <x:c r="C47" s="73" t="s">
        <x:v>218</x:v>
      </x:c>
      <x:c r="D47" s="73" t="s">
        <x:v>16</x:v>
      </x:c>
      <x:c r="E47" s="73" t="s">
        <x:v>219</x:v>
      </x:c>
      <x:c r="F47" s="73" t="s">
        <x:v>220</x:v>
      </x:c>
      <x:c r="G47" s="73" t="s">
        <x:v>31</x:v>
      </x:c>
      <x:c r="H47" s="73" t="s">
        <x:v>221</x:v>
      </x:c>
      <x:c r="I47" s="73" t="n">
        <x:v>12</x:v>
      </x:c>
      <x:c r="J47" s="73" t="n">
        <x:v>25</x:v>
      </x:c>
      <x:c r="K47" s="73" t="s">
        <x:v>222</x:v>
      </x:c>
      <x:c r="L47" s="73" t="n">
        <x:v>2023</x:v>
      </x:c>
      <x:c r="M47" s="73" t="n">
        <x:v>1</x:v>
      </x:c>
      <x:c r="N47" s="73" t="n">
        <x:v>30</x:v>
      </x:c>
      <x:c r="O47" s="73" t="n">
        <x:v>15</x:v>
      </x:c>
    </x:row>
    <x:row r="48" ht="15" hidden="0">
      <x:c r="A48" s="73" t="n">
        <x:v>47</x:v>
      </x:c>
      <x:c r="B48" s="73" t="n">
        <x:v>48</x:v>
      </x:c>
      <x:c r="C48" s="73" t="s">
        <x:v>223</x:v>
      </x:c>
      <x:c r="D48" s="73" t="s">
        <x:v>16</x:v>
      </x:c>
      <x:c r="E48" s="73" t="s">
        <x:v>224</x:v>
      </x:c>
      <x:c r="F48" s="73" t="s">
        <x:v>225</x:v>
      </x:c>
      <x:c r="G48" s="73" t="s">
        <x:v>19</x:v>
      </x:c>
      <x:c r="H48" s="73" t="s">
        <x:v>226</x:v>
      </x:c>
      <x:c r="I48" s="73" t="n">
        <x:v>28</x:v>
      </x:c>
      <x:c r="J48" s="73" t="n">
        <x:v>55</x:v>
      </x:c>
      <x:c r="K48" s="73" t="s">
        <x:v>50</x:v>
      </x:c>
      <x:c r="L48" s="73" t="n">
        <x:v>2023</x:v>
      </x:c>
      <x:c r="M48" s="73" t="n">
        <x:v>1</x:v>
      </x:c>
      <x:c r="N48" s="73" t="n">
        <x:v>30</x:v>
      </x:c>
      <x:c r="O48" s="73" t="n">
        <x:v>18</x:v>
      </x:c>
    </x:row>
    <x:row r="49" ht="15" hidden="0">
      <x:c r="A49" s="73" t="n">
        <x:v>48</x:v>
      </x:c>
      <x:c r="B49" s="73" t="n">
        <x:v>49</x:v>
      </x:c>
      <x:c r="C49" s="73" t="s">
        <x:v>227</x:v>
      </x:c>
      <x:c r="D49" s="73" t="s">
        <x:v>16</x:v>
      </x:c>
      <x:c r="E49" s="73" t="s">
        <x:v>228</x:v>
      </x:c>
      <x:c r="F49" s="73" t="s">
        <x:v>229</x:v>
      </x:c>
      <x:c r="G49" s="73" t="s">
        <x:v>37</x:v>
      </x:c>
      <x:c r="H49" s="73" t="s">
        <x:v>230</x:v>
      </x:c>
      <x:c r="I49" s="73" t="n">
        <x:v>15</x:v>
      </x:c>
      <x:c r="J49" s="73" t="n">
        <x:v>30</x:v>
      </x:c>
      <x:c r="K49" s="73" t="s">
        <x:v>45</x:v>
      </x:c>
      <x:c r="L49" s="73" t="n">
        <x:v>2023</x:v>
      </x:c>
      <x:c r="M49" s="73" t="n">
        <x:v>1</x:v>
      </x:c>
      <x:c r="N49" s="73" t="n">
        <x:v>31</x:v>
      </x:c>
      <x:c r="O49" s="73" t="n">
        <x:v>10</x:v>
      </x:c>
    </x:row>
    <x:row r="50" ht="15" hidden="0">
      <x:c r="A50" s="73" t="n">
        <x:v>49</x:v>
      </x:c>
      <x:c r="B50" s="73" t="n">
        <x:v>50</x:v>
      </x:c>
      <x:c r="C50" s="73" t="s">
        <x:v>231</x:v>
      </x:c>
      <x:c r="D50" s="73" t="s">
        <x:v>16</x:v>
      </x:c>
      <x:c r="E50" s="73" t="s">
        <x:v>232</x:v>
      </x:c>
      <x:c r="F50" s="73" t="s">
        <x:v>233</x:v>
      </x:c>
      <x:c r="G50" s="73" t="s">
        <x:v>31</x:v>
      </x:c>
      <x:c r="H50" s="73" t="s">
        <x:v>234</x:v>
      </x:c>
      <x:c r="I50" s="73" t="n">
        <x:v>20</x:v>
      </x:c>
      <x:c r="J50" s="73" t="n">
        <x:v>40</x:v>
      </x:c>
      <x:c r="K50" s="73" t="s">
        <x:v>110</x:v>
      </x:c>
      <x:c r="L50" s="73" t="n">
        <x:v>2023</x:v>
      </x:c>
      <x:c r="M50" s="73" t="n">
        <x:v>1</x:v>
      </x:c>
      <x:c r="N50" s="73" t="n">
        <x:v>31</x:v>
      </x:c>
      <x:c r="O50" s="73" t="n">
        <x:v>19</x:v>
      </x:c>
    </x:row>
    <x:row r="51" ht="15" hidden="0">
      <x:c r="A51" s="73" t="n">
        <x:v>50</x:v>
      </x:c>
      <x:c r="B51" s="73" t="n">
        <x:v>51</x:v>
      </x:c>
      <x:c r="C51" s="73" t="s">
        <x:v>235</x:v>
      </x:c>
      <x:c r="D51" s="73" t="s">
        <x:v>16</x:v>
      </x:c>
      <x:c r="E51" s="73" t="s">
        <x:v>236</x:v>
      </x:c>
      <x:c r="F51" s="73" t="s">
        <x:v>237</x:v>
      </x:c>
      <x:c r="G51" s="73" t="s">
        <x:v>19</x:v>
      </x:c>
      <x:c r="H51" s="73" t="s">
        <x:v>238</x:v>
      </x:c>
      <x:c r="I51" s="73" t="n">
        <x:v>15</x:v>
      </x:c>
      <x:c r="J51" s="73" t="n">
        <x:v>30</x:v>
      </x:c>
      <x:c r="K51" s="73" t="s">
        <x:v>27</x:v>
      </x:c>
      <x:c r="L51" s="73" t="n">
        <x:v>2023</x:v>
      </x:c>
      <x:c r="M51" s="73" t="n">
        <x:v>1</x:v>
      </x:c>
      <x:c r="N51" s="73" t="n">
        <x:v>31</x:v>
      </x:c>
      <x:c r="O51" s="73" t="n">
        <x:v>16</x:v>
      </x:c>
    </x:row>
    <x:row r="52" ht="15" hidden="0">
      <x:c r="A52" s="73" t="n">
        <x:v>51</x:v>
      </x:c>
      <x:c r="B52" s="73" t="n">
        <x:v>52</x:v>
      </x:c>
      <x:c r="C52" s="73" t="s">
        <x:v>239</x:v>
      </x:c>
      <x:c r="D52" s="73" t="s">
        <x:v>16</x:v>
      </x:c>
      <x:c r="E52" s="73" t="s">
        <x:v>240</x:v>
      </x:c>
      <x:c r="F52" s="73" t="s">
        <x:v>241</x:v>
      </x:c>
      <x:c r="G52" s="73" t="s">
        <x:v>37</x:v>
      </x:c>
      <x:c r="H52" s="73" t="s">
        <x:v>242</x:v>
      </x:c>
      <x:c r="I52" s="73" t="n">
        <x:v>22</x:v>
      </x:c>
      <x:c r="J52" s="73" t="n">
        <x:v>45</x:v>
      </x:c>
      <x:c r="K52" s="73" t="s">
        <x:v>243</x:v>
      </x:c>
      <x:c r="L52" s="73" t="n">
        <x:v>2023</x:v>
      </x:c>
      <x:c r="M52" s="73" t="n">
        <x:v>2</x:v>
      </x:c>
      <x:c r="N52" s="73" t="n">
        <x:v>1</x:v>
      </x:c>
      <x:c r="O52" s="73" t="n">
        <x:v>8</x:v>
      </x:c>
    </x:row>
    <x:row r="53" ht="15" hidden="0">
      <x:c r="A53" s="73" t="n">
        <x:v>52</x:v>
      </x:c>
      <x:c r="B53" s="73" t="n">
        <x:v>53</x:v>
      </x:c>
      <x:c r="C53" s="73" t="s">
        <x:v>244</x:v>
      </x:c>
      <x:c r="D53" s="73" t="s">
        <x:v>16</x:v>
      </x:c>
      <x:c r="E53" s="73" t="s">
        <x:v>245</x:v>
      </x:c>
      <x:c r="F53" s="73" t="s">
        <x:v>246</x:v>
      </x:c>
      <x:c r="G53" s="73" t="s">
        <x:v>31</x:v>
      </x:c>
      <x:c r="H53" s="73" t="s">
        <x:v>247</x:v>
      </x:c>
      <x:c r="I53" s="73" t="n">
        <x:v>18</x:v>
      </x:c>
      <x:c r="J53" s="73" t="n">
        <x:v>35</x:v>
      </x:c>
      <x:c r="K53" s="73" t="s">
        <x:v>248</x:v>
      </x:c>
      <x:c r="L53" s="73" t="n">
        <x:v>2023</x:v>
      </x:c>
      <x:c r="M53" s="73" t="n">
        <x:v>2</x:v>
      </x:c>
      <x:c r="N53" s="73" t="n">
        <x:v>1</x:v>
      </x:c>
      <x:c r="O53" s="73" t="n">
        <x:v>13</x:v>
      </x:c>
    </x:row>
    <x:row r="54" ht="15" hidden="0">
      <x:c r="A54" s="73" t="n">
        <x:v>53</x:v>
      </x:c>
      <x:c r="B54" s="73" t="n">
        <x:v>55</x:v>
      </x:c>
      <x:c r="C54" s="73" t="s">
        <x:v>249</x:v>
      </x:c>
      <x:c r="D54" s="73" t="s">
        <x:v>250</x:v>
      </x:c>
      <x:c r="E54" s="73" t="s">
        <x:v>251</x:v>
      </x:c>
      <x:c r="F54" s="73" t="s">
        <x:v>252</x:v>
      </x:c>
      <x:c r="G54" s="73" t="s">
        <x:v>19</x:v>
      </x:c>
      <x:c r="H54" s="73" t="s">
        <x:v>253</x:v>
      </x:c>
      <x:c r="I54" s="73" t="n">
        <x:v>20</x:v>
      </x:c>
      <x:c r="J54" s="73" t="n">
        <x:v>40</x:v>
      </x:c>
      <x:c r="K54" s="73" t="s">
        <x:v>254</x:v>
      </x:c>
      <x:c r="L54" s="73" t="n">
        <x:v>2023</x:v>
      </x:c>
      <x:c r="M54" s="73" t="n">
        <x:v>2</x:v>
      </x:c>
      <x:c r="N54" s="73" t="n">
        <x:v>11</x:v>
      </x:c>
      <x:c r="O54" s="73" t="n">
        <x:v>9</x:v>
      </x:c>
    </x:row>
    <x:row r="55" ht="15" hidden="0">
      <x:c r="A55" s="73" t="n">
        <x:v>54</x:v>
      </x:c>
      <x:c r="B55" s="73" t="n">
        <x:v>56</x:v>
      </x:c>
      <x:c r="C55" s="73" t="s">
        <x:v>255</x:v>
      </x:c>
      <x:c r="D55" s="73" t="s">
        <x:v>256</x:v>
      </x:c>
      <x:c r="E55" s="73" t="s">
        <x:v>257</x:v>
      </x:c>
      <x:c r="F55" s="73" t="s">
        <x:v>258</x:v>
      </x:c>
      <x:c r="G55" s="73" t="s">
        <x:v>31</x:v>
      </x:c>
      <x:c r="H55" s="73" t="s">
        <x:v>259</x:v>
      </x:c>
      <x:c r="I55" s="73" t="n">
        <x:v>15</x:v>
      </x:c>
      <x:c r="J55" s="73" t="n">
        <x:v>30</x:v>
      </x:c>
      <x:c r="K55" s="73" t="s">
        <x:v>260</x:v>
      </x:c>
      <x:c r="L55" s="73" t="n">
        <x:v>2023</x:v>
      </x:c>
      <x:c r="M55" s="73" t="n">
        <x:v>2</x:v>
      </x:c>
      <x:c r="N55" s="73" t="n">
        <x:v>11</x:v>
      </x:c>
      <x:c r="O55" s="73" t="n">
        <x:v>21</x:v>
      </x:c>
    </x:row>
    <x:row r="56" ht="15" hidden="0">
      <x:c r="A56" s="73" t="n">
        <x:v>55</x:v>
      </x:c>
      <x:c r="B56" s="73" t="n">
        <x:v>57</x:v>
      </x:c>
      <x:c r="C56" s="73" t="s">
        <x:v>261</x:v>
      </x:c>
      <x:c r="D56" s="73" t="s">
        <x:v>262</x:v>
      </x:c>
      <x:c r="E56" s="73" t="s">
        <x:v>263</x:v>
      </x:c>
      <x:c r="F56" s="73" t="s">
        <x:v>264</x:v>
      </x:c>
      <x:c r="G56" s="73" t="s">
        <x:v>37</x:v>
      </x:c>
      <x:c r="H56" s="73" t="s">
        <x:v>265</x:v>
      </x:c>
      <x:c r="I56" s="73" t="n">
        <x:v>25</x:v>
      </x:c>
      <x:c r="J56" s="73" t="n">
        <x:v>50</x:v>
      </x:c>
      <x:c r="K56" s="73" t="s">
        <x:v>266</x:v>
      </x:c>
      <x:c r="L56" s="73" t="n">
        <x:v>2023</x:v>
      </x:c>
      <x:c r="M56" s="73" t="n">
        <x:v>2</x:v>
      </x:c>
      <x:c r="N56" s="73" t="n">
        <x:v>12</x:v>
      </x:c>
      <x:c r="O56" s="73" t="n">
        <x:v>14</x:v>
      </x:c>
    </x:row>
    <x:row r="57" ht="15" hidden="0">
      <x:c r="A57" s="73" t="n">
        <x:v>56</x:v>
      </x:c>
      <x:c r="B57" s="73" t="n">
        <x:v>58</x:v>
      </x:c>
      <x:c r="C57" s="73" t="s">
        <x:v>267</x:v>
      </x:c>
      <x:c r="D57" s="73" t="s">
        <x:v>268</x:v>
      </x:c>
      <x:c r="E57" s="73" t="s">
        <x:v>269</x:v>
      </x:c>
      <x:c r="F57" s="73" t="s">
        <x:v>270</x:v>
      </x:c>
      <x:c r="G57" s="73" t="s">
        <x:v>19</x:v>
      </x:c>
      <x:c r="H57" s="73" t="s">
        <x:v>271</x:v>
      </x:c>
      <x:c r="I57" s="73" t="n">
        <x:v>18</x:v>
      </x:c>
      <x:c r="J57" s="73" t="n">
        <x:v>35</x:v>
      </x:c>
      <x:c r="K57" s="73" t="s">
        <x:v>243</x:v>
      </x:c>
      <x:c r="L57" s="73" t="n">
        <x:v>2023</x:v>
      </x:c>
      <x:c r="M57" s="73" t="n">
        <x:v>2</x:v>
      </x:c>
      <x:c r="N57" s="73" t="n">
        <x:v>12</x:v>
      </x:c>
      <x:c r="O57" s="73" t="n">
        <x:v>18</x:v>
      </x:c>
    </x:row>
    <x:row r="58" ht="15" hidden="0">
      <x:c r="A58" s="73" t="n">
        <x:v>57</x:v>
      </x:c>
      <x:c r="B58" s="73" t="n">
        <x:v>59</x:v>
      </x:c>
      <x:c r="C58" s="73" t="s">
        <x:v>272</x:v>
      </x:c>
      <x:c r="D58" s="73" t="s">
        <x:v>273</x:v>
      </x:c>
      <x:c r="E58" s="73" t="s">
        <x:v>274</x:v>
      </x:c>
      <x:c r="F58" s="73" t="s">
        <x:v>275</x:v>
      </x:c>
      <x:c r="G58" s="73" t="s">
        <x:v>31</x:v>
      </x:c>
      <x:c r="H58" s="73" t="s">
        <x:v>276</x:v>
      </x:c>
      <x:c r="I58" s="73" t="n">
        <x:v>30</x:v>
      </x:c>
      <x:c r="J58" s="73" t="n">
        <x:v>60</x:v>
      </x:c>
      <x:c r="K58" s="73" t="s">
        <x:v>123</x:v>
      </x:c>
      <x:c r="L58" s="73" t="n">
        <x:v>2023</x:v>
      </x:c>
      <x:c r="M58" s="73" t="n">
        <x:v>2</x:v>
      </x:c>
      <x:c r="N58" s="73" t="n">
        <x:v>13</x:v>
      </x:c>
      <x:c r="O58" s="73" t="n">
        <x:v>10</x:v>
      </x:c>
    </x:row>
    <x:row r="59" ht="15" hidden="0">
      <x:c r="A59" s="73" t="n">
        <x:v>58</x:v>
      </x:c>
      <x:c r="B59" s="73" t="n">
        <x:v>60</x:v>
      </x:c>
      <x:c r="C59" s="73" t="s">
        <x:v>277</x:v>
      </x:c>
      <x:c r="D59" s="73" t="s">
        <x:v>278</x:v>
      </x:c>
      <x:c r="E59" s="73" t="s">
        <x:v>279</x:v>
      </x:c>
      <x:c r="F59" s="73" t="s">
        <x:v>280</x:v>
      </x:c>
      <x:c r="G59" s="73" t="s">
        <x:v>37</x:v>
      </x:c>
      <x:c r="H59" s="73" t="s">
        <x:v>281</x:v>
      </x:c>
      <x:c r="I59" s="73" t="n">
        <x:v>22</x:v>
      </x:c>
      <x:c r="J59" s="73" t="n">
        <x:v>45</x:v>
      </x:c>
      <x:c r="K59" s="73" t="s">
        <x:v>97</x:v>
      </x:c>
      <x:c r="L59" s="73" t="n">
        <x:v>2023</x:v>
      </x:c>
      <x:c r="M59" s="73" t="n">
        <x:v>2</x:v>
      </x:c>
      <x:c r="N59" s="73" t="n">
        <x:v>13</x:v>
      </x:c>
      <x:c r="O59" s="73" t="n">
        <x:v>19</x:v>
      </x:c>
    </x:row>
    <x:row r="60" ht="15" hidden="0">
      <x:c r="A60" s="73" t="n">
        <x:v>59</x:v>
      </x:c>
      <x:c r="B60" s="73" t="n">
        <x:v>61</x:v>
      </x:c>
      <x:c r="C60" s="73" t="s">
        <x:v>282</x:v>
      </x:c>
      <x:c r="D60" s="73" t="s">
        <x:v>283</x:v>
      </x:c>
      <x:c r="E60" s="73" t="s">
        <x:v>284</x:v>
      </x:c>
      <x:c r="F60" s="73" t="s">
        <x:v>285</x:v>
      </x:c>
      <x:c r="G60" s="73" t="s">
        <x:v>19</x:v>
      </x:c>
      <x:c r="H60" s="73" t="s">
        <x:v>286</x:v>
      </x:c>
      <x:c r="I60" s="73" t="n">
        <x:v>15</x:v>
      </x:c>
      <x:c r="J60" s="73" t="n">
        <x:v>30</x:v>
      </x:c>
      <x:c r="K60" s="73" t="s">
        <x:v>287</x:v>
      </x:c>
      <x:c r="L60" s="73" t="n">
        <x:v>2023</x:v>
      </x:c>
      <x:c r="M60" s="73" t="n">
        <x:v>2</x:v>
      </x:c>
      <x:c r="N60" s="73" t="n">
        <x:v>14</x:v>
      </x:c>
      <x:c r="O60" s="73" t="n">
        <x:v>8</x:v>
      </x:c>
    </x:row>
    <x:row r="61" ht="15" hidden="0">
      <x:c r="A61" s="73" t="n">
        <x:v>60</x:v>
      </x:c>
      <x:c r="B61" s="73" t="n">
        <x:v>62</x:v>
      </x:c>
      <x:c r="C61" s="73" t="s">
        <x:v>288</x:v>
      </x:c>
      <x:c r="D61" s="73" t="s">
        <x:v>289</x:v>
      </x:c>
      <x:c r="E61" s="73" t="s">
        <x:v>290</x:v>
      </x:c>
      <x:c r="F61" s="73" t="s">
        <x:v>291</x:v>
      </x:c>
      <x:c r="G61" s="73" t="s">
        <x:v>31</x:v>
      </x:c>
      <x:c r="H61" s="73" t="s">
        <x:v>292</x:v>
      </x:c>
      <x:c r="I61" s="73" t="n">
        <x:v>18</x:v>
      </x:c>
      <x:c r="J61" s="73" t="n">
        <x:v>35</x:v>
      </x:c>
      <x:c r="K61" s="73" t="s">
        <x:v>293</x:v>
      </x:c>
      <x:c r="L61" s="73" t="n">
        <x:v>2023</x:v>
      </x:c>
      <x:c r="M61" s="73" t="n">
        <x:v>2</x:v>
      </x:c>
      <x:c r="N61" s="73" t="n">
        <x:v>14</x:v>
      </x:c>
      <x:c r="O61" s="73" t="n">
        <x:v>14</x:v>
      </x:c>
    </x:row>
    <x:row r="62" ht="15" hidden="0">
      <x:c r="A62" s="73" t="n">
        <x:v>61</x:v>
      </x:c>
      <x:c r="B62" s="73" t="n">
        <x:v>63</x:v>
      </x:c>
      <x:c r="C62" s="73" t="s">
        <x:v>294</x:v>
      </x:c>
      <x:c r="D62" s="73" t="s">
        <x:v>295</x:v>
      </x:c>
      <x:c r="E62" s="73" t="s">
        <x:v>296</x:v>
      </x:c>
      <x:c r="F62" s="73" t="s">
        <x:v>297</x:v>
      </x:c>
      <x:c r="G62" s="73" t="s">
        <x:v>37</x:v>
      </x:c>
      <x:c r="H62" s="73" t="s">
        <x:v>298</x:v>
      </x:c>
      <x:c r="I62" s="73" t="n">
        <x:v>25</x:v>
      </x:c>
      <x:c r="J62" s="73" t="n">
        <x:v>50</x:v>
      </x:c>
      <x:c r="K62" s="73" t="s">
        <x:v>299</x:v>
      </x:c>
      <x:c r="L62" s="73" t="n">
        <x:v>2023</x:v>
      </x:c>
      <x:c r="M62" s="73" t="n">
        <x:v>2</x:v>
      </x:c>
      <x:c r="N62" s="73" t="n">
        <x:v>14</x:v>
      </x:c>
      <x:c r="O62" s="73" t="n">
        <x:v>19</x:v>
      </x:c>
    </x:row>
    <x:row r="63" ht="15" hidden="0">
      <x:c r="A63" s="73" t="n">
        <x:v>62</x:v>
      </x:c>
      <x:c r="B63" s="73" t="n">
        <x:v>64</x:v>
      </x:c>
      <x:c r="C63" s="73" t="s">
        <x:v>300</x:v>
      </x:c>
      <x:c r="D63" s="73" t="s">
        <x:v>301</x:v>
      </x:c>
      <x:c r="E63" s="73" t="s">
        <x:v>302</x:v>
      </x:c>
      <x:c r="F63" s="73" t="s">
        <x:v>303</x:v>
      </x:c>
      <x:c r="G63" s="73" t="s">
        <x:v>19</x:v>
      </x:c>
      <x:c r="H63" s="73" t="s">
        <x:v>304</x:v>
      </x:c>
      <x:c r="I63" s="73" t="n">
        <x:v>20</x:v>
      </x:c>
      <x:c r="J63" s="73" t="n">
        <x:v>40</x:v>
      </x:c>
      <x:c r="K63" s="73" t="s">
        <x:v>110</x:v>
      </x:c>
      <x:c r="L63" s="73" t="n">
        <x:v>2023</x:v>
      </x:c>
      <x:c r="M63" s="73" t="n">
        <x:v>2</x:v>
      </x:c>
      <x:c r="N63" s="73" t="n">
        <x:v>15</x:v>
      </x:c>
      <x:c r="O63" s="73" t="n">
        <x:v>11</x:v>
      </x:c>
    </x:row>
    <x:row r="64" ht="15" hidden="0">
      <x:c r="A64" s="73" t="n">
        <x:v>63</x:v>
      </x:c>
      <x:c r="B64" s="73" t="n">
        <x:v>65</x:v>
      </x:c>
      <x:c r="C64" s="73" t="s">
        <x:v>305</x:v>
      </x:c>
      <x:c r="D64" s="73" t="s">
        <x:v>306</x:v>
      </x:c>
      <x:c r="E64" s="73" t="s">
        <x:v>307</x:v>
      </x:c>
      <x:c r="F64" s="73" t="s">
        <x:v>308</x:v>
      </x:c>
      <x:c r="G64" s="73" t="s">
        <x:v>31</x:v>
      </x:c>
      <x:c r="H64" s="73" t="s">
        <x:v>309</x:v>
      </x:c>
      <x:c r="I64" s="73" t="n">
        <x:v>15</x:v>
      </x:c>
      <x:c r="J64" s="73" t="n">
        <x:v>30</x:v>
      </x:c>
      <x:c r="K64" s="73" t="s">
        <x:v>72</x:v>
      </x:c>
      <x:c r="L64" s="73" t="n">
        <x:v>2023</x:v>
      </x:c>
      <x:c r="M64" s="73" t="n">
        <x:v>2</x:v>
      </x:c>
      <x:c r="N64" s="73" t="n">
        <x:v>15</x:v>
      </x:c>
      <x:c r="O64" s="73" t="n">
        <x:v>16</x:v>
      </x:c>
    </x:row>
    <x:row r="65" ht="15" hidden="0">
      <x:c r="A65" s="73" t="n">
        <x:v>64</x:v>
      </x:c>
      <x:c r="B65" s="73" t="n">
        <x:v>66</x:v>
      </x:c>
      <x:c r="C65" s="73" t="s">
        <x:v>310</x:v>
      </x:c>
      <x:c r="D65" s="73" t="s">
        <x:v>311</x:v>
      </x:c>
      <x:c r="E65" s="73" t="s">
        <x:v>312</x:v>
      </x:c>
      <x:c r="F65" s="73" t="s">
        <x:v>313</x:v>
      </x:c>
      <x:c r="G65" s="73" t="s">
        <x:v>37</x:v>
      </x:c>
      <x:c r="H65" s="73" t="s">
        <x:v>314</x:v>
      </x:c>
      <x:c r="I65" s="73" t="n">
        <x:v>22</x:v>
      </x:c>
      <x:c r="J65" s="73" t="n">
        <x:v>45</x:v>
      </x:c>
      <x:c r="K65" s="73" t="s">
        <x:v>315</x:v>
      </x:c>
      <x:c r="L65" s="73" t="n">
        <x:v>2023</x:v>
      </x:c>
      <x:c r="M65" s="73" t="n">
        <x:v>2</x:v>
      </x:c>
      <x:c r="N65" s="73" t="n">
        <x:v>15</x:v>
      </x:c>
      <x:c r="O65" s="73" t="n">
        <x:v>20</x:v>
      </x:c>
    </x:row>
    <x:row r="66" ht="15" hidden="0">
      <x:c r="A66" s="73" t="n">
        <x:v>65</x:v>
      </x:c>
      <x:c r="B66" s="73" t="n">
        <x:v>67</x:v>
      </x:c>
      <x:c r="C66" s="73" t="s">
        <x:v>316</x:v>
      </x:c>
      <x:c r="D66" s="73" t="s">
        <x:v>317</x:v>
      </x:c>
      <x:c r="E66" s="73" t="s">
        <x:v>318</x:v>
      </x:c>
      <x:c r="F66" s="73" t="s">
        <x:v>319</x:v>
      </x:c>
      <x:c r="G66" s="73" t="s">
        <x:v>19</x:v>
      </x:c>
      <x:c r="H66" s="73" t="s">
        <x:v>320</x:v>
      </x:c>
      <x:c r="I66" s="73" t="n">
        <x:v>18</x:v>
      </x:c>
      <x:c r="J66" s="73" t="n">
        <x:v>35</x:v>
      </x:c>
      <x:c r="K66" s="73" t="s">
        <x:v>266</x:v>
      </x:c>
      <x:c r="L66" s="73" t="n">
        <x:v>2023</x:v>
      </x:c>
      <x:c r="M66" s="73" t="n">
        <x:v>2</x:v>
      </x:c>
      <x:c r="N66" s="73" t="n">
        <x:v>16</x:v>
      </x:c>
      <x:c r="O66" s="73" t="n">
        <x:v>9</x:v>
      </x:c>
    </x:row>
    <x:row r="67" ht="15" hidden="0">
      <x:c r="A67" s="73" t="n">
        <x:v>66</x:v>
      </x:c>
      <x:c r="B67" s="73" t="n">
        <x:v>68</x:v>
      </x:c>
      <x:c r="C67" s="73" t="s">
        <x:v>321</x:v>
      </x:c>
      <x:c r="D67" s="73" t="s">
        <x:v>322</x:v>
      </x:c>
      <x:c r="E67" s="73" t="s">
        <x:v>323</x:v>
      </x:c>
      <x:c r="F67" s="73" t="s">
        <x:v>324</x:v>
      </x:c>
      <x:c r="G67" s="73" t="s">
        <x:v>31</x:v>
      </x:c>
      <x:c r="H67" s="73" t="s">
        <x:v>325</x:v>
      </x:c>
      <x:c r="I67" s="73" t="n">
        <x:v>25</x:v>
      </x:c>
      <x:c r="J67" s="73" t="n">
        <x:v>50</x:v>
      </x:c>
      <x:c r="K67" s="73" t="s">
        <x:v>260</x:v>
      </x:c>
      <x:c r="L67" s="73" t="n">
        <x:v>2023</x:v>
      </x:c>
      <x:c r="M67" s="73" t="n">
        <x:v>2</x:v>
      </x:c>
      <x:c r="N67" s="73" t="n">
        <x:v>16</x:v>
      </x:c>
      <x:c r="O67" s="73" t="n">
        <x:v>14</x:v>
      </x:c>
    </x:row>
    <x:row r="68" ht="15" hidden="0">
      <x:c r="A68" s="73" t="n">
        <x:v>67</x:v>
      </x:c>
      <x:c r="B68" s="73" t="n">
        <x:v>69</x:v>
      </x:c>
      <x:c r="C68" s="73" t="s">
        <x:v>326</x:v>
      </x:c>
      <x:c r="D68" s="73" t="s">
        <x:v>327</x:v>
      </x:c>
      <x:c r="E68" s="73" t="s">
        <x:v>328</x:v>
      </x:c>
      <x:c r="F68" s="73" t="s">
        <x:v>329</x:v>
      </x:c>
      <x:c r="G68" s="73" t="s">
        <x:v>37</x:v>
      </x:c>
      <x:c r="H68" s="73" t="s">
        <x:v>330</x:v>
      </x:c>
      <x:c r="I68" s="73" t="n">
        <x:v>15</x:v>
      </x:c>
      <x:c r="J68" s="73" t="n">
        <x:v>30</x:v>
      </x:c>
      <x:c r="K68" s="73" t="s">
        <x:v>254</x:v>
      </x:c>
      <x:c r="L68" s="73" t="n">
        <x:v>2023</x:v>
      </x:c>
      <x:c r="M68" s="73" t="n">
        <x:v>2</x:v>
      </x:c>
      <x:c r="N68" s="73" t="n">
        <x:v>16</x:v>
      </x:c>
      <x:c r="O68" s="73" t="n">
        <x:v>18</x:v>
      </x:c>
    </x:row>
    <x:row r="69" ht="15" hidden="0">
      <x:c r="A69" s="73" t="n">
        <x:v>68</x:v>
      </x:c>
      <x:c r="B69" s="73" t="n">
        <x:v>70</x:v>
      </x:c>
      <x:c r="C69" s="73" t="s">
        <x:v>331</x:v>
      </x:c>
      <x:c r="D69" s="73" t="s">
        <x:v>332</x:v>
      </x:c>
      <x:c r="E69" s="73" t="s">
        <x:v>333</x:v>
      </x:c>
      <x:c r="F69" s="73" t="s">
        <x:v>334</x:v>
      </x:c>
      <x:c r="G69" s="73" t="s">
        <x:v>19</x:v>
      </x:c>
      <x:c r="H69" s="73" t="s">
        <x:v>335</x:v>
      </x:c>
      <x:c r="I69" s="73" t="n">
        <x:v>22</x:v>
      </x:c>
      <x:c r="J69" s="73" t="n">
        <x:v>45</x:v>
      </x:c>
      <x:c r="K69" s="73" t="s">
        <x:v>160</x:v>
      </x:c>
      <x:c r="L69" s="73" t="n">
        <x:v>2023</x:v>
      </x:c>
      <x:c r="M69" s="73" t="n">
        <x:v>2</x:v>
      </x:c>
      <x:c r="N69" s="73" t="n">
        <x:v>17</x:v>
      </x:c>
      <x:c r="O69" s="73" t="n">
        <x:v>10</x:v>
      </x:c>
    </x:row>
    <x:row r="70" ht="15" hidden="0">
      <x:c r="A70" s="73" t="n">
        <x:v>69</x:v>
      </x:c>
      <x:c r="B70" s="73" t="n">
        <x:v>71</x:v>
      </x:c>
      <x:c r="C70" s="73" t="s">
        <x:v>336</x:v>
      </x:c>
      <x:c r="D70" s="73" t="s">
        <x:v>337</x:v>
      </x:c>
      <x:c r="E70" s="73" t="s">
        <x:v>338</x:v>
      </x:c>
      <x:c r="F70" s="73" t="s">
        <x:v>339</x:v>
      </x:c>
      <x:c r="G70" s="73" t="s">
        <x:v>31</x:v>
      </x:c>
      <x:c r="H70" s="73" t="s">
        <x:v>340</x:v>
      </x:c>
      <x:c r="I70" s="73" t="n">
        <x:v>20</x:v>
      </x:c>
      <x:c r="J70" s="73" t="n">
        <x:v>40</x:v>
      </x:c>
      <x:c r="K70" s="73" t="s">
        <x:v>72</x:v>
      </x:c>
      <x:c r="L70" s="73" t="n">
        <x:v>2023</x:v>
      </x:c>
      <x:c r="M70" s="73" t="n">
        <x:v>2</x:v>
      </x:c>
      <x:c r="N70" s="73" t="n">
        <x:v>17</x:v>
      </x:c>
      <x:c r="O70" s="73" t="n">
        <x:v>7</x:v>
      </x:c>
    </x:row>
    <x:row r="71" ht="15" hidden="0">
      <x:c r="A71" s="73" t="n">
        <x:v>70</x:v>
      </x:c>
      <x:c r="B71" s="73" t="n">
        <x:v>72</x:v>
      </x:c>
      <x:c r="C71" s="73" t="s">
        <x:v>341</x:v>
      </x:c>
      <x:c r="D71" s="73" t="s">
        <x:v>342</x:v>
      </x:c>
      <x:c r="E71" s="73" t="s">
        <x:v>343</x:v>
      </x:c>
      <x:c r="F71" s="73" t="s">
        <x:v>344</x:v>
      </x:c>
      <x:c r="G71" s="73" t="s">
        <x:v>37</x:v>
      </x:c>
      <x:c r="H71" s="73" t="s">
        <x:v>345</x:v>
      </x:c>
      <x:c r="I71" s="73" t="n">
        <x:v>18</x:v>
      </x:c>
      <x:c r="J71" s="73" t="n">
        <x:v>35</x:v>
      </x:c>
      <x:c r="K71" s="73" t="s">
        <x:v>110</x:v>
      </x:c>
      <x:c r="L71" s="73" t="n">
        <x:v>2023</x:v>
      </x:c>
      <x:c r="M71" s="73" t="n">
        <x:v>2</x:v>
      </x:c>
      <x:c r="N71" s="73" t="n">
        <x:v>17</x:v>
      </x:c>
      <x:c r="O71" s="73" t="n">
        <x:v>15</x:v>
      </x:c>
    </x:row>
    <x:row r="72" ht="15" hidden="0">
      <x:c r="A72" s="73" t="n">
        <x:v>71</x:v>
      </x:c>
      <x:c r="B72" s="73" t="n">
        <x:v>73</x:v>
      </x:c>
      <x:c r="C72" s="73" t="s">
        <x:v>346</x:v>
      </x:c>
      <x:c r="D72" s="73" t="s">
        <x:v>347</x:v>
      </x:c>
      <x:c r="E72" s="73" t="s">
        <x:v>348</x:v>
      </x:c>
      <x:c r="F72" s="73" t="s">
        <x:v>349</x:v>
      </x:c>
      <x:c r="G72" s="73" t="s">
        <x:v>19</x:v>
      </x:c>
      <x:c r="H72" s="73" t="s">
        <x:v>350</x:v>
      </x:c>
      <x:c r="I72" s="73" t="n">
        <x:v>15</x:v>
      </x:c>
      <x:c r="J72" s="73" t="n">
        <x:v>30</x:v>
      </x:c>
      <x:c r="K72" s="73" t="s">
        <x:v>142</x:v>
      </x:c>
      <x:c r="L72" s="73" t="n">
        <x:v>2023</x:v>
      </x:c>
      <x:c r="M72" s="73" t="n">
        <x:v>2</x:v>
      </x:c>
      <x:c r="N72" s="73" t="n">
        <x:v>18</x:v>
      </x:c>
      <x:c r="O72" s="73" t="n">
        <x:v>9</x:v>
      </x:c>
    </x:row>
    <x:row r="73" ht="15" hidden="0">
      <x:c r="A73" s="73" t="n">
        <x:v>72</x:v>
      </x:c>
      <x:c r="B73" s="73" t="n">
        <x:v>74</x:v>
      </x:c>
      <x:c r="C73" s="73" t="s">
        <x:v>351</x:v>
      </x:c>
      <x:c r="D73" s="73" t="s">
        <x:v>352</x:v>
      </x:c>
      <x:c r="E73" s="73" t="s">
        <x:v>353</x:v>
      </x:c>
      <x:c r="F73" s="73" t="s">
        <x:v>354</x:v>
      </x:c>
      <x:c r="G73" s="73" t="s">
        <x:v>31</x:v>
      </x:c>
      <x:c r="H73" s="73" t="s">
        <x:v>355</x:v>
      </x:c>
      <x:c r="I73" s="73" t="n">
        <x:v>25</x:v>
      </x:c>
      <x:c r="J73" s="73" t="n">
        <x:v>50</x:v>
      </x:c>
      <x:c r="K73" s="73" t="s">
        <x:v>222</x:v>
      </x:c>
      <x:c r="L73" s="73" t="n">
        <x:v>2023</x:v>
      </x:c>
      <x:c r="M73" s="73" t="n">
        <x:v>2</x:v>
      </x:c>
      <x:c r="N73" s="73" t="n">
        <x:v>18</x:v>
      </x:c>
      <x:c r="O73" s="73" t="n">
        <x:v>14</x:v>
      </x:c>
    </x:row>
    <x:row r="74" ht="15" hidden="0">
      <x:c r="A74" s="73" t="n">
        <x:v>73</x:v>
      </x:c>
      <x:c r="B74" s="73" t="n">
        <x:v>75</x:v>
      </x:c>
      <x:c r="C74" s="73" t="s">
        <x:v>356</x:v>
      </x:c>
      <x:c r="D74" s="73" t="s">
        <x:v>357</x:v>
      </x:c>
      <x:c r="E74" s="73" t="s">
        <x:v>358</x:v>
      </x:c>
      <x:c r="F74" s="73" t="s">
        <x:v>359</x:v>
      </x:c>
      <x:c r="G74" s="73" t="s">
        <x:v>37</x:v>
      </x:c>
      <x:c r="H74" s="73" t="s">
        <x:v>360</x:v>
      </x:c>
      <x:c r="I74" s="73" t="n">
        <x:v>22</x:v>
      </x:c>
      <x:c r="J74" s="73" t="n">
        <x:v>45</x:v>
      </x:c>
      <x:c r="K74" s="73" t="s">
        <x:v>97</x:v>
      </x:c>
      <x:c r="L74" s="73" t="n">
        <x:v>2023</x:v>
      </x:c>
      <x:c r="M74" s="73" t="n">
        <x:v>2</x:v>
      </x:c>
      <x:c r="N74" s="73" t="n">
        <x:v>18</x:v>
      </x:c>
      <x:c r="O74" s="73" t="n">
        <x:v>18</x:v>
      </x:c>
    </x:row>
    <x:row r="75" ht="15" hidden="0">
      <x:c r="A75" s="73" t="n">
        <x:v>74</x:v>
      </x:c>
      <x:c r="B75" s="73" t="n">
        <x:v>76</x:v>
      </x:c>
      <x:c r="C75" s="73" t="s">
        <x:v>361</x:v>
      </x:c>
      <x:c r="D75" s="73" t="s">
        <x:v>362</x:v>
      </x:c>
      <x:c r="E75" s="73" t="s">
        <x:v>363</x:v>
      </x:c>
      <x:c r="F75" s="73" t="s">
        <x:v>364</x:v>
      </x:c>
      <x:c r="G75" s="73" t="s">
        <x:v>19</x:v>
      </x:c>
      <x:c r="H75" s="73" t="s">
        <x:v>365</x:v>
      </x:c>
      <x:c r="I75" s="73" t="n">
        <x:v>20</x:v>
      </x:c>
      <x:c r="J75" s="73" t="n">
        <x:v>40</x:v>
      </x:c>
      <x:c r="K75" s="73" t="s">
        <x:v>110</x:v>
      </x:c>
      <x:c r="L75" s="73" t="n">
        <x:v>2023</x:v>
      </x:c>
      <x:c r="M75" s="73" t="n">
        <x:v>2</x:v>
      </x:c>
      <x:c r="N75" s="73" t="n">
        <x:v>19</x:v>
      </x:c>
      <x:c r="O75" s="73" t="n">
        <x:v>11</x:v>
      </x:c>
    </x:row>
    <x:row r="76" ht="15" hidden="0">
      <x:c r="A76" s="73" t="n">
        <x:v>75</x:v>
      </x:c>
      <x:c r="B76" s="73" t="n">
        <x:v>77</x:v>
      </x:c>
      <x:c r="C76" s="73" t="s">
        <x:v>366</x:v>
      </x:c>
      <x:c r="D76" s="73" t="s">
        <x:v>367</x:v>
      </x:c>
      <x:c r="E76" s="73" t="s">
        <x:v>368</x:v>
      </x:c>
      <x:c r="F76" s="73" t="s">
        <x:v>369</x:v>
      </x:c>
      <x:c r="G76" s="73" t="s">
        <x:v>31</x:v>
      </x:c>
      <x:c r="H76" s="73" t="s">
        <x:v>370</x:v>
      </x:c>
      <x:c r="I76" s="73" t="n">
        <x:v>30</x:v>
      </x:c>
      <x:c r="J76" s="73" t="n">
        <x:v>60</x:v>
      </x:c>
      <x:c r="K76" s="73" t="s">
        <x:v>371</x:v>
      </x:c>
      <x:c r="L76" s="73" t="n">
        <x:v>2023</x:v>
      </x:c>
      <x:c r="M76" s="73" t="n">
        <x:v>2</x:v>
      </x:c>
      <x:c r="N76" s="73" t="n">
        <x:v>19</x:v>
      </x:c>
      <x:c r="O76" s="73" t="n">
        <x:v>16</x:v>
      </x:c>
    </x:row>
    <x:row r="77" ht="15" hidden="0">
      <x:c r="A77" s="73" t="n">
        <x:v>76</x:v>
      </x:c>
      <x:c r="B77" s="73" t="n">
        <x:v>78</x:v>
      </x:c>
      <x:c r="C77" s="73" t="s">
        <x:v>372</x:v>
      </x:c>
      <x:c r="D77" s="73" t="s">
        <x:v>373</x:v>
      </x:c>
      <x:c r="E77" s="73" t="s">
        <x:v>374</x:v>
      </x:c>
      <x:c r="F77" s="73" t="s">
        <x:v>375</x:v>
      </x:c>
      <x:c r="G77" s="73" t="s">
        <x:v>37</x:v>
      </x:c>
      <x:c r="H77" s="73" t="s">
        <x:v>376</x:v>
      </x:c>
      <x:c r="I77" s="73" t="n">
        <x:v>15</x:v>
      </x:c>
      <x:c r="J77" s="73" t="n">
        <x:v>30</x:v>
      </x:c>
      <x:c r="K77" s="73" t="s">
        <x:v>266</x:v>
      </x:c>
      <x:c r="L77" s="73" t="n">
        <x:v>2023</x:v>
      </x:c>
      <x:c r="M77" s="73" t="n">
        <x:v>2</x:v>
      </x:c>
      <x:c r="N77" s="73" t="n">
        <x:v>19</x:v>
      </x:c>
      <x:c r="O77" s="73" t="n">
        <x:v>19</x:v>
      </x:c>
    </x:row>
    <x:row r="78" ht="15" hidden="0">
      <x:c r="A78" s="73" t="n">
        <x:v>77</x:v>
      </x:c>
      <x:c r="B78" s="73" t="n">
        <x:v>79</x:v>
      </x:c>
      <x:c r="C78" s="73" t="s">
        <x:v>377</x:v>
      </x:c>
      <x:c r="D78" s="73" t="s">
        <x:v>250</x:v>
      </x:c>
      <x:c r="E78" s="73" t="s">
        <x:v>378</x:v>
      </x:c>
      <x:c r="F78" s="73" t="s">
        <x:v>379</x:v>
      </x:c>
      <x:c r="G78" s="73" t="s">
        <x:v>19</x:v>
      </x:c>
      <x:c r="H78" s="73" t="s">
        <x:v>380</x:v>
      </x:c>
      <x:c r="I78" s="73" t="n">
        <x:v>20</x:v>
      </x:c>
      <x:c r="J78" s="73" t="n">
        <x:v>40</x:v>
      </x:c>
      <x:c r="K78" s="73" t="s">
        <x:v>254</x:v>
      </x:c>
      <x:c r="L78" s="73" t="n">
        <x:v>2023</x:v>
      </x:c>
      <x:c r="M78" s="73" t="n">
        <x:v>2</x:v>
      </x:c>
      <x:c r="N78" s="73" t="n">
        <x:v>20</x:v>
      </x:c>
      <x:c r="O78" s="73" t="n">
        <x:v>9</x:v>
      </x:c>
    </x:row>
    <x:row r="79" ht="15" hidden="0">
      <x:c r="A79" s="73" t="n">
        <x:v>78</x:v>
      </x:c>
      <x:c r="B79" s="73" t="n">
        <x:v>80</x:v>
      </x:c>
      <x:c r="C79" s="73" t="s">
        <x:v>381</x:v>
      </x:c>
      <x:c r="D79" s="73" t="s">
        <x:v>256</x:v>
      </x:c>
      <x:c r="E79" s="73" t="s">
        <x:v>382</x:v>
      </x:c>
      <x:c r="F79" s="73" t="s">
        <x:v>383</x:v>
      </x:c>
      <x:c r="G79" s="73" t="s">
        <x:v>31</x:v>
      </x:c>
      <x:c r="H79" s="73" t="s">
        <x:v>384</x:v>
      </x:c>
      <x:c r="I79" s="73" t="n">
        <x:v>15</x:v>
      </x:c>
      <x:c r="J79" s="73" t="n">
        <x:v>30</x:v>
      </x:c>
      <x:c r="K79" s="73" t="s">
        <x:v>260</x:v>
      </x:c>
      <x:c r="L79" s="73" t="n">
        <x:v>2023</x:v>
      </x:c>
      <x:c r="M79" s="73" t="n">
        <x:v>2</x:v>
      </x:c>
      <x:c r="N79" s="73" t="n">
        <x:v>20</x:v>
      </x:c>
      <x:c r="O79" s="73" t="n">
        <x:v>21</x:v>
      </x:c>
    </x:row>
    <x:row r="80" ht="15" hidden="0">
      <x:c r="A80" s="73" t="n">
        <x:v>79</x:v>
      </x:c>
      <x:c r="B80" s="73" t="n">
        <x:v>81</x:v>
      </x:c>
      <x:c r="C80" s="73" t="s">
        <x:v>385</x:v>
      </x:c>
      <x:c r="D80" s="73" t="s">
        <x:v>262</x:v>
      </x:c>
      <x:c r="E80" s="73" t="s">
        <x:v>386</x:v>
      </x:c>
      <x:c r="F80" s="73" t="s">
        <x:v>387</x:v>
      </x:c>
      <x:c r="G80" s="73" t="s">
        <x:v>37</x:v>
      </x:c>
      <x:c r="H80" s="73" t="s">
        <x:v>388</x:v>
      </x:c>
      <x:c r="I80" s="73" t="n">
        <x:v>25</x:v>
      </x:c>
      <x:c r="J80" s="73" t="n">
        <x:v>50</x:v>
      </x:c>
      <x:c r="K80" s="73" t="s">
        <x:v>266</x:v>
      </x:c>
      <x:c r="L80" s="73" t="n">
        <x:v>2023</x:v>
      </x:c>
      <x:c r="M80" s="73" t="n">
        <x:v>2</x:v>
      </x:c>
      <x:c r="N80" s="73" t="n">
        <x:v>21</x:v>
      </x:c>
      <x:c r="O80" s="73" t="n">
        <x:v>14</x:v>
      </x:c>
    </x:row>
    <x:row r="81" ht="15" hidden="0">
      <x:c r="A81" s="73" t="n">
        <x:v>80</x:v>
      </x:c>
      <x:c r="B81" s="73" t="n">
        <x:v>82</x:v>
      </x:c>
      <x:c r="C81" s="73" t="s">
        <x:v>389</x:v>
      </x:c>
      <x:c r="D81" s="73" t="s">
        <x:v>268</x:v>
      </x:c>
      <x:c r="E81" s="73" t="s">
        <x:v>390</x:v>
      </x:c>
      <x:c r="F81" s="73" t="s">
        <x:v>391</x:v>
      </x:c>
      <x:c r="G81" s="73" t="s">
        <x:v>19</x:v>
      </x:c>
      <x:c r="H81" s="73" t="s">
        <x:v>392</x:v>
      </x:c>
      <x:c r="I81" s="73" t="n">
        <x:v>18</x:v>
      </x:c>
      <x:c r="J81" s="73" t="n">
        <x:v>35</x:v>
      </x:c>
      <x:c r="K81" s="73" t="s">
        <x:v>243</x:v>
      </x:c>
      <x:c r="L81" s="73" t="n">
        <x:v>2023</x:v>
      </x:c>
      <x:c r="M81" s="73" t="n">
        <x:v>2</x:v>
      </x:c>
      <x:c r="N81" s="73" t="n">
        <x:v>21</x:v>
      </x:c>
      <x:c r="O81" s="73" t="n">
        <x:v>18</x:v>
      </x:c>
    </x:row>
    <x:row r="82" ht="15" hidden="0">
      <x:c r="A82" s="73" t="n">
        <x:v>81</x:v>
      </x:c>
      <x:c r="B82" s="73" t="n">
        <x:v>83</x:v>
      </x:c>
      <x:c r="C82" s="73" t="s">
        <x:v>393</x:v>
      </x:c>
      <x:c r="D82" s="73" t="s">
        <x:v>273</x:v>
      </x:c>
      <x:c r="E82" s="73" t="s">
        <x:v>394</x:v>
      </x:c>
      <x:c r="F82" s="73" t="s">
        <x:v>395</x:v>
      </x:c>
      <x:c r="G82" s="73" t="s">
        <x:v>31</x:v>
      </x:c>
      <x:c r="H82" s="73" t="s">
        <x:v>396</x:v>
      </x:c>
      <x:c r="I82" s="73" t="n">
        <x:v>30</x:v>
      </x:c>
      <x:c r="J82" s="73" t="n">
        <x:v>60</x:v>
      </x:c>
      <x:c r="K82" s="73" t="s">
        <x:v>293</x:v>
      </x:c>
      <x:c r="L82" s="73" t="n">
        <x:v>2023</x:v>
      </x:c>
      <x:c r="M82" s="73" t="n">
        <x:v>2</x:v>
      </x:c>
      <x:c r="N82" s="73" t="n">
        <x:v>22</x:v>
      </x:c>
      <x:c r="O82" s="73" t="n">
        <x:v>10</x:v>
      </x:c>
    </x:row>
    <x:row r="83" ht="15" hidden="0">
      <x:c r="A83" s="73" t="n">
        <x:v>82</x:v>
      </x:c>
      <x:c r="B83" s="73" t="n">
        <x:v>84</x:v>
      </x:c>
      <x:c r="C83" s="73" t="s">
        <x:v>397</x:v>
      </x:c>
      <x:c r="D83" s="73" t="s">
        <x:v>278</x:v>
      </x:c>
      <x:c r="E83" s="73" t="s">
        <x:v>398</x:v>
      </x:c>
      <x:c r="F83" s="73" t="s">
        <x:v>399</x:v>
      </x:c>
      <x:c r="G83" s="73" t="s">
        <x:v>37</x:v>
      </x:c>
      <x:c r="H83" s="73" t="s">
        <x:v>400</x:v>
      </x:c>
      <x:c r="I83" s="73" t="n">
        <x:v>22</x:v>
      </x:c>
      <x:c r="J83" s="73" t="n">
        <x:v>45</x:v>
      </x:c>
      <x:c r="K83" s="73" t="s">
        <x:v>97</x:v>
      </x:c>
      <x:c r="L83" s="73" t="n">
        <x:v>2023</x:v>
      </x:c>
      <x:c r="M83" s="73" t="n">
        <x:v>2</x:v>
      </x:c>
      <x:c r="N83" s="73" t="n">
        <x:v>22</x:v>
      </x:c>
      <x:c r="O83" s="73" t="n">
        <x:v>19</x:v>
      </x:c>
    </x:row>
    <x:row r="84" ht="15" hidden="0">
      <x:c r="A84" s="73" t="n">
        <x:v>83</x:v>
      </x:c>
      <x:c r="B84" s="73" t="n">
        <x:v>85</x:v>
      </x:c>
      <x:c r="C84" s="73" t="s">
        <x:v>401</x:v>
      </x:c>
      <x:c r="D84" s="73" t="s">
        <x:v>283</x:v>
      </x:c>
      <x:c r="E84" s="73" t="s">
        <x:v>402</x:v>
      </x:c>
      <x:c r="F84" s="73" t="s">
        <x:v>403</x:v>
      </x:c>
      <x:c r="G84" s="73" t="s">
        <x:v>19</x:v>
      </x:c>
      <x:c r="H84" s="73" t="s">
        <x:v>286</x:v>
      </x:c>
      <x:c r="I84" s="73" t="n">
        <x:v>15</x:v>
      </x:c>
      <x:c r="J84" s="73" t="n">
        <x:v>30</x:v>
      </x:c>
      <x:c r="K84" s="73" t="s">
        <x:v>287</x:v>
      </x:c>
      <x:c r="L84" s="73" t="n">
        <x:v>2023</x:v>
      </x:c>
      <x:c r="M84" s="73" t="n">
        <x:v>2</x:v>
      </x:c>
      <x:c r="N84" s="73" t="n">
        <x:v>23</x:v>
      </x:c>
      <x:c r="O84" s="73" t="n">
        <x:v>8</x:v>
      </x:c>
    </x:row>
    <x:row r="85" ht="15" hidden="0">
      <x:c r="A85" s="73" t="n">
        <x:v>84</x:v>
      </x:c>
      <x:c r="B85" s="73" t="n">
        <x:v>86</x:v>
      </x:c>
      <x:c r="C85" s="73" t="s">
        <x:v>404</x:v>
      </x:c>
      <x:c r="D85" s="73" t="s">
        <x:v>289</x:v>
      </x:c>
      <x:c r="E85" s="73" t="s">
        <x:v>405</x:v>
      </x:c>
      <x:c r="F85" s="73" t="s">
        <x:v>406</x:v>
      </x:c>
      <x:c r="G85" s="73" t="s">
        <x:v>31</x:v>
      </x:c>
      <x:c r="H85" s="73" t="s">
        <x:v>407</x:v>
      </x:c>
      <x:c r="I85" s="73" t="n">
        <x:v>18</x:v>
      </x:c>
      <x:c r="J85" s="73" t="n">
        <x:v>35</x:v>
      </x:c>
      <x:c r="K85" s="73" t="s">
        <x:v>293</x:v>
      </x:c>
      <x:c r="L85" s="73" t="n">
        <x:v>2023</x:v>
      </x:c>
      <x:c r="M85" s="73" t="n">
        <x:v>2</x:v>
      </x:c>
      <x:c r="N85" s="73" t="n">
        <x:v>23</x:v>
      </x:c>
      <x:c r="O85" s="73" t="n">
        <x:v>14</x:v>
      </x:c>
    </x:row>
    <x:row r="86" ht="15" hidden="0">
      <x:c r="A86" s="73" t="n">
        <x:v>85</x:v>
      </x:c>
      <x:c r="B86" s="73" t="n">
        <x:v>87</x:v>
      </x:c>
      <x:c r="C86" s="73" t="s">
        <x:v>408</x:v>
      </x:c>
      <x:c r="D86" s="73" t="s">
        <x:v>295</x:v>
      </x:c>
      <x:c r="E86" s="73" t="s">
        <x:v>409</x:v>
      </x:c>
      <x:c r="F86" s="73" t="s">
        <x:v>410</x:v>
      </x:c>
      <x:c r="G86" s="73" t="s">
        <x:v>37</x:v>
      </x:c>
      <x:c r="H86" s="73" t="s">
        <x:v>411</x:v>
      </x:c>
      <x:c r="I86" s="73" t="n">
        <x:v>25</x:v>
      </x:c>
      <x:c r="J86" s="73" t="n">
        <x:v>50</x:v>
      </x:c>
      <x:c r="K86" s="73" t="s">
        <x:v>123</x:v>
      </x:c>
      <x:c r="L86" s="73" t="n">
        <x:v>2023</x:v>
      </x:c>
      <x:c r="M86" s="73" t="n">
        <x:v>2</x:v>
      </x:c>
      <x:c r="N86" s="73" t="n">
        <x:v>23</x:v>
      </x:c>
      <x:c r="O86" s="73" t="n">
        <x:v>19</x:v>
      </x:c>
    </x:row>
    <x:row r="87" ht="15" hidden="0">
      <x:c r="A87" s="73" t="n">
        <x:v>86</x:v>
      </x:c>
      <x:c r="B87" s="73" t="n">
        <x:v>88</x:v>
      </x:c>
      <x:c r="C87" s="73" t="s">
        <x:v>412</x:v>
      </x:c>
      <x:c r="D87" s="73" t="s">
        <x:v>301</x:v>
      </x:c>
      <x:c r="E87" s="73" t="s">
        <x:v>413</x:v>
      </x:c>
      <x:c r="F87" s="73" t="s">
        <x:v>414</x:v>
      </x:c>
      <x:c r="G87" s="73" t="s">
        <x:v>19</x:v>
      </x:c>
      <x:c r="H87" s="73" t="s">
        <x:v>415</x:v>
      </x:c>
      <x:c r="I87" s="73" t="n">
        <x:v>20</x:v>
      </x:c>
      <x:c r="J87" s="73" t="n">
        <x:v>40</x:v>
      </x:c>
      <x:c r="K87" s="73" t="s">
        <x:v>33</x:v>
      </x:c>
      <x:c r="L87" s="73" t="n">
        <x:v>2023</x:v>
      </x:c>
      <x:c r="M87" s="73" t="n">
        <x:v>2</x:v>
      </x:c>
      <x:c r="N87" s="73" t="n">
        <x:v>24</x:v>
      </x:c>
      <x:c r="O87" s="73" t="n">
        <x:v>11</x:v>
      </x:c>
    </x:row>
    <x:row r="88" ht="15" hidden="0">
      <x:c r="A88" s="73" t="n">
        <x:v>87</x:v>
      </x:c>
      <x:c r="B88" s="73" t="n">
        <x:v>89</x:v>
      </x:c>
      <x:c r="C88" s="73" t="s">
        <x:v>416</x:v>
      </x:c>
      <x:c r="D88" s="73" t="s">
        <x:v>306</x:v>
      </x:c>
      <x:c r="E88" s="73" t="s">
        <x:v>417</x:v>
      </x:c>
      <x:c r="F88" s="73" t="s">
        <x:v>418</x:v>
      </x:c>
      <x:c r="G88" s="73" t="s">
        <x:v>31</x:v>
      </x:c>
      <x:c r="H88" s="73" t="s">
        <x:v>419</x:v>
      </x:c>
      <x:c r="I88" s="73" t="n">
        <x:v>15</x:v>
      </x:c>
      <x:c r="J88" s="73" t="n">
        <x:v>30</x:v>
      </x:c>
      <x:c r="K88" s="73" t="s">
        <x:v>72</x:v>
      </x:c>
      <x:c r="L88" s="73" t="n">
        <x:v>2023</x:v>
      </x:c>
      <x:c r="M88" s="73" t="n">
        <x:v>2</x:v>
      </x:c>
      <x:c r="N88" s="73" t="n">
        <x:v>24</x:v>
      </x:c>
      <x:c r="O88" s="73" t="n">
        <x:v>16</x:v>
      </x:c>
    </x:row>
    <x:row r="89" ht="15" hidden="0">
      <x:c r="A89" s="73" t="n">
        <x:v>88</x:v>
      </x:c>
      <x:c r="B89" s="73" t="n">
        <x:v>90</x:v>
      </x:c>
      <x:c r="C89" s="73" t="s">
        <x:v>420</x:v>
      </x:c>
      <x:c r="D89" s="73" t="s">
        <x:v>311</x:v>
      </x:c>
      <x:c r="E89" s="73" t="s">
        <x:v>421</x:v>
      </x:c>
      <x:c r="F89" s="73" t="s">
        <x:v>422</x:v>
      </x:c>
      <x:c r="G89" s="73" t="s">
        <x:v>37</x:v>
      </x:c>
      <x:c r="H89" s="73" t="s">
        <x:v>423</x:v>
      </x:c>
      <x:c r="I89" s="73" t="n">
        <x:v>22</x:v>
      </x:c>
      <x:c r="J89" s="73" t="n">
        <x:v>45</x:v>
      </x:c>
      <x:c r="K89" s="73" t="s">
        <x:v>45</x:v>
      </x:c>
      <x:c r="L89" s="73" t="n">
        <x:v>2023</x:v>
      </x:c>
      <x:c r="M89" s="73" t="n">
        <x:v>2</x:v>
      </x:c>
      <x:c r="N89" s="73" t="n">
        <x:v>24</x:v>
      </x:c>
      <x:c r="O89" s="73" t="n">
        <x:v>20</x:v>
      </x:c>
    </x:row>
    <x:row r="90" ht="15" hidden="0">
      <x:c r="A90" s="73" t="n">
        <x:v>89</x:v>
      </x:c>
      <x:c r="B90" s="73" t="n">
        <x:v>91</x:v>
      </x:c>
      <x:c r="C90" s="73" t="s">
        <x:v>424</x:v>
      </x:c>
      <x:c r="D90" s="73" t="s">
        <x:v>317</x:v>
      </x:c>
      <x:c r="E90" s="73" t="s">
        <x:v>425</x:v>
      </x:c>
      <x:c r="F90" s="73" t="s">
        <x:v>426</x:v>
      </x:c>
      <x:c r="G90" s="73" t="s">
        <x:v>19</x:v>
      </x:c>
      <x:c r="H90" s="73" t="s">
        <x:v>427</x:v>
      </x:c>
      <x:c r="I90" s="73" t="n">
        <x:v>18</x:v>
      </x:c>
      <x:c r="J90" s="73" t="n">
        <x:v>35</x:v>
      </x:c>
      <x:c r="K90" s="73" t="s">
        <x:v>266</x:v>
      </x:c>
      <x:c r="L90" s="73" t="n">
        <x:v>2023</x:v>
      </x:c>
      <x:c r="M90" s="73" t="n">
        <x:v>2</x:v>
      </x:c>
      <x:c r="N90" s="73" t="n">
        <x:v>25</x:v>
      </x:c>
      <x:c r="O90" s="73" t="n">
        <x:v>9</x:v>
      </x:c>
    </x:row>
    <x:row r="91" ht="15" hidden="0">
      <x:c r="A91" s="73" t="n">
        <x:v>90</x:v>
      </x:c>
      <x:c r="B91" s="73" t="n">
        <x:v>92</x:v>
      </x:c>
      <x:c r="C91" s="73" t="s">
        <x:v>428</x:v>
      </x:c>
      <x:c r="D91" s="73" t="s">
        <x:v>322</x:v>
      </x:c>
      <x:c r="E91" s="73" t="s">
        <x:v>429</x:v>
      </x:c>
      <x:c r="F91" s="73" t="s">
        <x:v>430</x:v>
      </x:c>
      <x:c r="G91" s="73" t="s">
        <x:v>31</x:v>
      </x:c>
      <x:c r="H91" s="73" t="s">
        <x:v>431</x:v>
      </x:c>
      <x:c r="I91" s="73" t="n">
        <x:v>25</x:v>
      </x:c>
      <x:c r="J91" s="73" t="n">
        <x:v>50</x:v>
      </x:c>
      <x:c r="K91" s="73" t="s">
        <x:v>260</x:v>
      </x:c>
      <x:c r="L91" s="73" t="n">
        <x:v>2023</x:v>
      </x:c>
      <x:c r="M91" s="73" t="n">
        <x:v>2</x:v>
      </x:c>
      <x:c r="N91" s="73" t="n">
        <x:v>25</x:v>
      </x:c>
      <x:c r="O91" s="73" t="n">
        <x:v>14</x:v>
      </x:c>
    </x:row>
    <x:row r="92" ht="15" hidden="0">
      <x:c r="A92" s="73" t="n">
        <x:v>91</x:v>
      </x:c>
      <x:c r="B92" s="73" t="n">
        <x:v>93</x:v>
      </x:c>
      <x:c r="C92" s="73" t="s">
        <x:v>432</x:v>
      </x:c>
      <x:c r="D92" s="73" t="s">
        <x:v>327</x:v>
      </x:c>
      <x:c r="E92" s="73" t="s">
        <x:v>433</x:v>
      </x:c>
      <x:c r="F92" s="73" t="s">
        <x:v>434</x:v>
      </x:c>
      <x:c r="G92" s="73" t="s">
        <x:v>37</x:v>
      </x:c>
      <x:c r="H92" s="73" t="s">
        <x:v>435</x:v>
      </x:c>
      <x:c r="I92" s="73" t="n">
        <x:v>15</x:v>
      </x:c>
      <x:c r="J92" s="73" t="n">
        <x:v>30</x:v>
      </x:c>
      <x:c r="K92" s="73" t="s">
        <x:v>254</x:v>
      </x:c>
      <x:c r="L92" s="73" t="n">
        <x:v>2023</x:v>
      </x:c>
      <x:c r="M92" s="73" t="n">
        <x:v>2</x:v>
      </x:c>
      <x:c r="N92" s="73" t="n">
        <x:v>25</x:v>
      </x:c>
      <x:c r="O92" s="73" t="n">
        <x:v>18</x:v>
      </x:c>
    </x:row>
    <x:row r="93" ht="15" hidden="0">
      <x:c r="A93" s="73" t="n">
        <x:v>92</x:v>
      </x:c>
      <x:c r="B93" s="73" t="n">
        <x:v>94</x:v>
      </x:c>
      <x:c r="C93" s="73" t="s">
        <x:v>436</x:v>
      </x:c>
      <x:c r="D93" s="73" t="s">
        <x:v>332</x:v>
      </x:c>
      <x:c r="E93" s="73" t="s">
        <x:v>437</x:v>
      </x:c>
      <x:c r="F93" s="73" t="s">
        <x:v>438</x:v>
      </x:c>
      <x:c r="G93" s="73" t="s">
        <x:v>19</x:v>
      </x:c>
      <x:c r="H93" s="73" t="s">
        <x:v>439</x:v>
      </x:c>
      <x:c r="I93" s="73" t="n">
        <x:v>22</x:v>
      </x:c>
      <x:c r="J93" s="73" t="n">
        <x:v>45</x:v>
      </x:c>
      <x:c r="K93" s="73" t="s">
        <x:v>243</x:v>
      </x:c>
      <x:c r="L93" s="73" t="n">
        <x:v>2023</x:v>
      </x:c>
      <x:c r="M93" s="73" t="n">
        <x:v>2</x:v>
      </x:c>
      <x:c r="N93" s="73" t="n">
        <x:v>26</x:v>
      </x:c>
      <x:c r="O93" s="73" t="n">
        <x:v>10</x:v>
      </x:c>
    </x:row>
    <x:row r="94" ht="15" hidden="0">
      <x:c r="A94" s="73" t="n">
        <x:v>93</x:v>
      </x:c>
      <x:c r="B94" s="73" t="n">
        <x:v>95</x:v>
      </x:c>
      <x:c r="C94" s="73" t="s">
        <x:v>440</x:v>
      </x:c>
      <x:c r="D94" s="73" t="s">
        <x:v>337</x:v>
      </x:c>
      <x:c r="E94" s="73" t="s">
        <x:v>441</x:v>
      </x:c>
      <x:c r="F94" s="73" t="s">
        <x:v>442</x:v>
      </x:c>
      <x:c r="G94" s="73" t="s">
        <x:v>31</x:v>
      </x:c>
      <x:c r="H94" s="73" t="s">
        <x:v>443</x:v>
      </x:c>
      <x:c r="I94" s="73" t="n">
        <x:v>20</x:v>
      </x:c>
      <x:c r="J94" s="73" t="n">
        <x:v>40</x:v>
      </x:c>
      <x:c r="K94" s="73" t="s">
        <x:v>371</x:v>
      </x:c>
      <x:c r="L94" s="73" t="n">
        <x:v>2023</x:v>
      </x:c>
      <x:c r="M94" s="73" t="n">
        <x:v>2</x:v>
      </x:c>
      <x:c r="N94" s="73" t="n">
        <x:v>26</x:v>
      </x:c>
      <x:c r="O94" s="73" t="n">
        <x:v>7</x:v>
      </x:c>
    </x:row>
    <x:row r="95" ht="15" hidden="0">
      <x:c r="A95" s="73" t="n">
        <x:v>94</x:v>
      </x:c>
      <x:c r="B95" s="73" t="n">
        <x:v>96</x:v>
      </x:c>
      <x:c r="C95" s="73" t="s">
        <x:v>444</x:v>
      </x:c>
      <x:c r="D95" s="73" t="s">
        <x:v>342</x:v>
      </x:c>
      <x:c r="E95" s="73" t="s">
        <x:v>445</x:v>
      </x:c>
      <x:c r="F95" s="73" t="s">
        <x:v>446</x:v>
      </x:c>
      <x:c r="G95" s="73" t="s">
        <x:v>37</x:v>
      </x:c>
      <x:c r="H95" s="73" t="s">
        <x:v>447</x:v>
      </x:c>
      <x:c r="I95" s="73" t="n">
        <x:v>18</x:v>
      </x:c>
      <x:c r="J95" s="73" t="n">
        <x:v>35</x:v>
      </x:c>
      <x:c r="K95" s="73" t="s">
        <x:v>110</x:v>
      </x:c>
      <x:c r="L95" s="73" t="n">
        <x:v>2023</x:v>
      </x:c>
      <x:c r="M95" s="73" t="n">
        <x:v>2</x:v>
      </x:c>
      <x:c r="N95" s="73" t="n">
        <x:v>26</x:v>
      </x:c>
      <x:c r="O95" s="73" t="n">
        <x:v>15</x:v>
      </x:c>
    </x:row>
    <x:row r="96" ht="15" hidden="0">
      <x:c r="A96" s="73" t="n">
        <x:v>95</x:v>
      </x:c>
      <x:c r="B96" s="73" t="n">
        <x:v>97</x:v>
      </x:c>
      <x:c r="C96" s="73" t="s">
        <x:v>448</x:v>
      </x:c>
      <x:c r="D96" s="73" t="s">
        <x:v>347</x:v>
      </x:c>
      <x:c r="E96" s="73" t="s">
        <x:v>449</x:v>
      </x:c>
      <x:c r="F96" s="73" t="s">
        <x:v>450</x:v>
      </x:c>
      <x:c r="G96" s="73" t="s">
        <x:v>19</x:v>
      </x:c>
      <x:c r="H96" s="73" t="s">
        <x:v>451</x:v>
      </x:c>
      <x:c r="I96" s="73" t="n">
        <x:v>15</x:v>
      </x:c>
      <x:c r="J96" s="73" t="n">
        <x:v>30</x:v>
      </x:c>
      <x:c r="K96" s="73" t="s">
        <x:v>142</x:v>
      </x:c>
      <x:c r="L96" s="73" t="n">
        <x:v>2023</x:v>
      </x:c>
      <x:c r="M96" s="73" t="n">
        <x:v>2</x:v>
      </x:c>
      <x:c r="N96" s="73" t="n">
        <x:v>27</x:v>
      </x:c>
      <x:c r="O96" s="73" t="n">
        <x:v>9</x:v>
      </x:c>
    </x:row>
    <x:row r="97" ht="15" hidden="0">
      <x:c r="A97" s="73" t="n">
        <x:v>96</x:v>
      </x:c>
      <x:c r="B97" s="73" t="n">
        <x:v>98</x:v>
      </x:c>
      <x:c r="C97" s="73" t="s">
        <x:v>452</x:v>
      </x:c>
      <x:c r="D97" s="73" t="s">
        <x:v>352</x:v>
      </x:c>
      <x:c r="E97" s="73" t="s">
        <x:v>453</x:v>
      </x:c>
      <x:c r="F97" s="73" t="s">
        <x:v>454</x:v>
      </x:c>
      <x:c r="G97" s="73" t="s">
        <x:v>31</x:v>
      </x:c>
      <x:c r="H97" s="73" t="s">
        <x:v>455</x:v>
      </x:c>
      <x:c r="I97" s="73" t="n">
        <x:v>25</x:v>
      </x:c>
      <x:c r="J97" s="73" t="n">
        <x:v>50</x:v>
      </x:c>
      <x:c r="K97" s="73" t="s">
        <x:v>222</x:v>
      </x:c>
      <x:c r="L97" s="73" t="n">
        <x:v>2023</x:v>
      </x:c>
      <x:c r="M97" s="73" t="n">
        <x:v>2</x:v>
      </x:c>
      <x:c r="N97" s="73" t="n">
        <x:v>27</x:v>
      </x:c>
      <x:c r="O97" s="73" t="n">
        <x:v>14</x:v>
      </x:c>
    </x:row>
    <x:row r="98" ht="15" hidden="0">
      <x:c r="A98" s="73" t="n">
        <x:v>97</x:v>
      </x:c>
      <x:c r="B98" s="73" t="n">
        <x:v>99</x:v>
      </x:c>
      <x:c r="C98" s="73" t="s">
        <x:v>456</x:v>
      </x:c>
      <x:c r="D98" s="73" t="s">
        <x:v>357</x:v>
      </x:c>
      <x:c r="E98" s="73" t="s">
        <x:v>457</x:v>
      </x:c>
      <x:c r="F98" s="73" t="s">
        <x:v>458</x:v>
      </x:c>
      <x:c r="G98" s="73" t="s">
        <x:v>37</x:v>
      </x:c>
      <x:c r="H98" s="73" t="s">
        <x:v>459</x:v>
      </x:c>
      <x:c r="I98" s="73" t="n">
        <x:v>22</x:v>
      </x:c>
      <x:c r="J98" s="73" t="n">
        <x:v>45</x:v>
      </x:c>
      <x:c r="K98" s="73" t="s">
        <x:v>155</x:v>
      </x:c>
      <x:c r="L98" s="73" t="n">
        <x:v>2023</x:v>
      </x:c>
      <x:c r="M98" s="73" t="n">
        <x:v>2</x:v>
      </x:c>
      <x:c r="N98" s="73" t="n">
        <x:v>27</x:v>
      </x:c>
      <x:c r="O98" s="73" t="n">
        <x:v>18</x:v>
      </x:c>
    </x:row>
    <x:row r="99" ht="15" hidden="0">
      <x:c r="A99" s="73" t="n">
        <x:v>98</x:v>
      </x:c>
      <x:c r="B99" s="73" t="n">
        <x:v>100</x:v>
      </x:c>
      <x:c r="C99" s="73" t="s">
        <x:v>460</x:v>
      </x:c>
      <x:c r="D99" s="73" t="s">
        <x:v>362</x:v>
      </x:c>
      <x:c r="E99" s="73" t="s">
        <x:v>461</x:v>
      </x:c>
      <x:c r="F99" s="73" t="s">
        <x:v>462</x:v>
      </x:c>
      <x:c r="G99" s="73" t="s">
        <x:v>19</x:v>
      </x:c>
      <x:c r="H99" s="73" t="s">
        <x:v>463</x:v>
      </x:c>
      <x:c r="I99" s="73" t="n">
        <x:v>20</x:v>
      </x:c>
      <x:c r="J99" s="73" t="n">
        <x:v>40</x:v>
      </x:c>
      <x:c r="K99" s="73" t="s">
        <x:v>110</x:v>
      </x:c>
      <x:c r="L99" s="73" t="n">
        <x:v>2023</x:v>
      </x:c>
      <x:c r="M99" s="73" t="n">
        <x:v>2</x:v>
      </x:c>
      <x:c r="N99" s="73" t="n">
        <x:v>28</x:v>
      </x:c>
      <x:c r="O99" s="73" t="n">
        <x:v>11</x:v>
      </x:c>
    </x:row>
    <x:row r="100" ht="15" hidden="0">
      <x:c r="A100" s="73" t="n">
        <x:v>99</x:v>
      </x:c>
      <x:c r="B100" s="73" t="n">
        <x:v>101</x:v>
      </x:c>
      <x:c r="C100" s="73" t="s">
        <x:v>464</x:v>
      </x:c>
      <x:c r="D100" s="73" t="s">
        <x:v>367</x:v>
      </x:c>
      <x:c r="E100" s="73" t="s">
        <x:v>465</x:v>
      </x:c>
      <x:c r="F100" s="73" t="s">
        <x:v>466</x:v>
      </x:c>
      <x:c r="G100" s="73" t="s">
        <x:v>31</x:v>
      </x:c>
      <x:c r="H100" s="73" t="s">
        <x:v>467</x:v>
      </x:c>
      <x:c r="I100" s="73" t="n">
        <x:v>30</x:v>
      </x:c>
      <x:c r="J100" s="73" t="n">
        <x:v>60</x:v>
      </x:c>
      <x:c r="K100" s="73" t="s">
        <x:v>468</x:v>
      </x:c>
      <x:c r="L100" s="73" t="n">
        <x:v>2023</x:v>
      </x:c>
      <x:c r="M100" s="73" t="n">
        <x:v>2</x:v>
      </x:c>
      <x:c r="N100" s="73" t="n">
        <x:v>28</x:v>
      </x:c>
      <x:c r="O100" s="73" t="n">
        <x:v>16</x:v>
      </x:c>
    </x:row>
    <x:row r="101" ht="15" hidden="0">
      <x:c r="A101" s="73" t="n">
        <x:v>100</x:v>
      </x:c>
      <x:c r="B101" s="73" t="n">
        <x:v>102</x:v>
      </x:c>
      <x:c r="C101" s="73" t="s">
        <x:v>469</x:v>
      </x:c>
      <x:c r="D101" s="73" t="s">
        <x:v>373</x:v>
      </x:c>
      <x:c r="E101" s="73" t="s">
        <x:v>470</x:v>
      </x:c>
      <x:c r="F101" s="73" t="s">
        <x:v>471</x:v>
      </x:c>
      <x:c r="G101" s="73" t="s">
        <x:v>37</x:v>
      </x:c>
      <x:c r="H101" s="73" t="s">
        <x:v>376</x:v>
      </x:c>
      <x:c r="I101" s="73" t="n">
        <x:v>15</x:v>
      </x:c>
      <x:c r="J101" s="73" t="n">
        <x:v>30</x:v>
      </x:c>
      <x:c r="K101" s="73" t="s">
        <x:v>142</x:v>
      </x:c>
      <x:c r="L101" s="73" t="n">
        <x:v>2023</x:v>
      </x:c>
      <x:c r="M101" s="73" t="n">
        <x:v>2</x:v>
      </x:c>
      <x:c r="N101" s="73" t="n">
        <x:v>28</x:v>
      </x:c>
      <x:c r="O101" s="73" t="n">
        <x:v>19</x:v>
      </x:c>
    </x:row>
    <x:row r="102" ht="15" hidden="0">
      <x:c r="A102" s="73" t="n">
        <x:v>101</x:v>
      </x:c>
      <x:c r="B102" s="73" t="n">
        <x:v>103</x:v>
      </x:c>
      <x:c r="C102" s="73" t="s">
        <x:v>472</x:v>
      </x:c>
      <x:c r="D102" s="73" t="s">
        <x:v>327</x:v>
      </x:c>
      <x:c r="E102" s="73" t="s">
        <x:v>473</x:v>
      </x:c>
      <x:c r="F102" s="73" t="s">
        <x:v>474</x:v>
      </x:c>
      <x:c r="G102" s="73" t="s">
        <x:v>19</x:v>
      </x:c>
      <x:c r="H102" s="73" t="s">
        <x:v>475</x:v>
      </x:c>
      <x:c r="I102" s="73" t="n">
        <x:v>22</x:v>
      </x:c>
      <x:c r="J102" s="73" t="n">
        <x:v>45</x:v>
      </x:c>
      <x:c r="K102" s="73" t="s">
        <x:v>45</x:v>
      </x:c>
      <x:c r="L102" s="73" t="n">
        <x:v>2023</x:v>
      </x:c>
      <x:c r="M102" s="73" t="n">
        <x:v>3</x:v>
      </x:c>
      <x:c r="N102" s="73" t="n">
        <x:v>1</x:v>
      </x:c>
      <x:c r="O102" s="73" t="n">
        <x:v>10</x:v>
      </x:c>
    </x:row>
    <x:row r="103" ht="15" hidden="0">
      <x:c r="A103" s="73" t="n">
        <x:v>102</x:v>
      </x:c>
      <x:c r="B103" s="73" t="n">
        <x:v>104</x:v>
      </x:c>
      <x:c r="C103" s="73" t="s">
        <x:v>476</x:v>
      </x:c>
      <x:c r="D103" s="73" t="s">
        <x:v>357</x:v>
      </x:c>
      <x:c r="E103" s="73" t="s">
        <x:v>477</x:v>
      </x:c>
      <x:c r="F103" s="73" t="s">
        <x:v>478</x:v>
      </x:c>
      <x:c r="G103" s="73" t="s">
        <x:v>31</x:v>
      </x:c>
      <x:c r="H103" s="73" t="s">
        <x:v>479</x:v>
      </x:c>
      <x:c r="I103" s="73" t="n">
        <x:v>18</x:v>
      </x:c>
      <x:c r="J103" s="73" t="n">
        <x:v>35</x:v>
      </x:c>
      <x:c r="K103" s="73" t="s">
        <x:v>260</x:v>
      </x:c>
      <x:c r="L103" s="73" t="n">
        <x:v>2023</x:v>
      </x:c>
      <x:c r="M103" s="73" t="n">
        <x:v>3</x:v>
      </x:c>
      <x:c r="N103" s="73" t="n">
        <x:v>1</x:v>
      </x:c>
      <x:c r="O103" s="73" t="n">
        <x:v>13</x:v>
      </x:c>
    </x:row>
    <x:row r="104" ht="15" hidden="0">
      <x:c r="A104" s="73" t="n">
        <x:v>103</x:v>
      </x:c>
      <x:c r="B104" s="73" t="n">
        <x:v>105</x:v>
      </x:c>
      <x:c r="C104" s="73" t="s">
        <x:v>480</x:v>
      </x:c>
      <x:c r="D104" s="73" t="s">
        <x:v>342</x:v>
      </x:c>
      <x:c r="E104" s="73" t="s">
        <x:v>481</x:v>
      </x:c>
      <x:c r="F104" s="73" t="s">
        <x:v>482</x:v>
      </x:c>
      <x:c r="G104" s="73" t="s">
        <x:v>19</x:v>
      </x:c>
      <x:c r="H104" s="73" t="s">
        <x:v>483</x:v>
      </x:c>
      <x:c r="I104" s="73" t="n">
        <x:v>15</x:v>
      </x:c>
      <x:c r="J104" s="73" t="n">
        <x:v>30</x:v>
      </x:c>
      <x:c r="K104" s="73" t="s">
        <x:v>97</x:v>
      </x:c>
      <x:c r="L104" s="73" t="n">
        <x:v>2023</x:v>
      </x:c>
      <x:c r="M104" s="73" t="n">
        <x:v>3</x:v>
      </x:c>
      <x:c r="N104" s="73" t="n">
        <x:v>1</x:v>
      </x:c>
      <x:c r="O104" s="73" t="n">
        <x:v>17</x:v>
      </x:c>
    </x:row>
    <x:row r="105" ht="15" hidden="0">
      <x:c r="A105" s="73" t="n">
        <x:v>104</x:v>
      </x:c>
      <x:c r="B105" s="73" t="n">
        <x:v>106</x:v>
      </x:c>
      <x:c r="C105" s="73" t="s">
        <x:v>484</x:v>
      </x:c>
      <x:c r="D105" s="73" t="s">
        <x:v>347</x:v>
      </x:c>
      <x:c r="E105" s="73" t="s">
        <x:v>485</x:v>
      </x:c>
      <x:c r="F105" s="73" t="s">
        <x:v>486</x:v>
      </x:c>
      <x:c r="G105" s="73" t="s">
        <x:v>37</x:v>
      </x:c>
      <x:c r="H105" s="73" t="s">
        <x:v>487</x:v>
      </x:c>
      <x:c r="I105" s="73" t="n">
        <x:v>15</x:v>
      </x:c>
      <x:c r="J105" s="73" t="n">
        <x:v>30</x:v>
      </x:c>
      <x:c r="K105" s="73" t="s">
        <x:v>160</x:v>
      </x:c>
      <x:c r="L105" s="73" t="n">
        <x:v>2023</x:v>
      </x:c>
      <x:c r="M105" s="73" t="n">
        <x:v>3</x:v>
      </x:c>
      <x:c r="N105" s="73" t="n">
        <x:v>2</x:v>
      </x:c>
      <x:c r="O105" s="73" t="n">
        <x:v>18</x:v>
      </x:c>
    </x:row>
    <x:row r="106" ht="15" hidden="0">
      <x:c r="A106" s="73" t="n">
        <x:v>105</x:v>
      </x:c>
      <x:c r="B106" s="73" t="n">
        <x:v>107</x:v>
      </x:c>
      <x:c r="C106" s="73" t="s">
        <x:v>488</x:v>
      </x:c>
      <x:c r="D106" s="73" t="s">
        <x:v>489</x:v>
      </x:c>
      <x:c r="E106" s="73" t="s">
        <x:v>490</x:v>
      </x:c>
      <x:c r="F106" s="73" t="s">
        <x:v>491</x:v>
      </x:c>
      <x:c r="G106" s="73" t="s">
        <x:v>31</x:v>
      </x:c>
      <x:c r="H106" s="73" t="s">
        <x:v>492</x:v>
      </x:c>
      <x:c r="I106" s="73" t="n">
        <x:v>30</x:v>
      </x:c>
      <x:c r="J106" s="73" t="n">
        <x:v>60</x:v>
      </x:c>
      <x:c r="K106" s="73" t="s">
        <x:v>493</x:v>
      </x:c>
      <x:c r="L106" s="73" t="n">
        <x:v>2023</x:v>
      </x:c>
      <x:c r="M106" s="73" t="n">
        <x:v>3</x:v>
      </x:c>
      <x:c r="N106" s="73" t="n">
        <x:v>2</x:v>
      </x:c>
      <x:c r="O106" s="73" t="n">
        <x:v>13</x:v>
      </x:c>
    </x:row>
    <x:row r="107" ht="15" hidden="0">
      <x:c r="A107" s="73" t="n">
        <x:v>106</x:v>
      </x:c>
      <x:c r="B107" s="73" t="n">
        <x:v>108</x:v>
      </x:c>
      <x:c r="C107" s="73" t="s">
        <x:v>494</x:v>
      </x:c>
      <x:c r="D107" s="73" t="s">
        <x:v>495</x:v>
      </x:c>
      <x:c r="E107" s="73" t="s">
        <x:v>496</x:v>
      </x:c>
      <x:c r="F107" s="73" t="s">
        <x:v>497</x:v>
      </x:c>
      <x:c r="G107" s="73" t="s">
        <x:v>19</x:v>
      </x:c>
      <x:c r="H107" s="73" t="s">
        <x:v>498</x:v>
      </x:c>
      <x:c r="I107" s="73" t="n">
        <x:v>25</x:v>
      </x:c>
      <x:c r="J107" s="73" t="n">
        <x:v>50</x:v>
      </x:c>
      <x:c r="K107" s="73" t="s">
        <x:v>142</x:v>
      </x:c>
      <x:c r="L107" s="73" t="n">
        <x:v>2023</x:v>
      </x:c>
      <x:c r="M107" s="73" t="n">
        <x:v>3</x:v>
      </x:c>
      <x:c r="N107" s="73" t="n">
        <x:v>2</x:v>
      </x:c>
      <x:c r="O107" s="73" t="n">
        <x:v>16</x:v>
      </x:c>
    </x:row>
    <x:row r="108" ht="15" hidden="0">
      <x:c r="A108" s="73" t="n">
        <x:v>107</x:v>
      </x:c>
      <x:c r="B108" s="73" t="n">
        <x:v>109</x:v>
      </x:c>
      <x:c r="C108" s="73" t="s">
        <x:v>499</x:v>
      </x:c>
      <x:c r="D108" s="73" t="s">
        <x:v>362</x:v>
      </x:c>
      <x:c r="E108" s="73" t="s">
        <x:v>500</x:v>
      </x:c>
      <x:c r="F108" s="73" t="s">
        <x:v>501</x:v>
      </x:c>
      <x:c r="G108" s="73" t="s">
        <x:v>37</x:v>
      </x:c>
      <x:c r="H108" s="73" t="s">
        <x:v>502</x:v>
      </x:c>
      <x:c r="I108" s="73" t="n">
        <x:v>22</x:v>
      </x:c>
      <x:c r="J108" s="73" t="n">
        <x:v>45</x:v>
      </x:c>
      <x:c r="K108" s="73" t="s">
        <x:v>110</x:v>
      </x:c>
      <x:c r="L108" s="73" t="n">
        <x:v>2023</x:v>
      </x:c>
      <x:c r="M108" s="73" t="n">
        <x:v>3</x:v>
      </x:c>
      <x:c r="N108" s="73" t="n">
        <x:v>3</x:v>
      </x:c>
      <x:c r="O108" s="73" t="n">
        <x:v>11</x:v>
      </x:c>
    </x:row>
    <x:row r="109" ht="15" hidden="0">
      <x:c r="A109" s="73" t="n">
        <x:v>108</x:v>
      </x:c>
      <x:c r="B109" s="73" t="n">
        <x:v>110</x:v>
      </x:c>
      <x:c r="C109" s="73" t="s">
        <x:v>503</x:v>
      </x:c>
      <x:c r="D109" s="73" t="s">
        <x:v>367</x:v>
      </x:c>
      <x:c r="E109" s="73" t="s">
        <x:v>504</x:v>
      </x:c>
      <x:c r="F109" s="73" t="s">
        <x:v>505</x:v>
      </x:c>
      <x:c r="G109" s="73" t="s">
        <x:v>31</x:v>
      </x:c>
      <x:c r="H109" s="73" t="s">
        <x:v>506</x:v>
      </x:c>
      <x:c r="I109" s="73" t="n">
        <x:v>12</x:v>
      </x:c>
      <x:c r="J109" s="73" t="n">
        <x:v>25</x:v>
      </x:c>
      <x:c r="K109" s="73" t="s">
        <x:v>155</x:v>
      </x:c>
      <x:c r="L109" s="73" t="n">
        <x:v>2023</x:v>
      </x:c>
      <x:c r="M109" s="73" t="n">
        <x:v>3</x:v>
      </x:c>
      <x:c r="N109" s="73" t="n">
        <x:v>3</x:v>
      </x:c>
      <x:c r="O109" s="73" t="n">
        <x:v>14</x:v>
      </x:c>
    </x:row>
    <x:row r="110" ht="15" hidden="0">
      <x:c r="A110" s="73" t="n">
        <x:v>109</x:v>
      </x:c>
      <x:c r="B110" s="73" t="n">
        <x:v>111</x:v>
      </x:c>
      <x:c r="C110" s="73" t="s">
        <x:v>507</x:v>
      </x:c>
      <x:c r="D110" s="73" t="s">
        <x:v>508</x:v>
      </x:c>
      <x:c r="E110" s="73" t="s">
        <x:v>509</x:v>
      </x:c>
      <x:c r="F110" s="73" t="s">
        <x:v>510</x:v>
      </x:c>
      <x:c r="G110" s="73" t="s">
        <x:v>19</x:v>
      </x:c>
      <x:c r="H110" s="73" t="s">
        <x:v>511</x:v>
      </x:c>
      <x:c r="I110" s="73" t="n">
        <x:v>15</x:v>
      </x:c>
      <x:c r="J110" s="73" t="n">
        <x:v>30</x:v>
      </x:c>
      <x:c r="K110" s="73" t="s">
        <x:v>160</x:v>
      </x:c>
      <x:c r="L110" s="73" t="n">
        <x:v>2023</x:v>
      </x:c>
      <x:c r="M110" s="73" t="n">
        <x:v>3</x:v>
      </x:c>
      <x:c r="N110" s="73" t="n">
        <x:v>3</x:v>
      </x:c>
      <x:c r="O110" s="73" t="n">
        <x:v>12</x:v>
      </x:c>
    </x:row>
    <x:row r="111" ht="15" hidden="0">
      <x:c r="A111" s="73" t="n">
        <x:v>110</x:v>
      </x:c>
      <x:c r="B111" s="73" t="n">
        <x:v>112</x:v>
      </x:c>
      <x:c r="C111" s="73" t="s">
        <x:v>512</x:v>
      </x:c>
      <x:c r="D111" s="73" t="s">
        <x:v>513</x:v>
      </x:c>
      <x:c r="E111" s="73" t="s">
        <x:v>514</x:v>
      </x:c>
      <x:c r="F111" s="73" t="s">
        <x:v>515</x:v>
      </x:c>
      <x:c r="G111" s="73" t="s">
        <x:v>19</x:v>
      </x:c>
      <x:c r="H111" s="73" t="s">
        <x:v>516</x:v>
      </x:c>
      <x:c r="I111" s="73" t="n">
        <x:v>20</x:v>
      </x:c>
      <x:c r="J111" s="73" t="n">
        <x:v>40</x:v>
      </x:c>
      <x:c r="K111" s="73" t="s">
        <x:v>97</x:v>
      </x:c>
      <x:c r="L111" s="73" t="n">
        <x:v>2010</x:v>
      </x:c>
      <x:c r="M111" s="73" t="n">
        <x:v>5</x:v>
      </x:c>
      <x:c r="N111" s="73" t="n">
        <x:v>15</x:v>
      </x:c>
      <x:c r="O111" s="73" t="n">
        <x:v>15</x:v>
      </x:c>
    </x:row>
    <x:row r="112" ht="15" hidden="0">
      <x:c r="A112" s="73" t="n">
        <x:v>111</x:v>
      </x:c>
      <x:c r="B112" s="73" t="n">
        <x:v>113</x:v>
      </x:c>
      <x:c r="C112" s="73" t="s">
        <x:v>517</x:v>
      </x:c>
      <x:c r="D112" s="73" t="s">
        <x:v>518</x:v>
      </x:c>
      <x:c r="E112" s="73" t="s">
        <x:v>519</x:v>
      </x:c>
      <x:c r="F112" s="73" t="s">
        <x:v>520</x:v>
      </x:c>
      <x:c r="G112" s="73" t="s">
        <x:v>31</x:v>
      </x:c>
      <x:c r="H112" s="73" t="s">
        <x:v>521</x:v>
      </x:c>
      <x:c r="I112" s="73" t="n">
        <x:v>15</x:v>
      </x:c>
      <x:c r="J112" s="73" t="n">
        <x:v>30</x:v>
      </x:c>
      <x:c r="K112" s="73" t="s">
        <x:v>21</x:v>
      </x:c>
      <x:c r="L112" s="73" t="n">
        <x:v>2021</x:v>
      </x:c>
      <x:c r="M112" s="73" t="n">
        <x:v>8</x:v>
      </x:c>
      <x:c r="N112" s="73" t="n">
        <x:v>10</x:v>
      </x:c>
      <x:c r="O112" s="73" t="n">
        <x:v>21</x:v>
      </x:c>
    </x:row>
    <x:row r="113" ht="15" hidden="0">
      <x:c r="A113" s="73" t="n">
        <x:v>112</x:v>
      </x:c>
      <x:c r="B113" s="73" t="n">
        <x:v>114</x:v>
      </x:c>
      <x:c r="C113" s="73" t="s">
        <x:v>522</x:v>
      </x:c>
      <x:c r="D113" s="73" t="s">
        <x:v>523</x:v>
      </x:c>
      <x:c r="E113" s="73" t="s">
        <x:v>524</x:v>
      </x:c>
      <x:c r="F113" s="73" t="s">
        <x:v>525</x:v>
      </x:c>
      <x:c r="G113" s="73" t="s">
        <x:v>37</x:v>
      </x:c>
      <x:c r="H113" s="73" t="s">
        <x:v>526</x:v>
      </x:c>
      <x:c r="I113" s="73" t="n">
        <x:v>25</x:v>
      </x:c>
      <x:c r="J113" s="73" t="n">
        <x:v>50</x:v>
      </x:c>
      <x:c r="K113" s="73" t="s">
        <x:v>527</x:v>
      </x:c>
      <x:c r="L113" s="73" t="n">
        <x:v>2011</x:v>
      </x:c>
      <x:c r="M113" s="73" t="n">
        <x:v>6</x:v>
      </x:c>
      <x:c r="N113" s="73" t="n">
        <x:v>20</x:v>
      </x:c>
      <x:c r="O113" s="73" t="n">
        <x:v>14</x:v>
      </x:c>
    </x:row>
    <x:row r="114" ht="15" hidden="0">
      <x:c r="A114" s="73" t="n">
        <x:v>113</x:v>
      </x:c>
      <x:c r="B114" s="73" t="n">
        <x:v>115</x:v>
      </x:c>
      <x:c r="C114" s="73" t="s">
        <x:v>528</x:v>
      </x:c>
      <x:c r="D114" s="73" t="s">
        <x:v>529</x:v>
      </x:c>
      <x:c r="E114" s="73" t="s">
        <x:v>530</x:v>
      </x:c>
      <x:c r="F114" s="73" t="s">
        <x:v>531</x:v>
      </x:c>
      <x:c r="G114" s="73" t="s">
        <x:v>19</x:v>
      </x:c>
      <x:c r="H114" s="73" t="s">
        <x:v>532</x:v>
      </x:c>
      <x:c r="I114" s="73" t="n">
        <x:v>18</x:v>
      </x:c>
      <x:c r="J114" s="73" t="n">
        <x:v>35</x:v>
      </x:c>
      <x:c r="K114" s="73" t="s">
        <x:v>533</x:v>
      </x:c>
      <x:c r="L114" s="73" t="n">
        <x:v>2022</x:v>
      </x:c>
      <x:c r="M114" s="73" t="n">
        <x:v>2</x:v>
      </x:c>
      <x:c r="N114" s="73" t="n">
        <x:v>12</x:v>
      </x:c>
      <x:c r="O114" s="73" t="n">
        <x:v>18</x:v>
      </x:c>
    </x:row>
    <x:row r="115" ht="15" hidden="0">
      <x:c r="A115" s="73" t="n">
        <x:v>114</x:v>
      </x:c>
      <x:c r="B115" s="73" t="n">
        <x:v>116</x:v>
      </x:c>
      <x:c r="C115" s="73" t="s">
        <x:v>534</x:v>
      </x:c>
      <x:c r="D115" s="73" t="s">
        <x:v>535</x:v>
      </x:c>
      <x:c r="E115" s="73" t="s">
        <x:v>536</x:v>
      </x:c>
      <x:c r="F115" s="73" t="s">
        <x:v>537</x:v>
      </x:c>
      <x:c r="G115" s="73" t="s">
        <x:v>31</x:v>
      </x:c>
      <x:c r="H115" s="73" t="s">
        <x:v>538</x:v>
      </x:c>
      <x:c r="I115" s="73" t="n">
        <x:v>30</x:v>
      </x:c>
      <x:c r="J115" s="73" t="n">
        <x:v>60</x:v>
      </x:c>
      <x:c r="K115" s="73" t="s">
        <x:v>315</x:v>
      </x:c>
      <x:c r="L115" s="73" t="n">
        <x:v>2012</x:v>
      </x:c>
      <x:c r="M115" s="73" t="n">
        <x:v>11</x:v>
      </x:c>
      <x:c r="N115" s="73" t="n">
        <x:v>25</x:v>
      </x:c>
      <x:c r="O115" s="73" t="n">
        <x:v>10</x:v>
      </x:c>
    </x:row>
    <x:row r="116" ht="15" hidden="0">
      <x:c r="A116" s="73" t="n">
        <x:v>115</x:v>
      </x:c>
      <x:c r="B116" s="73" t="n">
        <x:v>117</x:v>
      </x:c>
      <x:c r="C116" s="73" t="s">
        <x:v>539</x:v>
      </x:c>
      <x:c r="D116" s="73" t="s">
        <x:v>540</x:v>
      </x:c>
      <x:c r="E116" s="73" t="s">
        <x:v>541</x:v>
      </x:c>
      <x:c r="F116" s="73" t="s">
        <x:v>542</x:v>
      </x:c>
      <x:c r="G116" s="73" t="s">
        <x:v>37</x:v>
      </x:c>
      <x:c r="H116" s="73" t="s">
        <x:v>543</x:v>
      </x:c>
      <x:c r="I116" s="73" t="n">
        <x:v>22</x:v>
      </x:c>
      <x:c r="J116" s="73" t="n">
        <x:v>45</x:v>
      </x:c>
      <x:c r="K116" s="73" t="s">
        <x:v>21</x:v>
      </x:c>
      <x:c r="L116" s="73" t="n">
        <x:v>2013</x:v>
      </x:c>
      <x:c r="M116" s="73" t="n">
        <x:v>4</x:v>
      </x:c>
      <x:c r="N116" s="73" t="n">
        <x:v>5</x:v>
      </x:c>
      <x:c r="O116" s="73" t="n">
        <x:v>19</x:v>
      </x:c>
    </x:row>
    <x:row r="117" ht="15" hidden="0">
      <x:c r="A117" s="73" t="n">
        <x:v>116</x:v>
      </x:c>
      <x:c r="B117" s="73" t="n">
        <x:v>118</x:v>
      </x:c>
      <x:c r="C117" s="73" t="s">
        <x:v>544</x:v>
      </x:c>
      <x:c r="D117" s="73" t="s">
        <x:v>545</x:v>
      </x:c>
      <x:c r="E117" s="73" t="s">
        <x:v>546</x:v>
      </x:c>
      <x:c r="F117" s="73" t="s">
        <x:v>547</x:v>
      </x:c>
      <x:c r="G117" s="73" t="s">
        <x:v>19</x:v>
      </x:c>
      <x:c r="H117" s="73" t="s">
        <x:v>548</x:v>
      </x:c>
      <x:c r="I117" s="73" t="n">
        <x:v>15</x:v>
      </x:c>
      <x:c r="J117" s="73" t="n">
        <x:v>30</x:v>
      </x:c>
      <x:c r="K117" s="73" t="s">
        <x:v>39</x:v>
      </x:c>
      <x:c r="L117" s="73" t="n">
        <x:v>2014</x:v>
      </x:c>
      <x:c r="M117" s="73" t="n">
        <x:v>9</x:v>
      </x:c>
      <x:c r="N117" s="73" t="n">
        <x:v>14</x:v>
      </x:c>
      <x:c r="O117" s="73" t="n">
        <x:v>8</x:v>
      </x:c>
    </x:row>
    <x:row r="118" ht="15" hidden="0">
      <x:c r="A118" s="73" t="n">
        <x:v>117</x:v>
      </x:c>
      <x:c r="B118" s="73" t="n">
        <x:v>119</x:v>
      </x:c>
      <x:c r="C118" s="73" t="s">
        <x:v>549</x:v>
      </x:c>
      <x:c r="D118" s="73" t="s">
        <x:v>550</x:v>
      </x:c>
      <x:c r="E118" s="73" t="s">
        <x:v>551</x:v>
      </x:c>
      <x:c r="F118" s="73" t="s">
        <x:v>552</x:v>
      </x:c>
      <x:c r="G118" s="73" t="s">
        <x:v>31</x:v>
      </x:c>
      <x:c r="H118" s="73" t="s">
        <x:v>553</x:v>
      </x:c>
      <x:c r="I118" s="73" t="n">
        <x:v>18</x:v>
      </x:c>
      <x:c r="J118" s="73" t="n">
        <x:v>35</x:v>
      </x:c>
      <x:c r="K118" s="73" t="s">
        <x:v>155</x:v>
      </x:c>
      <x:c r="L118" s="73" t="n">
        <x:v>2015</x:v>
      </x:c>
      <x:c r="M118" s="73" t="n">
        <x:v>7</x:v>
      </x:c>
      <x:c r="N118" s="73" t="n">
        <x:v>18</x:v>
      </x:c>
      <x:c r="O118" s="73" t="n">
        <x:v>14</x:v>
      </x:c>
    </x:row>
    <x:row r="119" ht="15" hidden="0">
      <x:c r="A119" s="73" t="n">
        <x:v>118</x:v>
      </x:c>
      <x:c r="B119" s="73" t="n">
        <x:v>120</x:v>
      </x:c>
      <x:c r="C119" s="73" t="s">
        <x:v>554</x:v>
      </x:c>
      <x:c r="D119" s="73" t="s">
        <x:v>555</x:v>
      </x:c>
      <x:c r="E119" s="73" t="s">
        <x:v>556</x:v>
      </x:c>
      <x:c r="F119" s="73" t="s">
        <x:v>557</x:v>
      </x:c>
      <x:c r="G119" s="73" t="s">
        <x:v>37</x:v>
      </x:c>
      <x:c r="H119" s="73" t="s">
        <x:v>558</x:v>
      </x:c>
      <x:c r="I119" s="73" t="n">
        <x:v>25</x:v>
      </x:c>
      <x:c r="J119" s="73" t="n">
        <x:v>50</x:v>
      </x:c>
      <x:c r="K119" s="73" t="s">
        <x:v>533</x:v>
      </x:c>
      <x:c r="L119" s="73" t="n">
        <x:v>2016</x:v>
      </x:c>
      <x:c r="M119" s="73" t="n">
        <x:v>2</x:v>
      </x:c>
      <x:c r="N119" s="73" t="n">
        <x:v>23</x:v>
      </x:c>
      <x:c r="O119" s="73" t="n">
        <x:v>19</x:v>
      </x:c>
    </x:row>
    <x:row r="120" ht="15" hidden="0">
      <x:c r="A120" s="73" t="n">
        <x:v>119</x:v>
      </x:c>
      <x:c r="B120" s="73" t="n">
        <x:v>121</x:v>
      </x:c>
      <x:c r="C120" s="73" t="s">
        <x:v>559</x:v>
      </x:c>
      <x:c r="D120" s="73" t="s">
        <x:v>560</x:v>
      </x:c>
      <x:c r="E120" s="73" t="s">
        <x:v>561</x:v>
      </x:c>
      <x:c r="F120" s="73" t="s">
        <x:v>562</x:v>
      </x:c>
      <x:c r="G120" s="73" t="s">
        <x:v>19</x:v>
      </x:c>
      <x:c r="H120" s="73" t="s">
        <x:v>563</x:v>
      </x:c>
      <x:c r="I120" s="73" t="n">
        <x:v>20</x:v>
      </x:c>
      <x:c r="J120" s="73" t="n">
        <x:v>40</x:v>
      </x:c>
      <x:c r="K120" s="73" t="s">
        <x:v>45</x:v>
      </x:c>
      <x:c r="L120" s="73" t="n">
        <x:v>2017</x:v>
      </x:c>
      <x:c r="M120" s="73" t="n">
        <x:v>10</x:v>
      </x:c>
      <x:c r="N120" s="73" t="n">
        <x:v>30</x:v>
      </x:c>
      <x:c r="O120" s="73" t="n">
        <x:v>11</x:v>
      </x:c>
    </x:row>
    <x:row r="121" ht="15" hidden="0">
      <x:c r="A121" s="73" t="n">
        <x:v>120</x:v>
      </x:c>
      <x:c r="B121" s="73" t="n">
        <x:v>122</x:v>
      </x:c>
      <x:c r="C121" s="73" t="s">
        <x:v>564</x:v>
      </x:c>
      <x:c r="D121" s="73" t="s">
        <x:v>565</x:v>
      </x:c>
      <x:c r="E121" s="73" t="s">
        <x:v>566</x:v>
      </x:c>
      <x:c r="F121" s="73" t="s">
        <x:v>567</x:v>
      </x:c>
      <x:c r="G121" s="73" t="s">
        <x:v>31</x:v>
      </x:c>
      <x:c r="H121" s="73" t="s">
        <x:v>568</x:v>
      </x:c>
      <x:c r="I121" s="73" t="n">
        <x:v>15</x:v>
      </x:c>
      <x:c r="J121" s="73" t="n">
        <x:v>30</x:v>
      </x:c>
      <x:c r="K121" s="73" t="s">
        <x:v>569</x:v>
      </x:c>
      <x:c r="L121" s="73" t="n">
        <x:v>2018</x:v>
      </x:c>
      <x:c r="M121" s="73" t="n">
        <x:v>6</x:v>
      </x:c>
      <x:c r="N121" s="73" t="n">
        <x:v>15</x:v>
      </x:c>
      <x:c r="O121" s="73" t="n">
        <x:v>16</x:v>
      </x:c>
    </x:row>
    <x:row r="122" ht="15" hidden="0">
      <x:c r="A122" s="73" t="n">
        <x:v>121</x:v>
      </x:c>
      <x:c r="B122" s="73" t="n">
        <x:v>123</x:v>
      </x:c>
      <x:c r="C122" s="73" t="s">
        <x:v>570</x:v>
      </x:c>
      <x:c r="D122" s="73" t="s">
        <x:v>571</x:v>
      </x:c>
      <x:c r="E122" s="73" t="s">
        <x:v>572</x:v>
      </x:c>
      <x:c r="F122" s="73" t="s">
        <x:v>573</x:v>
      </x:c>
      <x:c r="G122" s="73" t="s">
        <x:v>37</x:v>
      </x:c>
      <x:c r="H122" s="73" t="s">
        <x:v>574</x:v>
      </x:c>
      <x:c r="I122" s="73" t="n">
        <x:v>22</x:v>
      </x:c>
      <x:c r="J122" s="73" t="n">
        <x:v>45</x:v>
      </x:c>
      <x:c r="K122" s="73" t="s">
        <x:v>142</x:v>
      </x:c>
      <x:c r="L122" s="73" t="n">
        <x:v>2019</x:v>
      </x:c>
      <x:c r="M122" s="73" t="n">
        <x:v>3</x:v>
      </x:c>
      <x:c r="N122" s="73" t="n">
        <x:v>28</x:v>
      </x:c>
      <x:c r="O122" s="73" t="n">
        <x:v>18</x:v>
      </x:c>
    </x:row>
    <x:row r="123" ht="15" hidden="0">
      <x:c r="A123" s="73" t="n">
        <x:v>122</x:v>
      </x:c>
      <x:c r="B123" s="73" t="n">
        <x:v>124</x:v>
      </x:c>
      <x:c r="C123" s="73" t="s">
        <x:v>575</x:v>
      </x:c>
      <x:c r="D123" s="73" t="s">
        <x:v>576</x:v>
      </x:c>
      <x:c r="E123" s="73" t="s">
        <x:v>577</x:v>
      </x:c>
      <x:c r="F123" s="73" t="s">
        <x:v>578</x:v>
      </x:c>
      <x:c r="G123" s="73" t="s">
        <x:v>19</x:v>
      </x:c>
      <x:c r="H123" s="73" t="s">
        <x:v>579</x:v>
      </x:c>
      <x:c r="I123" s="73" t="n">
        <x:v>18</x:v>
      </x:c>
      <x:c r="J123" s="73" t="n">
        <x:v>35</x:v>
      </x:c>
      <x:c r="K123" s="73" t="s">
        <x:v>580</x:v>
      </x:c>
      <x:c r="L123" s="73" t="n">
        <x:v>2019</x:v>
      </x:c>
      <x:c r="M123" s="73" t="n">
        <x:v>11</x:v>
      </x:c>
      <x:c r="N123" s="73" t="n">
        <x:v>11</x:v>
      </x:c>
      <x:c r="O123" s="73" t="n">
        <x:v>15</x:v>
      </x:c>
    </x:row>
    <x:row r="124" ht="15" hidden="0">
      <x:c r="A124" s="73" t="n">
        <x:v>123</x:v>
      </x:c>
      <x:c r="B124" s="73" t="n">
        <x:v>125</x:v>
      </x:c>
      <x:c r="C124" s="73" t="s">
        <x:v>581</x:v>
      </x:c>
      <x:c r="D124" s="73" t="s">
        <x:v>513</x:v>
      </x:c>
      <x:c r="E124" s="73" t="s">
        <x:v>582</x:v>
      </x:c>
      <x:c r="F124" s="73" t="s">
        <x:v>583</x:v>
      </x:c>
      <x:c r="G124" s="73" t="s">
        <x:v>31</x:v>
      </x:c>
      <x:c r="H124" s="73" t="s">
        <x:v>584</x:v>
      </x:c>
      <x:c r="I124" s="73" t="n">
        <x:v>25</x:v>
      </x:c>
      <x:c r="J124" s="73" t="n">
        <x:v>50</x:v>
      </x:c>
      <x:c r="K124" s="73" t="s">
        <x:v>585</x:v>
      </x:c>
      <x:c r="L124" s="73" t="n">
        <x:v>2020</x:v>
      </x:c>
      <x:c r="M124" s="73" t="n">
        <x:v>4</x:v>
      </x:c>
      <x:c r="N124" s="73" t="n">
        <x:v>2</x:v>
      </x:c>
      <x:c r="O124" s="73" t="n">
        <x:v>9</x:v>
      </x:c>
    </x:row>
    <x:row r="125" ht="15" hidden="0">
      <x:c r="A125" s="73" t="n">
        <x:v>124</x:v>
      </x:c>
      <x:c r="B125" s="73" t="n">
        <x:v>126</x:v>
      </x:c>
      <x:c r="C125" s="73" t="s">
        <x:v>586</x:v>
      </x:c>
      <x:c r="D125" s="73" t="s">
        <x:v>518</x:v>
      </x:c>
      <x:c r="E125" s="73" t="s">
        <x:v>587</x:v>
      </x:c>
      <x:c r="F125" s="73" t="s">
        <x:v>588</x:v>
      </x:c>
      <x:c r="G125" s="73" t="s">
        <x:v>37</x:v>
      </x:c>
      <x:c r="H125" s="73" t="s">
        <x:v>589</x:v>
      </x:c>
      <x:c r="I125" s="73" t="n">
        <x:v>15</x:v>
      </x:c>
      <x:c r="J125" s="73" t="n">
        <x:v>30</x:v>
      </x:c>
      <x:c r="K125" s="73" t="s">
        <x:v>123</x:v>
      </x:c>
      <x:c r="L125" s="73" t="n">
        <x:v>2021</x:v>
      </x:c>
      <x:c r="M125" s="73" t="n">
        <x:v>6</x:v>
      </x:c>
      <x:c r="N125" s="73" t="n">
        <x:v>19</x:v>
      </x:c>
      <x:c r="O125" s="73" t="n">
        <x:v>14</x:v>
      </x:c>
    </x:row>
    <x:row r="126" ht="15" hidden="0">
      <x:c r="A126" s="73" t="n">
        <x:v>125</x:v>
      </x:c>
      <x:c r="B126" s="73" t="n">
        <x:v>127</x:v>
      </x:c>
      <x:c r="C126" s="73" t="s">
        <x:v>590</x:v>
      </x:c>
      <x:c r="D126" s="73" t="s">
        <x:v>523</x:v>
      </x:c>
      <x:c r="E126" s="73" t="s">
        <x:v>591</x:v>
      </x:c>
      <x:c r="F126" s="73" t="s">
        <x:v>592</x:v>
      </x:c>
      <x:c r="G126" s="73" t="s">
        <x:v>19</x:v>
      </x:c>
      <x:c r="H126" s="73" t="s">
        <x:v>593</x:v>
      </x:c>
      <x:c r="I126" s="73" t="n">
        <x:v>30</x:v>
      </x:c>
      <x:c r="J126" s="73" t="n">
        <x:v>60</x:v>
      </x:c>
      <x:c r="K126" s="73" t="s">
        <x:v>45</x:v>
      </x:c>
      <x:c r="L126" s="73" t="n">
        <x:v>2010</x:v>
      </x:c>
      <x:c r="M126" s="73" t="n">
        <x:v>8</x:v>
      </x:c>
      <x:c r="N126" s="73" t="n">
        <x:v>15</x:v>
      </x:c>
      <x:c r="O126" s="73" t="n">
        <x:v>10</x:v>
      </x:c>
    </x:row>
    <x:row r="127" ht="15" hidden="0">
      <x:c r="A127" s="73" t="n">
        <x:v>126</x:v>
      </x:c>
      <x:c r="B127" s="73" t="n">
        <x:v>128</x:v>
      </x:c>
      <x:c r="C127" s="73" t="s">
        <x:v>594</x:v>
      </x:c>
      <x:c r="D127" s="73" t="s">
        <x:v>529</x:v>
      </x:c>
      <x:c r="E127" s="73" t="s">
        <x:v>595</x:v>
      </x:c>
      <x:c r="F127" s="73" t="s">
        <x:v>596</x:v>
      </x:c>
      <x:c r="G127" s="73" t="s">
        <x:v>31</x:v>
      </x:c>
      <x:c r="H127" s="73" t="s">
        <x:v>597</x:v>
      </x:c>
      <x:c r="I127" s="73" t="n">
        <x:v>22</x:v>
      </x:c>
      <x:c r="J127" s="73" t="n">
        <x:v>45</x:v>
      </x:c>
      <x:c r="K127" s="73" t="s">
        <x:v>533</x:v>
      </x:c>
      <x:c r="L127" s="73" t="n">
        <x:v>2011</x:v>
      </x:c>
      <x:c r="M127" s="73" t="n">
        <x:v>9</x:v>
      </x:c>
      <x:c r="N127" s="73" t="n">
        <x:v>22</x:v>
      </x:c>
      <x:c r="O127" s="73" t="n">
        <x:v>19</x:v>
      </x:c>
    </x:row>
    <x:row r="128" ht="15" hidden="0">
      <x:c r="A128" s="73" t="n">
        <x:v>127</x:v>
      </x:c>
      <x:c r="B128" s="73" t="n">
        <x:v>129</x:v>
      </x:c>
      <x:c r="C128" s="73" t="s">
        <x:v>598</x:v>
      </x:c>
      <x:c r="D128" s="73" t="s">
        <x:v>535</x:v>
      </x:c>
      <x:c r="E128" s="73" t="s">
        <x:v>599</x:v>
      </x:c>
      <x:c r="F128" s="73" t="s">
        <x:v>600</x:v>
      </x:c>
      <x:c r="G128" s="73" t="s">
        <x:v>37</x:v>
      </x:c>
      <x:c r="H128" s="73" t="s">
        <x:v>601</x:v>
      </x:c>
      <x:c r="I128" s="73" t="n">
        <x:v>15</x:v>
      </x:c>
      <x:c r="J128" s="73" t="n">
        <x:v>30</x:v>
      </x:c>
      <x:c r="K128" s="73" t="s">
        <x:v>142</x:v>
      </x:c>
      <x:c r="L128" s="73" t="n">
        <x:v>2012</x:v>
      </x:c>
      <x:c r="M128" s="73" t="n">
        <x:v>3</x:v>
      </x:c>
      <x:c r="N128" s="73" t="n">
        <x:v>10</x:v>
      </x:c>
      <x:c r="O128" s="73" t="n">
        <x:v>8</x:v>
      </x:c>
    </x:row>
    <x:row r="129" ht="15" hidden="0">
      <x:c r="A129" s="73" t="n">
        <x:v>128</x:v>
      </x:c>
      <x:c r="B129" s="73" t="n">
        <x:v>130</x:v>
      </x:c>
      <x:c r="C129" s="73" t="s">
        <x:v>602</x:v>
      </x:c>
      <x:c r="D129" s="73" t="s">
        <x:v>540</x:v>
      </x:c>
      <x:c r="E129" s="73" t="s">
        <x:v>603</x:v>
      </x:c>
      <x:c r="F129" s="73" t="s">
        <x:v>604</x:v>
      </x:c>
      <x:c r="G129" s="73" t="s">
        <x:v>19</x:v>
      </x:c>
      <x:c r="H129" s="73" t="s">
        <x:v>605</x:v>
      </x:c>
      <x:c r="I129" s="73" t="n">
        <x:v>18</x:v>
      </x:c>
      <x:c r="J129" s="73" t="n">
        <x:v>35</x:v>
      </x:c>
      <x:c r="K129" s="73" t="s">
        <x:v>97</x:v>
      </x:c>
      <x:c r="L129" s="73" t="n">
        <x:v>2013</x:v>
      </x:c>
      <x:c r="M129" s="73" t="n">
        <x:v>12</x:v>
      </x:c>
      <x:c r="N129" s="73" t="n">
        <x:v>5</x:v>
      </x:c>
      <x:c r="O129" s="73" t="n">
        <x:v>16</x:v>
      </x:c>
    </x:row>
    <x:row r="130" ht="15" hidden="0">
      <x:c r="A130" s="73" t="n">
        <x:v>129</x:v>
      </x:c>
      <x:c r="B130" s="73" t="n">
        <x:v>131</x:v>
      </x:c>
      <x:c r="C130" s="73" t="s">
        <x:v>606</x:v>
      </x:c>
      <x:c r="D130" s="73" t="s">
        <x:v>545</x:v>
      </x:c>
      <x:c r="E130" s="73" t="s">
        <x:v>607</x:v>
      </x:c>
      <x:c r="F130" s="73" t="s">
        <x:v>608</x:v>
      </x:c>
      <x:c r="G130" s="73" t="s">
        <x:v>31</x:v>
      </x:c>
      <x:c r="H130" s="73" t="s">
        <x:v>609</x:v>
      </x:c>
      <x:c r="I130" s="73" t="n">
        <x:v>25</x:v>
      </x:c>
      <x:c r="J130" s="73" t="n">
        <x:v>50</x:v>
      </x:c>
      <x:c r="K130" s="73" t="s">
        <x:v>72</x:v>
      </x:c>
      <x:c r="L130" s="73" t="n">
        <x:v>2014</x:v>
      </x:c>
      <x:c r="M130" s="73" t="n">
        <x:v>7</x:v>
      </x:c>
      <x:c r="N130" s="73" t="n">
        <x:v>20</x:v>
      </x:c>
      <x:c r="O130" s="73" t="n">
        <x:v>11</x:v>
      </x:c>
    </x:row>
    <x:row r="131" ht="15" hidden="0">
      <x:c r="A131" s="73" t="n">
        <x:v>130</x:v>
      </x:c>
      <x:c r="B131" s="73" t="n">
        <x:v>132</x:v>
      </x:c>
      <x:c r="C131" s="73" t="s">
        <x:v>610</x:v>
      </x:c>
      <x:c r="D131" s="73" t="s">
        <x:v>550</x:v>
      </x:c>
      <x:c r="E131" s="73" t="s">
        <x:v>611</x:v>
      </x:c>
      <x:c r="F131" s="73" t="s">
        <x:v>612</x:v>
      </x:c>
      <x:c r="G131" s="73" t="s">
        <x:v>37</x:v>
      </x:c>
      <x:c r="H131" s="73" t="s">
        <x:v>613</x:v>
      </x:c>
      <x:c r="I131" s="73" t="n">
        <x:v>18</x:v>
      </x:c>
      <x:c r="J131" s="73" t="n">
        <x:v>35</x:v>
      </x:c>
      <x:c r="K131" s="73" t="s">
        <x:v>21</x:v>
      </x:c>
      <x:c r="L131" s="73" t="n">
        <x:v>2015</x:v>
      </x:c>
      <x:c r="M131" s="73" t="n">
        <x:v>12</x:v>
      </x:c>
      <x:c r="N131" s="73" t="n">
        <x:v>22</x:v>
      </x:c>
      <x:c r="O131" s="73" t="n">
        <x:v>14</x:v>
      </x:c>
    </x:row>
    <x:row r="132" ht="15" hidden="0">
      <x:c r="A132" s="73" t="n">
        <x:v>131</x:v>
      </x:c>
      <x:c r="B132" s="73" t="n">
        <x:v>133</x:v>
      </x:c>
      <x:c r="C132" s="73" t="s">
        <x:v>614</x:v>
      </x:c>
      <x:c r="D132" s="73" t="s">
        <x:v>555</x:v>
      </x:c>
      <x:c r="E132" s="73" t="s">
        <x:v>615</x:v>
      </x:c>
      <x:c r="F132" s="73" t="s">
        <x:v>616</x:v>
      </x:c>
      <x:c r="G132" s="73" t="s">
        <x:v>19</x:v>
      </x:c>
      <x:c r="H132" s="73" t="s">
        <x:v>617</x:v>
      </x:c>
      <x:c r="I132" s="73" t="n">
        <x:v>25</x:v>
      </x:c>
      <x:c r="J132" s="73" t="n">
        <x:v>50</x:v>
      </x:c>
      <x:c r="K132" s="73" t="s">
        <x:v>39</x:v>
      </x:c>
      <x:c r="L132" s="73" t="n">
        <x:v>2016</x:v>
      </x:c>
      <x:c r="M132" s="73" t="n">
        <x:v>2</x:v>
      </x:c>
      <x:c r="N132" s="73" t="n">
        <x:v>10</x:v>
      </x:c>
      <x:c r="O132" s="73" t="n">
        <x:v>19</x:v>
      </x:c>
    </x:row>
    <x:row r="133" ht="15" hidden="0">
      <x:c r="A133" s="73" t="n">
        <x:v>132</x:v>
      </x:c>
      <x:c r="B133" s="73" t="n">
        <x:v>134</x:v>
      </x:c>
      <x:c r="C133" s="73" t="s">
        <x:v>618</x:v>
      </x:c>
      <x:c r="D133" s="73" t="s">
        <x:v>560</x:v>
      </x:c>
      <x:c r="E133" s="73" t="s">
        <x:v>619</x:v>
      </x:c>
      <x:c r="F133" s="73" t="s">
        <x:v>620</x:v>
      </x:c>
      <x:c r="G133" s="73" t="s">
        <x:v>31</x:v>
      </x:c>
      <x:c r="H133" s="73" t="s">
        <x:v>621</x:v>
      </x:c>
      <x:c r="I133" s="73" t="n">
        <x:v>20</x:v>
      </x:c>
      <x:c r="J133" s="73" t="n">
        <x:v>40</x:v>
      </x:c>
      <x:c r="K133" s="73" t="s">
        <x:v>45</x:v>
      </x:c>
      <x:c r="L133" s="73" t="n">
        <x:v>2017</x:v>
      </x:c>
      <x:c r="M133" s="73" t="n">
        <x:v>4</x:v>
      </x:c>
      <x:c r="N133" s="73" t="n">
        <x:v>30</x:v>
      </x:c>
      <x:c r="O133" s="73" t="n">
        <x:v>11</x:v>
      </x:c>
    </x:row>
    <x:row r="134" ht="15" hidden="0">
      <x:c r="A134" s="73" t="n">
        <x:v>133</x:v>
      </x:c>
      <x:c r="B134" s="73" t="n">
        <x:v>135</x:v>
      </x:c>
      <x:c r="C134" s="73" t="s">
        <x:v>622</x:v>
      </x:c>
      <x:c r="D134" s="73" t="s">
        <x:v>565</x:v>
      </x:c>
      <x:c r="E134" s="73" t="s">
        <x:v>623</x:v>
      </x:c>
      <x:c r="F134" s="73" t="s">
        <x:v>624</x:v>
      </x:c>
      <x:c r="G134" s="73" t="s">
        <x:v>37</x:v>
      </x:c>
      <x:c r="H134" s="73" t="s">
        <x:v>625</x:v>
      </x:c>
      <x:c r="I134" s="73" t="n">
        <x:v>15</x:v>
      </x:c>
      <x:c r="J134" s="73" t="n">
        <x:v>30</x:v>
      </x:c>
      <x:c r="K134" s="73" t="s">
        <x:v>97</x:v>
      </x:c>
      <x:c r="L134" s="73" t="n">
        <x:v>2018</x:v>
      </x:c>
      <x:c r="M134" s="73" t="n">
        <x:v>9</x:v>
      </x:c>
      <x:c r="N134" s="73" t="n">
        <x:v>15</x:v>
      </x:c>
      <x:c r="O134" s="73" t="n">
        <x:v>16</x:v>
      </x:c>
    </x:row>
    <x:row r="135" ht="15" hidden="0">
      <x:c r="A135" s="73" t="n">
        <x:v>134</x:v>
      </x:c>
      <x:c r="B135" s="73" t="n">
        <x:v>136</x:v>
      </x:c>
      <x:c r="C135" s="73" t="s">
        <x:v>626</x:v>
      </x:c>
      <x:c r="D135" s="73" t="s">
        <x:v>571</x:v>
      </x:c>
      <x:c r="E135" s="73" t="s">
        <x:v>627</x:v>
      </x:c>
      <x:c r="F135" s="73" t="s">
        <x:v>628</x:v>
      </x:c>
      <x:c r="G135" s="73" t="s">
        <x:v>19</x:v>
      </x:c>
      <x:c r="H135" s="73" t="s">
        <x:v>629</x:v>
      </x:c>
      <x:c r="I135" s="73" t="n">
        <x:v>22</x:v>
      </x:c>
      <x:c r="J135" s="73" t="n">
        <x:v>45</x:v>
      </x:c>
      <x:c r="K135" s="73" t="s">
        <x:v>142</x:v>
      </x:c>
      <x:c r="L135" s="73" t="n">
        <x:v>2019</x:v>
      </x:c>
      <x:c r="M135" s="73" t="n">
        <x:v>6</x:v>
      </x:c>
      <x:c r="N135" s="73" t="n">
        <x:v>28</x:v>
      </x:c>
      <x:c r="O135" s="73" t="n">
        <x:v>18</x:v>
      </x:c>
    </x:row>
    <x:row r="136" ht="15" hidden="0">
      <x:c r="A136" s="73" t="n">
        <x:v>135</x:v>
      </x:c>
      <x:c r="B136" s="73" t="n">
        <x:v>137</x:v>
      </x:c>
      <x:c r="C136" s="73" t="s">
        <x:v>630</x:v>
      </x:c>
      <x:c r="D136" s="73" t="s">
        <x:v>576</x:v>
      </x:c>
      <x:c r="E136" s="73" t="s">
        <x:v>631</x:v>
      </x:c>
      <x:c r="F136" s="73" t="s">
        <x:v>632</x:v>
      </x:c>
      <x:c r="G136" s="73" t="s">
        <x:v>31</x:v>
      </x:c>
      <x:c r="H136" s="73" t="s">
        <x:v>633</x:v>
      </x:c>
      <x:c r="I136" s="73" t="n">
        <x:v>18</x:v>
      </x:c>
      <x:c r="J136" s="73" t="n">
        <x:v>35</x:v>
      </x:c>
      <x:c r="K136" s="73" t="s">
        <x:v>160</x:v>
      </x:c>
      <x:c r="L136" s="73" t="n">
        <x:v>2020</x:v>
      </x:c>
      <x:c r="M136" s="73" t="n">
        <x:v>11</x:v>
      </x:c>
      <x:c r="N136" s="73" t="n">
        <x:v>11</x:v>
      </x:c>
      <x:c r="O136" s="73" t="n">
        <x:v>15</x:v>
      </x:c>
    </x:row>
    <x:row r="137" ht="15" hidden="0">
      <x:c r="A137" s="73" t="n">
        <x:v>136</x:v>
      </x:c>
      <x:c r="B137" s="73" t="n">
        <x:v>138</x:v>
      </x:c>
      <x:c r="C137" s="73" t="s">
        <x:v>634</x:v>
      </x:c>
      <x:c r="D137" s="73" t="s">
        <x:v>513</x:v>
      </x:c>
      <x:c r="E137" s="73" t="s">
        <x:v>635</x:v>
      </x:c>
      <x:c r="F137" s="73" t="s">
        <x:v>636</x:v>
      </x:c>
      <x:c r="G137" s="73" t="s">
        <x:v>37</x:v>
      </x:c>
      <x:c r="H137" s="73" t="s">
        <x:v>637</x:v>
      </x:c>
      <x:c r="I137" s="73" t="n">
        <x:v>25</x:v>
      </x:c>
      <x:c r="J137" s="73" t="n">
        <x:v>50</x:v>
      </x:c>
      <x:c r="K137" s="73" t="s">
        <x:v>21</x:v>
      </x:c>
      <x:c r="L137" s="73" t="n">
        <x:v>2021</x:v>
      </x:c>
      <x:c r="M137" s="73" t="n">
        <x:v>3</x:v>
      </x:c>
      <x:c r="N137" s="73" t="n">
        <x:v>2</x:v>
      </x:c>
      <x:c r="O137" s="73" t="n">
        <x:v>9</x:v>
      </x:c>
    </x:row>
    <x:row r="138" ht="15" hidden="0">
      <x:c r="A138" s="73" t="n">
        <x:v>137</x:v>
      </x:c>
      <x:c r="B138" s="73" t="n">
        <x:v>139</x:v>
      </x:c>
      <x:c r="C138" s="73" t="s">
        <x:v>638</x:v>
      </x:c>
      <x:c r="D138" s="73" t="s">
        <x:v>513</x:v>
      </x:c>
      <x:c r="E138" s="73" t="s">
        <x:v>639</x:v>
      </x:c>
      <x:c r="F138" s="73" t="s">
        <x:v>640</x:v>
      </x:c>
      <x:c r="G138" s="73" t="s">
        <x:v>19</x:v>
      </x:c>
      <x:c r="H138" s="73" t="s">
        <x:v>641</x:v>
      </x:c>
      <x:c r="I138" s="73" t="n">
        <x:v>20</x:v>
      </x:c>
      <x:c r="J138" s="73" t="n">
        <x:v>40</x:v>
      </x:c>
      <x:c r="K138" s="73" t="s">
        <x:v>21</x:v>
      </x:c>
      <x:c r="L138" s="73" t="n">
        <x:v>2012</x:v>
      </x:c>
      <x:c r="M138" s="73" t="n">
        <x:v>2</x:v>
      </x:c>
      <x:c r="N138" s="73" t="n">
        <x:v>18</x:v>
      </x:c>
      <x:c r="O138" s="73" t="n">
        <x:v>14</x:v>
      </x:c>
    </x:row>
    <x:row r="139" ht="15" hidden="0">
      <x:c r="A139" s="73" t="n">
        <x:v>138</x:v>
      </x:c>
      <x:c r="B139" s="73" t="n">
        <x:v>140</x:v>
      </x:c>
      <x:c r="C139" s="73" t="s">
        <x:v>642</x:v>
      </x:c>
      <x:c r="D139" s="73" t="s">
        <x:v>518</x:v>
      </x:c>
      <x:c r="E139" s="73" t="s">
        <x:v>643</x:v>
      </x:c>
      <x:c r="F139" s="73" t="s">
        <x:v>644</x:v>
      </x:c>
      <x:c r="G139" s="73" t="s">
        <x:v>31</x:v>
      </x:c>
      <x:c r="H139" s="73" t="s">
        <x:v>645</x:v>
      </x:c>
      <x:c r="I139" s="73" t="n">
        <x:v>15</x:v>
      </x:c>
      <x:c r="J139" s="73" t="n">
        <x:v>30</x:v>
      </x:c>
      <x:c r="K139" s="73" t="s">
        <x:v>222</x:v>
      </x:c>
      <x:c r="L139" s="73" t="n">
        <x:v>2018</x:v>
      </x:c>
      <x:c r="M139" s="73" t="n">
        <x:v>11</x:v>
      </x:c>
      <x:c r="N139" s="73" t="n">
        <x:v>5</x:v>
      </x:c>
      <x:c r="O139" s="73" t="n">
        <x:v>21</x:v>
      </x:c>
    </x:row>
    <x:row r="140" ht="15" hidden="0">
      <x:c r="A140" s="73" t="n">
        <x:v>139</x:v>
      </x:c>
      <x:c r="B140" s="73" t="n">
        <x:v>141</x:v>
      </x:c>
      <x:c r="C140" s="73" t="s">
        <x:v>646</x:v>
      </x:c>
      <x:c r="D140" s="73" t="s">
        <x:v>523</x:v>
      </x:c>
      <x:c r="E140" s="73" t="s">
        <x:v>647</x:v>
      </x:c>
      <x:c r="F140" s="73" t="s">
        <x:v>648</x:v>
      </x:c>
      <x:c r="G140" s="73" t="s">
        <x:v>37</x:v>
      </x:c>
      <x:c r="H140" s="73" t="s">
        <x:v>649</x:v>
      </x:c>
      <x:c r="I140" s="73" t="n">
        <x:v>25</x:v>
      </x:c>
      <x:c r="J140" s="73" t="n">
        <x:v>50</x:v>
      </x:c>
      <x:c r="K140" s="73" t="s">
        <x:v>50</x:v>
      </x:c>
      <x:c r="L140" s="73" t="n">
        <x:v>2015</x:v>
      </x:c>
      <x:c r="M140" s="73" t="n">
        <x:v>9</x:v>
      </x:c>
      <x:c r="N140" s="73" t="n">
        <x:v>12</x:v>
      </x:c>
      <x:c r="O140" s="73" t="n">
        <x:v>13</x:v>
      </x:c>
    </x:row>
    <x:row r="141" ht="15" hidden="0">
      <x:c r="A141" s="73" t="n">
        <x:v>140</x:v>
      </x:c>
      <x:c r="B141" s="73" t="n">
        <x:v>142</x:v>
      </x:c>
      <x:c r="C141" s="73" t="s">
        <x:v>650</x:v>
      </x:c>
      <x:c r="D141" s="73" t="s">
        <x:v>529</x:v>
      </x:c>
      <x:c r="E141" s="73" t="s">
        <x:v>651</x:v>
      </x:c>
      <x:c r="F141" s="73" t="s">
        <x:v>652</x:v>
      </x:c>
      <x:c r="G141" s="73" t="s">
        <x:v>19</x:v>
      </x:c>
      <x:c r="H141" s="73" t="s">
        <x:v>653</x:v>
      </x:c>
      <x:c r="I141" s="73" t="n">
        <x:v>18</x:v>
      </x:c>
      <x:c r="J141" s="73" t="n">
        <x:v>35</x:v>
      </x:c>
      <x:c r="K141" s="73" t="s">
        <x:v>585</x:v>
      </x:c>
      <x:c r="L141" s="73" t="n">
        <x:v>2016</x:v>
      </x:c>
      <x:c r="M141" s="73" t="n">
        <x:v>7</x:v>
      </x:c>
      <x:c r="N141" s="73" t="n">
        <x:v>30</x:v>
      </x:c>
      <x:c r="O141" s="73" t="n">
        <x:v>18</x:v>
      </x:c>
    </x:row>
    <x:row r="142" ht="15" hidden="0">
      <x:c r="A142" s="73" t="n">
        <x:v>141</x:v>
      </x:c>
      <x:c r="B142" s="73" t="n">
        <x:v>143</x:v>
      </x:c>
      <x:c r="C142" s="73" t="s">
        <x:v>654</x:v>
      </x:c>
      <x:c r="D142" s="73" t="s">
        <x:v>535</x:v>
      </x:c>
      <x:c r="E142" s="73" t="s">
        <x:v>655</x:v>
      </x:c>
      <x:c r="F142" s="73" t="s">
        <x:v>656</x:v>
      </x:c>
      <x:c r="G142" s="73" t="s">
        <x:v>31</x:v>
      </x:c>
      <x:c r="H142" s="73" t="s">
        <x:v>657</x:v>
      </x:c>
      <x:c r="I142" s="73" t="n">
        <x:v>30</x:v>
      </x:c>
      <x:c r="J142" s="73" t="n">
        <x:v>60</x:v>
      </x:c>
      <x:c r="K142" s="73" t="s">
        <x:v>123</x:v>
      </x:c>
      <x:c r="L142" s="73" t="n">
        <x:v>2013</x:v>
      </x:c>
      <x:c r="M142" s="73" t="n">
        <x:v>4</x:v>
      </x:c>
      <x:c r="N142" s="73" t="n">
        <x:v>20</x:v>
      </x:c>
      <x:c r="O142" s="73" t="n">
        <x:v>10</x:v>
      </x:c>
    </x:row>
    <x:row r="143" ht="15" hidden="0">
      <x:c r="A143" s="73" t="n">
        <x:v>142</x:v>
      </x:c>
      <x:c r="B143" s="73" t="n">
        <x:v>144</x:v>
      </x:c>
      <x:c r="C143" s="73" t="s">
        <x:v>658</x:v>
      </x:c>
      <x:c r="D143" s="73" t="s">
        <x:v>540</x:v>
      </x:c>
      <x:c r="E143" s="73" t="s">
        <x:v>659</x:v>
      </x:c>
      <x:c r="F143" s="73" t="s">
        <x:v>660</x:v>
      </x:c>
      <x:c r="G143" s="73" t="s">
        <x:v>37</x:v>
      </x:c>
      <x:c r="H143" s="73" t="s">
        <x:v>661</x:v>
      </x:c>
      <x:c r="I143" s="73" t="n">
        <x:v>22</x:v>
      </x:c>
      <x:c r="J143" s="73" t="n">
        <x:v>45</x:v>
      </x:c>
      <x:c r="K143" s="73" t="s">
        <x:v>97</x:v>
      </x:c>
      <x:c r="L143" s="73" t="n">
        <x:v>2017</x:v>
      </x:c>
      <x:c r="M143" s="73" t="n">
        <x:v>12</x:v>
      </x:c>
      <x:c r="N143" s="73" t="n">
        <x:v>8</x:v>
      </x:c>
      <x:c r="O143" s="73" t="n">
        <x:v>19</x:v>
      </x:c>
    </x:row>
    <x:row r="144" ht="15" hidden="0">
      <x:c r="A144" s="73" t="n">
        <x:v>143</x:v>
      </x:c>
      <x:c r="B144" s="73" t="n">
        <x:v>145</x:v>
      </x:c>
      <x:c r="C144" s="73" t="s">
        <x:v>662</x:v>
      </x:c>
      <x:c r="D144" s="73" t="s">
        <x:v>545</x:v>
      </x:c>
      <x:c r="E144" s="73" t="s">
        <x:v>663</x:v>
      </x:c>
      <x:c r="F144" s="73" t="s">
        <x:v>664</x:v>
      </x:c>
      <x:c r="G144" s="73" t="s">
        <x:v>19</x:v>
      </x:c>
      <x:c r="H144" s="73" t="s">
        <x:v>665</x:v>
      </x:c>
      <x:c r="I144" s="73" t="n">
        <x:v>15</x:v>
      </x:c>
      <x:c r="J144" s="73" t="n">
        <x:v>30</x:v>
      </x:c>
      <x:c r="K144" s="73" t="s">
        <x:v>39</x:v>
      </x:c>
      <x:c r="L144" s="73" t="n">
        <x:v>2014</x:v>
      </x:c>
      <x:c r="M144" s="73" t="n">
        <x:v>6</x:v>
      </x:c>
      <x:c r="N144" s="73" t="n">
        <x:v>3</x:v>
      </x:c>
      <x:c r="O144" s="73" t="n">
        <x:v>8</x:v>
      </x:c>
    </x:row>
    <x:row r="145" ht="15" hidden="0">
      <x:c r="A145" s="73" t="n">
        <x:v>144</x:v>
      </x:c>
      <x:c r="B145" s="73" t="n">
        <x:v>146</x:v>
      </x:c>
      <x:c r="C145" s="73" t="s">
        <x:v>666</x:v>
      </x:c>
      <x:c r="D145" s="73" t="s">
        <x:v>667</x:v>
      </x:c>
      <x:c r="E145" s="73" t="s">
        <x:v>668</x:v>
      </x:c>
      <x:c r="F145" s="73" t="s">
        <x:v>669</x:v>
      </x:c>
      <x:c r="G145" s="73" t="s">
        <x:v>31</x:v>
      </x:c>
      <x:c r="H145" s="73" t="s">
        <x:v>670</x:v>
      </x:c>
      <x:c r="I145" s="73" t="n">
        <x:v>18</x:v>
      </x:c>
      <x:c r="J145" s="73" t="n">
        <x:v>35</x:v>
      </x:c>
      <x:c r="K145" s="73" t="s">
        <x:v>45</x:v>
      </x:c>
      <x:c r="L145" s="73" t="n">
        <x:v>2019</x:v>
      </x:c>
      <x:c r="M145" s="73" t="n">
        <x:v>1</x:v>
      </x:c>
      <x:c r="N145" s="73" t="n">
        <x:v>15</x:v>
      </x:c>
      <x:c r="O145" s="73" t="n">
        <x:v>14</x:v>
      </x:c>
    </x:row>
    <x:row r="146" ht="15" hidden="0">
      <x:c r="A146" s="73" t="n">
        <x:v>145</x:v>
      </x:c>
      <x:c r="B146" s="73" t="n">
        <x:v>147</x:v>
      </x:c>
      <x:c r="C146" s="73" t="s">
        <x:v>671</x:v>
      </x:c>
      <x:c r="D146" s="73" t="s">
        <x:v>555</x:v>
      </x:c>
      <x:c r="E146" s="73" t="s">
        <x:v>672</x:v>
      </x:c>
      <x:c r="F146" s="73" t="s">
        <x:v>673</x:v>
      </x:c>
      <x:c r="G146" s="73" t="s">
        <x:v>37</x:v>
      </x:c>
      <x:c r="H146" s="73" t="s">
        <x:v>674</x:v>
      </x:c>
      <x:c r="I146" s="73" t="n">
        <x:v>25</x:v>
      </x:c>
      <x:c r="J146" s="73" t="n">
        <x:v>50</x:v>
      </x:c>
      <x:c r="K146" s="73" t="s">
        <x:v>533</x:v>
      </x:c>
      <x:c r="L146" s="73" t="n">
        <x:v>2016</x:v>
      </x:c>
      <x:c r="M146" s="73" t="n">
        <x:v>12</x:v>
      </x:c>
      <x:c r="N146" s="73" t="n">
        <x:v>25</x:v>
      </x:c>
      <x:c r="O146" s="73" t="n">
        <x:v>19</x:v>
      </x:c>
    </x:row>
    <x:row r="147" ht="15" hidden="0">
      <x:c r="A147" s="73" t="n">
        <x:v>146</x:v>
      </x:c>
      <x:c r="B147" s="73" t="n">
        <x:v>148</x:v>
      </x:c>
      <x:c r="C147" s="73" t="s">
        <x:v>675</x:v>
      </x:c>
      <x:c r="D147" s="73" t="s">
        <x:v>560</x:v>
      </x:c>
      <x:c r="E147" s="73" t="s">
        <x:v>676</x:v>
      </x:c>
      <x:c r="F147" s="73" t="s">
        <x:v>677</x:v>
      </x:c>
      <x:c r="G147" s="73" t="s">
        <x:v>19</x:v>
      </x:c>
      <x:c r="H147" s="73" t="s">
        <x:v>678</x:v>
      </x:c>
      <x:c r="I147" s="73" t="n">
        <x:v>20</x:v>
      </x:c>
      <x:c r="J147" s="73" t="n">
        <x:v>40</x:v>
      </x:c>
      <x:c r="K147" s="73" t="s">
        <x:v>50</x:v>
      </x:c>
      <x:c r="L147" s="73" t="n">
        <x:v>2018</x:v>
      </x:c>
      <x:c r="M147" s="73" t="n">
        <x:v>3</x:v>
      </x:c>
      <x:c r="N147" s="73" t="n">
        <x:v>10</x:v>
      </x:c>
      <x:c r="O147" s="73" t="n">
        <x:v>9</x:v>
      </x:c>
    </x:row>
    <x:row r="148" ht="15" hidden="0">
      <x:c r="A148" s="73" t="n">
        <x:v>147</x:v>
      </x:c>
      <x:c r="B148" s="73" t="n">
        <x:v>149</x:v>
      </x:c>
      <x:c r="C148" s="73" t="s">
        <x:v>679</x:v>
      </x:c>
      <x:c r="D148" s="73" t="s">
        <x:v>565</x:v>
      </x:c>
      <x:c r="E148" s="73" t="s">
        <x:v>680</x:v>
      </x:c>
      <x:c r="F148" s="73" t="s">
        <x:v>681</x:v>
      </x:c>
      <x:c r="G148" s="73" t="s">
        <x:v>31</x:v>
      </x:c>
      <x:c r="H148" s="73" t="s">
        <x:v>682</x:v>
      </x:c>
      <x:c r="I148" s="73" t="n">
        <x:v>15</x:v>
      </x:c>
      <x:c r="J148" s="73" t="n">
        <x:v>30</x:v>
      </x:c>
      <x:c r="K148" s="73" t="s">
        <x:v>110</x:v>
      </x:c>
      <x:c r="L148" s="73" t="n">
        <x:v>2020</x:v>
      </x:c>
      <x:c r="M148" s="73" t="n">
        <x:v>9</x:v>
      </x:c>
      <x:c r="N148" s="73" t="n">
        <x:v>17</x:v>
      </x:c>
      <x:c r="O148" s="73" t="n">
        <x:v>16</x:v>
      </x:c>
    </x:row>
    <x:row r="149" ht="15" hidden="0">
      <x:c r="A149" s="73" t="n">
        <x:v>148</x:v>
      </x:c>
      <x:c r="B149" s="73" t="n">
        <x:v>150</x:v>
      </x:c>
      <x:c r="C149" s="73" t="s">
        <x:v>683</x:v>
      </x:c>
      <x:c r="D149" s="73" t="s">
        <x:v>684</x:v>
      </x:c>
      <x:c r="E149" s="73" t="s">
        <x:v>685</x:v>
      </x:c>
      <x:c r="F149" s="73" t="s">
        <x:v>686</x:v>
      </x:c>
      <x:c r="G149" s="73" t="s">
        <x:v>37</x:v>
      </x:c>
      <x:c r="H149" s="73" t="s">
        <x:v>687</x:v>
      </x:c>
      <x:c r="I149" s="73" t="n">
        <x:v>22</x:v>
      </x:c>
      <x:c r="J149" s="73" t="n">
        <x:v>45</x:v>
      </x:c>
      <x:c r="K149" s="73" t="s">
        <x:v>97</x:v>
      </x:c>
      <x:c r="L149" s="73" t="n">
        <x:v>2011</x:v>
      </x:c>
      <x:c r="M149" s="73" t="n">
        <x:v>8</x:v>
      </x:c>
      <x:c r="N149" s="73" t="n">
        <x:v>28</x:v>
      </x:c>
      <x:c r="O149" s="73" t="n">
        <x:v>18</x:v>
      </x:c>
    </x:row>
    <x:row r="150" ht="15" hidden="0">
      <x:c r="A150" s="73" t="n">
        <x:v>149</x:v>
      </x:c>
      <x:c r="B150" s="73" t="n">
        <x:v>151</x:v>
      </x:c>
      <x:c r="C150" s="73" t="s">
        <x:v>688</x:v>
      </x:c>
      <x:c r="D150" s="73" t="s">
        <x:v>689</x:v>
      </x:c>
      <x:c r="E150" s="73" t="s">
        <x:v>690</x:v>
      </x:c>
      <x:c r="F150" s="73" t="s">
        <x:v>691</x:v>
      </x:c>
      <x:c r="G150" s="73" t="s">
        <x:v>19</x:v>
      </x:c>
      <x:c r="H150" s="73" t="s">
        <x:v>692</x:v>
      </x:c>
      <x:c r="I150" s="73" t="n">
        <x:v>18</x:v>
      </x:c>
      <x:c r="J150" s="73" t="n">
        <x:v>35</x:v>
      </x:c>
      <x:c r="K150" s="73" t="s">
        <x:v>45</x:v>
      </x:c>
      <x:c r="L150" s="73" t="n">
        <x:v>2017</x:v>
      </x:c>
      <x:c r="M150" s="73" t="n">
        <x:v>11</x:v>
      </x:c>
      <x:c r="N150" s="73" t="n">
        <x:v>1</x:v>
      </x:c>
      <x:c r="O150" s="73" t="n">
        <x:v>15</x:v>
      </x:c>
    </x:row>
    <x:row r="151" ht="15" hidden="0">
      <x:c r="A151" s="73" t="n">
        <x:v>150</x:v>
      </x:c>
      <x:c r="B151" s="73" t="n">
        <x:v>152</x:v>
      </x:c>
      <x:c r="C151" s="73" t="s">
        <x:v>693</x:v>
      </x:c>
      <x:c r="D151" s="73" t="s">
        <x:v>513</x:v>
      </x:c>
      <x:c r="E151" s="73" t="s">
        <x:v>694</x:v>
      </x:c>
      <x:c r="F151" s="73" t="s">
        <x:v>695</x:v>
      </x:c>
      <x:c r="G151" s="73" t="s">
        <x:v>31</x:v>
      </x:c>
      <x:c r="H151" s="73" t="s">
        <x:v>696</x:v>
      </x:c>
      <x:c r="I151" s="73" t="n">
        <x:v>25</x:v>
      </x:c>
      <x:c r="J151" s="73" t="n">
        <x:v>50</x:v>
      </x:c>
      <x:c r="K151" s="73" t="s">
        <x:v>293</x:v>
      </x:c>
      <x:c r="L151" s="73" t="n">
        <x:v>2019</x:v>
      </x:c>
      <x:c r="M151" s="73" t="n">
        <x:v>6</x:v>
      </x:c>
      <x:c r="N151" s="73" t="n">
        <x:v>15</x:v>
      </x:c>
      <x:c r="O151" s="73" t="n">
        <x:v>10</x:v>
      </x:c>
    </x:row>
    <x:row r="152" ht="15" hidden="0">
      <x:c r="A152" s="73" t="n">
        <x:v>151</x:v>
      </x:c>
      <x:c r="B152" s="73" t="n">
        <x:v>153</x:v>
      </x:c>
      <x:c r="C152" s="73" t="s">
        <x:v>697</x:v>
      </x:c>
      <x:c r="D152" s="73" t="s">
        <x:v>518</x:v>
      </x:c>
      <x:c r="E152" s="73" t="s">
        <x:v>698</x:v>
      </x:c>
      <x:c r="F152" s="73" t="s">
        <x:v>699</x:v>
      </x:c>
      <x:c r="G152" s="73" t="s">
        <x:v>37</x:v>
      </x:c>
      <x:c r="H152" s="73" t="s">
        <x:v>700</x:v>
      </x:c>
      <x:c r="I152" s="73" t="n">
        <x:v>15</x:v>
      </x:c>
      <x:c r="J152" s="73" t="n">
        <x:v>30</x:v>
      </x:c>
      <x:c r="K152" s="73" t="s">
        <x:v>110</x:v>
      </x:c>
      <x:c r="L152" s="73" t="n">
        <x:v>2022</x:v>
      </x:c>
      <x:c r="M152" s="73" t="n">
        <x:v>4</x:v>
      </x:c>
      <x:c r="N152" s="73" t="n">
        <x:v>3</x:v>
      </x:c>
      <x:c r="O152" s="73" t="n">
        <x:v>11</x:v>
      </x:c>
    </x:row>
    <x:row r="153" ht="15" hidden="0">
      <x:c r="A153" s="73" t="n">
        <x:v>152</x:v>
      </x:c>
      <x:c r="B153" s="73" t="n">
        <x:v>154</x:v>
      </x:c>
      <x:c r="C153" s="73" t="s">
        <x:v>701</x:v>
      </x:c>
      <x:c r="D153" s="73" t="s">
        <x:v>523</x:v>
      </x:c>
      <x:c r="E153" s="73" t="s">
        <x:v>702</x:v>
      </x:c>
      <x:c r="F153" s="73" t="s">
        <x:v>703</x:v>
      </x:c>
      <x:c r="G153" s="73" t="s">
        <x:v>19</x:v>
      </x:c>
      <x:c r="H153" s="73" t="s">
        <x:v>704</x:v>
      </x:c>
      <x:c r="I153" s="73" t="n">
        <x:v>30</x:v>
      </x:c>
      <x:c r="J153" s="73" t="n">
        <x:v>60</x:v>
      </x:c>
      <x:c r="K153" s="73" t="s">
        <x:v>50</x:v>
      </x:c>
      <x:c r="L153" s="73" t="n">
        <x:v>2010</x:v>
      </x:c>
      <x:c r="M153" s="73" t="n">
        <x:v>11</x:v>
      </x:c>
      <x:c r="N153" s="73" t="n">
        <x:v>12</x:v>
      </x:c>
      <x:c r="O153" s="73" t="n">
        <x:v>20</x:v>
      </x:c>
    </x:row>
    <x:row r="154" ht="15" hidden="0">
      <x:c r="A154" s="73" t="n">
        <x:v>153</x:v>
      </x:c>
      <x:c r="B154" s="73" t="n">
        <x:v>155</x:v>
      </x:c>
      <x:c r="C154" s="73" t="s">
        <x:v>705</x:v>
      </x:c>
      <x:c r="D154" s="73" t="s">
        <x:v>529</x:v>
      </x:c>
      <x:c r="E154" s="73" t="s">
        <x:v>706</x:v>
      </x:c>
      <x:c r="F154" s="73" t="s">
        <x:v>707</x:v>
      </x:c>
      <x:c r="G154" s="73" t="s">
        <x:v>31</x:v>
      </x:c>
      <x:c r="H154" s="73" t="s">
        <x:v>708</x:v>
      </x:c>
      <x:c r="I154" s="73" t="n">
        <x:v>22</x:v>
      </x:c>
      <x:c r="J154" s="73" t="n">
        <x:v>45</x:v>
      </x:c>
      <x:c r="K154" s="73" t="s">
        <x:v>254</x:v>
      </x:c>
      <x:c r="L154" s="73" t="n">
        <x:v>2011</x:v>
      </x:c>
      <x:c r="M154" s="73" t="n">
        <x:v>7</x:v>
      </x:c>
      <x:c r="N154" s="73" t="n">
        <x:v>22</x:v>
      </x:c>
      <x:c r="O154" s="73" t="n">
        <x:v>18</x:v>
      </x:c>
    </x:row>
    <x:row r="155" ht="15" hidden="0">
      <x:c r="A155" s="73" t="n">
        <x:v>154</x:v>
      </x:c>
      <x:c r="B155" s="73" t="n">
        <x:v>156</x:v>
      </x:c>
      <x:c r="C155" s="73" t="s">
        <x:v>709</x:v>
      </x:c>
      <x:c r="D155" s="73" t="s">
        <x:v>535</x:v>
      </x:c>
      <x:c r="E155" s="73" t="s">
        <x:v>710</x:v>
      </x:c>
      <x:c r="F155" s="73" t="s">
        <x:v>711</x:v>
      </x:c>
      <x:c r="G155" s="73" t="s">
        <x:v>37</x:v>
      </x:c>
      <x:c r="H155" s="73" t="s">
        <x:v>712</x:v>
      </x:c>
      <x:c r="I155" s="73" t="n">
        <x:v>15</x:v>
      </x:c>
      <x:c r="J155" s="73" t="n">
        <x:v>30</x:v>
      </x:c>
      <x:c r="K155" s="73" t="s">
        <x:v>315</x:v>
      </x:c>
      <x:c r="L155" s="73" t="n">
        <x:v>2012</x:v>
      </x:c>
      <x:c r="M155" s="73" t="n">
        <x:v>3</x:v>
      </x:c>
      <x:c r="N155" s="73" t="n">
        <x:v>30</x:v>
      </x:c>
      <x:c r="O155" s="73" t="n">
        <x:v>11</x:v>
      </x:c>
    </x:row>
    <x:row r="156" ht="15" hidden="0">
      <x:c r="A156" s="73" t="n">
        <x:v>155</x:v>
      </x:c>
      <x:c r="B156" s="73" t="n">
        <x:v>157</x:v>
      </x:c>
      <x:c r="C156" s="73" t="s">
        <x:v>713</x:v>
      </x:c>
      <x:c r="D156" s="73" t="s">
        <x:v>540</x:v>
      </x:c>
      <x:c r="E156" s="73" t="s">
        <x:v>714</x:v>
      </x:c>
      <x:c r="F156" s="73" t="s">
        <x:v>715</x:v>
      </x:c>
      <x:c r="G156" s="73" t="s">
        <x:v>19</x:v>
      </x:c>
      <x:c r="H156" s="73" t="s">
        <x:v>716</x:v>
      </x:c>
      <x:c r="I156" s="73" t="n">
        <x:v>18</x:v>
      </x:c>
      <x:c r="J156" s="73" t="n">
        <x:v>35</x:v>
      </x:c>
      <x:c r="K156" s="73" t="s">
        <x:v>39</x:v>
      </x:c>
      <x:c r="L156" s="73" t="n">
        <x:v>2013</x:v>
      </x:c>
      <x:c r="M156" s="73" t="n">
        <x:v>10</x:v>
      </x:c>
      <x:c r="N156" s="73" t="n">
        <x:v>5</x:v>
      </x:c>
      <x:c r="O156" s="73" t="n">
        <x:v>16</x:v>
      </x:c>
    </x:row>
    <x:row r="157" ht="15" hidden="0">
      <x:c r="A157" s="73" t="n">
        <x:v>156</x:v>
      </x:c>
      <x:c r="B157" s="73" t="n">
        <x:v>158</x:v>
      </x:c>
      <x:c r="C157" s="73" t="s">
        <x:v>717</x:v>
      </x:c>
      <x:c r="D157" s="73" t="s">
        <x:v>545</x:v>
      </x:c>
      <x:c r="E157" s="73" t="s">
        <x:v>718</x:v>
      </x:c>
      <x:c r="F157" s="73" t="s">
        <x:v>719</x:v>
      </x:c>
      <x:c r="G157" s="73" t="s">
        <x:v>31</x:v>
      </x:c>
      <x:c r="H157" s="73" t="s">
        <x:v>720</x:v>
      </x:c>
      <x:c r="I157" s="73" t="n">
        <x:v>25</x:v>
      </x:c>
      <x:c r="J157" s="73" t="n">
        <x:v>50</x:v>
      </x:c>
      <x:c r="K157" s="73" t="s">
        <x:v>721</x:v>
      </x:c>
      <x:c r="L157" s="73" t="n">
        <x:v>2014</x:v>
      </x:c>
      <x:c r="M157" s="73" t="n">
        <x:v>7</x:v>
      </x:c>
      <x:c r="N157" s="73" t="n">
        <x:v>10</x:v>
      </x:c>
      <x:c r="O157" s="73" t="n">
        <x:v>13</x:v>
      </x:c>
    </x:row>
    <x:row r="158" ht="15" hidden="0">
      <x:c r="A158" s="73" t="n">
        <x:v>157</x:v>
      </x:c>
      <x:c r="B158" s="73" t="n">
        <x:v>159</x:v>
      </x:c>
      <x:c r="C158" s="73" t="s">
        <x:v>722</x:v>
      </x:c>
      <x:c r="D158" s="73" t="s">
        <x:v>550</x:v>
      </x:c>
      <x:c r="E158" s="73" t="s">
        <x:v>723</x:v>
      </x:c>
      <x:c r="F158" s="73" t="s">
        <x:v>724</x:v>
      </x:c>
      <x:c r="G158" s="73" t="s">
        <x:v>37</x:v>
      </x:c>
      <x:c r="H158" s="73" t="s">
        <x:v>725</x:v>
      </x:c>
      <x:c r="I158" s="73" t="n">
        <x:v>18</x:v>
      </x:c>
      <x:c r="J158" s="73" t="n">
        <x:v>35</x:v>
      </x:c>
      <x:c r="K158" s="73" t="s">
        <x:v>21</x:v>
      </x:c>
      <x:c r="L158" s="73" t="n">
        <x:v>2015</x:v>
      </x:c>
      <x:c r="M158" s="73" t="n">
        <x:v>12</x:v>
      </x:c>
      <x:c r="N158" s="73" t="n">
        <x:v>18</x:v>
      </x:c>
      <x:c r="O158" s="73" t="n">
        <x:v>14</x:v>
      </x:c>
    </x:row>
    <x:row r="159" ht="15" hidden="0">
      <x:c r="A159" s="73" t="n">
        <x:v>158</x:v>
      </x:c>
      <x:c r="B159" s="73" t="n">
        <x:v>160</x:v>
      </x:c>
      <x:c r="C159" s="73" t="s">
        <x:v>726</x:v>
      </x:c>
      <x:c r="D159" s="73" t="s">
        <x:v>555</x:v>
      </x:c>
      <x:c r="E159" s="73" t="s">
        <x:v>615</x:v>
      </x:c>
      <x:c r="F159" s="73" t="s">
        <x:v>727</x:v>
      </x:c>
      <x:c r="G159" s="73" t="s">
        <x:v>19</x:v>
      </x:c>
      <x:c r="H159" s="73" t="s">
        <x:v>728</x:v>
      </x:c>
      <x:c r="I159" s="73" t="n">
        <x:v>25</x:v>
      </x:c>
      <x:c r="J159" s="73" t="n">
        <x:v>50</x:v>
      </x:c>
      <x:c r="K159" s="73" t="s">
        <x:v>27</x:v>
      </x:c>
      <x:c r="L159" s="73" t="n">
        <x:v>2016</x:v>
      </x:c>
      <x:c r="M159" s="73" t="n">
        <x:v>2</x:v>
      </x:c>
      <x:c r="N159" s="73" t="n">
        <x:v>10</x:v>
      </x:c>
      <x:c r="O159" s="73" t="n">
        <x:v>19</x:v>
      </x:c>
    </x:row>
    <x:row r="160" ht="15" hidden="0">
      <x:c r="A160" s="73" t="n">
        <x:v>159</x:v>
      </x:c>
      <x:c r="B160" s="73" t="n">
        <x:v>161</x:v>
      </x:c>
      <x:c r="C160" s="73" t="s">
        <x:v>729</x:v>
      </x:c>
      <x:c r="D160" s="73" t="s">
        <x:v>560</x:v>
      </x:c>
      <x:c r="E160" s="73" t="s">
        <x:v>730</x:v>
      </x:c>
      <x:c r="F160" s="73" t="s">
        <x:v>731</x:v>
      </x:c>
      <x:c r="G160" s="73" t="s">
        <x:v>31</x:v>
      </x:c>
      <x:c r="H160" s="73" t="s">
        <x:v>732</x:v>
      </x:c>
      <x:c r="I160" s="73" t="n">
        <x:v>20</x:v>
      </x:c>
      <x:c r="J160" s="73" t="n">
        <x:v>40</x:v>
      </x:c>
      <x:c r="K160" s="73" t="s">
        <x:v>137</x:v>
      </x:c>
      <x:c r="L160" s="73" t="n">
        <x:v>2017</x:v>
      </x:c>
      <x:c r="M160" s="73" t="n">
        <x:v>9</x:v>
      </x:c>
      <x:c r="N160" s="73" t="n">
        <x:v>25</x:v>
      </x:c>
      <x:c r="O160" s="73" t="n">
        <x:v>11</x:v>
      </x:c>
    </x:row>
    <x:row r="161" ht="15" hidden="0">
      <x:c r="A161" s="73" t="n">
        <x:v>160</x:v>
      </x:c>
      <x:c r="B161" s="73" t="n">
        <x:v>162</x:v>
      </x:c>
      <x:c r="C161" s="73" t="s">
        <x:v>733</x:v>
      </x:c>
      <x:c r="D161" s="73" t="s">
        <x:v>565</x:v>
      </x:c>
      <x:c r="E161" s="73" t="s">
        <x:v>734</x:v>
      </x:c>
      <x:c r="F161" s="73" t="s">
        <x:v>735</x:v>
      </x:c>
      <x:c r="G161" s="73" t="s">
        <x:v>37</x:v>
      </x:c>
      <x:c r="H161" s="73" t="s">
        <x:v>736</x:v>
      </x:c>
      <x:c r="I161" s="73" t="n">
        <x:v>15</x:v>
      </x:c>
      <x:c r="J161" s="73" t="n">
        <x:v>30</x:v>
      </x:c>
      <x:c r="K161" s="73" t="s">
        <x:v>315</x:v>
      </x:c>
      <x:c r="L161" s="73" t="n">
        <x:v>2018</x:v>
      </x:c>
      <x:c r="M161" s="73" t="n">
        <x:v>4</x:v>
      </x:c>
      <x:c r="N161" s="73" t="n">
        <x:v>15</x:v>
      </x:c>
      <x:c r="O161" s="73" t="n">
        <x:v>16</x:v>
      </x:c>
    </x:row>
    <x:row r="162" ht="15" hidden="0">
      <x:c r="A162" s="73" t="n">
        <x:v>161</x:v>
      </x:c>
      <x:c r="B162" s="73" t="n">
        <x:v>163</x:v>
      </x:c>
      <x:c r="C162" s="73" t="s">
        <x:v>737</x:v>
      </x:c>
      <x:c r="D162" s="73" t="s">
        <x:v>684</x:v>
      </x:c>
      <x:c r="E162" s="73" t="s">
        <x:v>738</x:v>
      </x:c>
      <x:c r="F162" s="73" t="s">
        <x:v>739</x:v>
      </x:c>
      <x:c r="G162" s="73" t="s">
        <x:v>19</x:v>
      </x:c>
      <x:c r="H162" s="73" t="s">
        <x:v>740</x:v>
      </x:c>
      <x:c r="I162" s="73" t="n">
        <x:v>22</x:v>
      </x:c>
      <x:c r="J162" s="73" t="n">
        <x:v>45</x:v>
      </x:c>
      <x:c r="K162" s="73" t="s">
        <x:v>50</x:v>
      </x:c>
      <x:c r="L162" s="73" t="n">
        <x:v>2019</x:v>
      </x:c>
      <x:c r="M162" s="73" t="n">
        <x:v>11</x:v>
      </x:c>
      <x:c r="N162" s="73" t="n">
        <x:v>28</x:v>
      </x:c>
      <x:c r="O162" s="73" t="n">
        <x:v>18</x:v>
      </x:c>
    </x:row>
    <x:row r="163" ht="15" hidden="0">
      <x:c r="A163" s="73" t="n">
        <x:v>162</x:v>
      </x:c>
      <x:c r="B163" s="73" t="n">
        <x:v>164</x:v>
      </x:c>
      <x:c r="C163" s="73" t="s">
        <x:v>741</x:v>
      </x:c>
      <x:c r="D163" s="73" t="s">
        <x:v>689</x:v>
      </x:c>
      <x:c r="E163" s="73" t="s">
        <x:v>742</x:v>
      </x:c>
      <x:c r="F163" s="73" t="s">
        <x:v>303</x:v>
      </x:c>
      <x:c r="G163" s="73" t="s">
        <x:v>31</x:v>
      </x:c>
      <x:c r="H163" s="73" t="s">
        <x:v>743</x:v>
      </x:c>
      <x:c r="I163" s="73" t="n">
        <x:v>18</x:v>
      </x:c>
      <x:c r="J163" s="73" t="n">
        <x:v>35</x:v>
      </x:c>
      <x:c r="K163" s="73" t="s">
        <x:v>33</x:v>
      </x:c>
      <x:c r="L163" s="73" t="n">
        <x:v>2020</x:v>
      </x:c>
      <x:c r="M163" s="73" t="n">
        <x:v>5</x:v>
      </x:c>
      <x:c r="N163" s="73" t="n">
        <x:v>11</x:v>
      </x:c>
      <x:c r="O163" s="73" t="n">
        <x:v>15</x:v>
      </x:c>
    </x:row>
    <x:row r="164" ht="15" hidden="0">
      <x:c r="A164" s="73" t="n">
        <x:v>163</x:v>
      </x:c>
      <x:c r="B164" s="73" t="n">
        <x:v>165</x:v>
      </x:c>
      <x:c r="C164" s="73" t="s">
        <x:v>744</x:v>
      </x:c>
      <x:c r="D164" s="73" t="s">
        <x:v>745</x:v>
      </x:c>
      <x:c r="E164" s="73" t="s">
        <x:v>746</x:v>
      </x:c>
      <x:c r="F164" s="73" t="s">
        <x:v>747</x:v>
      </x:c>
      <x:c r="G164" s="73" t="s">
        <x:v>37</x:v>
      </x:c>
      <x:c r="H164" s="73" t="s">
        <x:v>748</x:v>
      </x:c>
      <x:c r="I164" s="73" t="n">
        <x:v>25</x:v>
      </x:c>
      <x:c r="J164" s="73" t="n">
        <x:v>50</x:v>
      </x:c>
      <x:c r="K164" s="73" t="s">
        <x:v>585</x:v>
      </x:c>
      <x:c r="L164" s="73" t="n">
        <x:v>2021</x:v>
      </x:c>
      <x:c r="M164" s="73" t="n">
        <x:v>2</x:v>
      </x:c>
      <x:c r="N164" s="73" t="n">
        <x:v>5</x:v>
      </x:c>
      <x:c r="O164" s="73" t="n">
        <x:v>9</x:v>
      </x:c>
    </x:row>
    <x:row r="165" ht="15" hidden="0">
      <x:c r="A165" s="73" t="n">
        <x:v>164</x:v>
      </x:c>
      <x:c r="B165" s="73" t="n">
        <x:v>166</x:v>
      </x:c>
      <x:c r="C165" s="73" t="s">
        <x:v>749</x:v>
      </x:c>
      <x:c r="D165" s="73" t="s">
        <x:v>750</x:v>
      </x:c>
      <x:c r="E165" s="73" t="s">
        <x:v>751</x:v>
      </x:c>
      <x:c r="F165" s="73" t="s">
        <x:v>752</x:v>
      </x:c>
      <x:c r="G165" s="73" t="s">
        <x:v>19</x:v>
      </x:c>
      <x:c r="H165" s="73" t="s">
        <x:v>753</x:v>
      </x:c>
      <x:c r="I165" s="73" t="n">
        <x:v>5</x:v>
      </x:c>
      <x:c r="J165" s="73" t="n">
        <x:v>10</x:v>
      </x:c>
      <x:c r="K165" s="73" t="s">
        <x:v>260</x:v>
      </x:c>
      <x:c r="L165" s="73" t="n">
        <x:v>2021</x:v>
      </x:c>
      <x:c r="M165" s="73" t="n">
        <x:v>3</x:v>
      </x:c>
      <x:c r="N165" s="73" t="n">
        <x:v>10</x:v>
      </x:c>
      <x:c r="O165" s="73" t="n">
        <x:v>8</x:v>
      </x:c>
    </x:row>
    <x:row r="166" ht="15" hidden="0">
      <x:c r="A166" s="73" t="n">
        <x:v>165</x:v>
      </x:c>
      <x:c r="B166" s="73" t="n">
        <x:v>167</x:v>
      </x:c>
      <x:c r="C166" s="73" t="s">
        <x:v>754</x:v>
      </x:c>
      <x:c r="D166" s="73" t="s">
        <x:v>755</x:v>
      </x:c>
      <x:c r="E166" s="73" t="s">
        <x:v>756</x:v>
      </x:c>
      <x:c r="F166" s="73" t="s">
        <x:v>757</x:v>
      </x:c>
      <x:c r="G166" s="73" t="s">
        <x:v>31</x:v>
      </x:c>
      <x:c r="H166" s="73" t="s">
        <x:v>758</x:v>
      </x:c>
      <x:c r="I166" s="73" t="n">
        <x:v>8</x:v>
      </x:c>
      <x:c r="J166" s="73" t="n">
        <x:v>15</x:v>
      </x:c>
      <x:c r="K166" s="73" t="s">
        <x:v>759</x:v>
      </x:c>
      <x:c r="L166" s="73" t="n">
        <x:v>2022</x:v>
      </x:c>
      <x:c r="M166" s="73" t="n">
        <x:v>7</x:v>
      </x:c>
      <x:c r="N166" s="73" t="n">
        <x:v>5</x:v>
      </x:c>
      <x:c r="O166" s="73" t="n">
        <x:v>15</x:v>
      </x:c>
    </x:row>
    <x:row r="167" ht="15" hidden="0">
      <x:c r="A167" s="73" t="n">
        <x:v>166</x:v>
      </x:c>
      <x:c r="B167" s="73" t="n">
        <x:v>168</x:v>
      </x:c>
      <x:c r="C167" s="73" t="s">
        <x:v>760</x:v>
      </x:c>
      <x:c r="D167" s="73" t="s">
        <x:v>761</x:v>
      </x:c>
      <x:c r="E167" s="73" t="s">
        <x:v>762</x:v>
      </x:c>
      <x:c r="F167" s="73" t="s">
        <x:v>763</x:v>
      </x:c>
      <x:c r="G167" s="73" t="s">
        <x:v>37</x:v>
      </x:c>
      <x:c r="H167" s="73" t="s">
        <x:v>764</x:v>
      </x:c>
      <x:c r="I167" s="73" t="n">
        <x:v>10</x:v>
      </x:c>
      <x:c r="J167" s="73" t="n">
        <x:v>20</x:v>
      </x:c>
      <x:c r="K167" s="73" t="s">
        <x:v>293</x:v>
      </x:c>
      <x:c r="L167" s="73" t="n">
        <x:v>2019</x:v>
      </x:c>
      <x:c r="M167" s="73" t="n">
        <x:v>11</x:v>
      </x:c>
      <x:c r="N167" s="73" t="n">
        <x:v>18</x:v>
      </x:c>
      <x:c r="O167" s="73" t="n">
        <x:v>21</x:v>
      </x:c>
    </x:row>
    <x:row r="168" ht="15" hidden="0">
      <x:c r="A168" s="73" t="n">
        <x:v>167</x:v>
      </x:c>
      <x:c r="B168" s="73" t="n">
        <x:v>169</x:v>
      </x:c>
      <x:c r="C168" s="73" t="s">
        <x:v>765</x:v>
      </x:c>
      <x:c r="D168" s="73" t="s">
        <x:v>766</x:v>
      </x:c>
      <x:c r="E168" s="73" t="s">
        <x:v>767</x:v>
      </x:c>
      <x:c r="F168" s="73" t="s">
        <x:v>768</x:v>
      </x:c>
      <x:c r="G168" s="73" t="s">
        <x:v>19</x:v>
      </x:c>
      <x:c r="H168" s="73" t="s">
        <x:v>769</x:v>
      </x:c>
      <x:c r="I168" s="73" t="n">
        <x:v>12</x:v>
      </x:c>
      <x:c r="J168" s="73" t="n">
        <x:v>25</x:v>
      </x:c>
      <x:c r="K168" s="73" t="s">
        <x:v>770</x:v>
      </x:c>
      <x:c r="L168" s="73" t="n">
        <x:v>2020</x:v>
      </x:c>
      <x:c r="M168" s="73" t="n">
        <x:v>8</x:v>
      </x:c>
      <x:c r="N168" s="73" t="n">
        <x:v>12</x:v>
      </x:c>
      <x:c r="O168" s="73" t="n">
        <x:v>11</x:v>
      </x:c>
    </x:row>
    <x:row r="169" ht="15" hidden="0">
      <x:c r="A169" s="73" t="n">
        <x:v>168</x:v>
      </x:c>
      <x:c r="B169" s="73" t="n">
        <x:v>170</x:v>
      </x:c>
      <x:c r="C169" s="73" t="s">
        <x:v>771</x:v>
      </x:c>
      <x:c r="D169" s="73" t="s">
        <x:v>772</x:v>
      </x:c>
      <x:c r="E169" s="73" t="s">
        <x:v>773</x:v>
      </x:c>
      <x:c r="F169" s="73" t="s">
        <x:v>774</x:v>
      </x:c>
      <x:c r="G169" s="73" t="s">
        <x:v>31</x:v>
      </x:c>
      <x:c r="H169" s="73" t="s">
        <x:v>775</x:v>
      </x:c>
      <x:c r="I169" s="73" t="n">
        <x:v>7</x:v>
      </x:c>
      <x:c r="J169" s="73" t="n">
        <x:v>15</x:v>
      </x:c>
      <x:c r="K169" s="73" t="s">
        <x:v>776</x:v>
      </x:c>
      <x:c r="L169" s="73" t="n">
        <x:v>2018</x:v>
      </x:c>
      <x:c r="M169" s="73" t="n">
        <x:v>5</x:v>
      </x:c>
      <x:c r="N169" s="73" t="n">
        <x:v>22</x:v>
      </x:c>
      <x:c r="O169" s="73" t="n">
        <x:v>14</x:v>
      </x:c>
    </x:row>
    <x:row r="170" ht="15" hidden="0">
      <x:c r="A170" s="73" t="n">
        <x:v>169</x:v>
      </x:c>
      <x:c r="B170" s="73" t="n">
        <x:v>171</x:v>
      </x:c>
      <x:c r="C170" s="73" t="s">
        <x:v>777</x:v>
      </x:c>
      <x:c r="D170" s="73" t="s">
        <x:v>778</x:v>
      </x:c>
      <x:c r="E170" s="73" t="s">
        <x:v>779</x:v>
      </x:c>
      <x:c r="F170" s="73" t="s">
        <x:v>780</x:v>
      </x:c>
      <x:c r="G170" s="73" t="s">
        <x:v>37</x:v>
      </x:c>
      <x:c r="H170" s="73" t="s">
        <x:v>781</x:v>
      </x:c>
      <x:c r="I170" s="73" t="n">
        <x:v>10</x:v>
      </x:c>
      <x:c r="J170" s="73" t="n">
        <x:v>20</x:v>
      </x:c>
      <x:c r="K170" s="73" t="s">
        <x:v>260</x:v>
      </x:c>
      <x:c r="L170" s="73" t="n">
        <x:v>2017</x:v>
      </x:c>
      <x:c r="M170" s="73" t="n">
        <x:v>1</x:v>
      </x:c>
      <x:c r="N170" s="73" t="n">
        <x:v>30</x:v>
      </x:c>
      <x:c r="O170" s="73" t="n">
        <x:v>16</x:v>
      </x:c>
    </x:row>
    <x:row r="171" ht="15" hidden="0">
      <x:c r="A171" s="73" t="n">
        <x:v>170</x:v>
      </x:c>
      <x:c r="B171" s="73" t="n">
        <x:v>172</x:v>
      </x:c>
      <x:c r="C171" s="73" t="s">
        <x:v>782</x:v>
      </x:c>
      <x:c r="D171" s="73" t="s">
        <x:v>783</x:v>
      </x:c>
      <x:c r="E171" s="73" t="s">
        <x:v>784</x:v>
      </x:c>
      <x:c r="F171" s="73" t="s">
        <x:v>785</x:v>
      </x:c>
      <x:c r="G171" s="73" t="s">
        <x:v>19</x:v>
      </x:c>
      <x:c r="H171" s="73" t="s">
        <x:v>786</x:v>
      </x:c>
      <x:c r="I171" s="73" t="n">
        <x:v>8</x:v>
      </x:c>
      <x:c r="J171" s="73" t="n">
        <x:v>15</x:v>
      </x:c>
      <x:c r="K171" s="73" t="s">
        <x:v>787</x:v>
      </x:c>
      <x:c r="L171" s="73" t="n">
        <x:v>2016</x:v>
      </x:c>
      <x:c r="M171" s="73" t="n">
        <x:v>9</x:v>
      </x:c>
      <x:c r="N171" s="73" t="n">
        <x:v>28</x:v>
      </x:c>
      <x:c r="O171" s="73" t="n">
        <x:v>19</x:v>
      </x:c>
    </x:row>
    <x:row r="172" ht="15" hidden="0">
      <x:c r="A172" s="73" t="n">
        <x:v>171</x:v>
      </x:c>
      <x:c r="B172" s="73" t="n">
        <x:v>173</x:v>
      </x:c>
      <x:c r="C172" s="73" t="s">
        <x:v>788</x:v>
      </x:c>
      <x:c r="D172" s="73" t="s">
        <x:v>789</x:v>
      </x:c>
      <x:c r="E172" s="73" t="s">
        <x:v>790</x:v>
      </x:c>
      <x:c r="F172" s="73" t="s">
        <x:v>791</x:v>
      </x:c>
      <x:c r="G172" s="73" t="s">
        <x:v>31</x:v>
      </x:c>
      <x:c r="H172" s="73" t="s">
        <x:v>792</x:v>
      </x:c>
      <x:c r="I172" s="73" t="n">
        <x:v>12</x:v>
      </x:c>
      <x:c r="J172" s="73" t="n">
        <x:v>25</x:v>
      </x:c>
      <x:c r="K172" s="73" t="s">
        <x:v>293</x:v>
      </x:c>
      <x:c r="L172" s="73" t="n">
        <x:v>2019</x:v>
      </x:c>
      <x:c r="M172" s="73" t="n">
        <x:v>4</x:v>
      </x:c>
      <x:c r="N172" s="73" t="n">
        <x:v>15</x:v>
      </x:c>
      <x:c r="O172" s="73" t="n">
        <x:v>9</x:v>
      </x:c>
    </x:row>
    <x:row r="173" ht="15" hidden="0">
      <x:c r="A173" s="73" t="n">
        <x:v>172</x:v>
      </x:c>
      <x:c r="B173" s="73" t="n">
        <x:v>174</x:v>
      </x:c>
      <x:c r="C173" s="73" t="s">
        <x:v>793</x:v>
      </x:c>
      <x:c r="D173" s="73" t="s">
        <x:v>794</x:v>
      </x:c>
      <x:c r="E173" s="73" t="s">
        <x:v>795</x:v>
      </x:c>
      <x:c r="F173" s="73" t="s">
        <x:v>796</x:v>
      </x:c>
      <x:c r="G173" s="73" t="s">
        <x:v>37</x:v>
      </x:c>
      <x:c r="H173" s="73" t="s">
        <x:v>797</x:v>
      </x:c>
      <x:c r="I173" s="73" t="n">
        <x:v>15</x:v>
      </x:c>
      <x:c r="J173" s="73" t="n">
        <x:v>30</x:v>
      </x:c>
      <x:c r="K173" s="73" t="s">
        <x:v>770</x:v>
      </x:c>
      <x:c r="L173" s="73" t="n">
        <x:v>2021</x:v>
      </x:c>
      <x:c r="M173" s="73" t="n">
        <x:v>12</x:v>
      </x:c>
      <x:c r="N173" s="73" t="n">
        <x:v>3</x:v>
      </x:c>
      <x:c r="O173" s="73" t="n">
        <x:v>18</x:v>
      </x:c>
    </x:row>
    <x:row r="174" ht="15" hidden="0">
      <x:c r="A174" s="73" t="n">
        <x:v>173</x:v>
      </x:c>
      <x:c r="B174" s="73" t="n">
        <x:v>175</x:v>
      </x:c>
      <x:c r="C174" s="73" t="s">
        <x:v>798</x:v>
      </x:c>
      <x:c r="D174" s="73" t="s">
        <x:v>799</x:v>
      </x:c>
      <x:c r="E174" s="73" t="s">
        <x:v>800</x:v>
      </x:c>
      <x:c r="F174" s="73" t="s">
        <x:v>801</x:v>
      </x:c>
      <x:c r="G174" s="73" t="s">
        <x:v>19</x:v>
      </x:c>
      <x:c r="H174" s="73" t="s">
        <x:v>802</x:v>
      </x:c>
      <x:c r="I174" s="73" t="n">
        <x:v>8</x:v>
      </x:c>
      <x:c r="J174" s="73" t="n">
        <x:v>15</x:v>
      </x:c>
      <x:c r="K174" s="73" t="s">
        <x:v>371</x:v>
      </x:c>
      <x:c r="L174" s="73" t="n">
        <x:v>2020</x:v>
      </x:c>
      <x:c r="M174" s="73" t="n">
        <x:v>6</x:v>
      </x:c>
      <x:c r="N174" s="73" t="n">
        <x:v>20</x:v>
      </x:c>
      <x:c r="O174" s="73" t="n">
        <x:v>14</x:v>
      </x:c>
    </x:row>
    <x:row r="175" ht="15" hidden="0">
      <x:c r="A175" s="73" t="n">
        <x:v>174</x:v>
      </x:c>
      <x:c r="B175" s="73" t="n">
        <x:v>176</x:v>
      </x:c>
      <x:c r="C175" s="73" t="s">
        <x:v>803</x:v>
      </x:c>
      <x:c r="D175" s="73" t="s">
        <x:v>804</x:v>
      </x:c>
      <x:c r="E175" s="73" t="s">
        <x:v>805</x:v>
      </x:c>
      <x:c r="F175" s="73" t="s">
        <x:v>806</x:v>
      </x:c>
      <x:c r="G175" s="73" t="s">
        <x:v>31</x:v>
      </x:c>
      <x:c r="H175" s="73" t="s">
        <x:v>807</x:v>
      </x:c>
      <x:c r="I175" s="73" t="n">
        <x:v>10</x:v>
      </x:c>
      <x:c r="J175" s="73" t="n">
        <x:v>20</x:v>
      </x:c>
      <x:c r="K175" s="73" t="s">
        <x:v>787</x:v>
      </x:c>
      <x:c r="L175" s="73" t="n">
        <x:v>2018</x:v>
      </x:c>
      <x:c r="M175" s="73" t="n">
        <x:v>11</x:v>
      </x:c>
      <x:c r="N175" s="73" t="n">
        <x:v>7</x:v>
      </x:c>
      <x:c r="O175" s="73" t="n">
        <x:v>11</x:v>
      </x:c>
    </x:row>
    <x:row r="176" ht="15" hidden="0">
      <x:c r="A176" s="73" t="n">
        <x:v>175</x:v>
      </x:c>
      <x:c r="B176" s="73" t="n">
        <x:v>177</x:v>
      </x:c>
      <x:c r="C176" s="73" t="s">
        <x:v>808</x:v>
      </x:c>
      <x:c r="D176" s="73" t="s">
        <x:v>809</x:v>
      </x:c>
      <x:c r="E176" s="73" t="s">
        <x:v>810</x:v>
      </x:c>
      <x:c r="F176" s="73" t="s">
        <x:v>811</x:v>
      </x:c>
      <x:c r="G176" s="73" t="s">
        <x:v>37</x:v>
      </x:c>
      <x:c r="H176" s="73" t="s">
        <x:v>812</x:v>
      </x:c>
      <x:c r="I176" s="73" t="n">
        <x:v>12</x:v>
      </x:c>
      <x:c r="J176" s="73" t="n">
        <x:v>25</x:v>
      </x:c>
      <x:c r="K176" s="73" t="s">
        <x:v>293</x:v>
      </x:c>
      <x:c r="L176" s="73" t="n">
        <x:v>2017</x:v>
      </x:c>
      <x:c r="M176" s="73" t="n">
        <x:v>8</x:v>
      </x:c>
      <x:c r="N176" s="73" t="n">
        <x:v>25</x:v>
      </x:c>
      <x:c r="O176" s="73" t="n">
        <x:v>16</x:v>
      </x:c>
    </x:row>
    <x:row r="177" ht="15" hidden="0">
      <x:c r="A177" s="73" t="n">
        <x:v>176</x:v>
      </x:c>
      <x:c r="B177" s="73" t="n">
        <x:v>178</x:v>
      </x:c>
      <x:c r="C177" s="73" t="s">
        <x:v>813</x:v>
      </x:c>
      <x:c r="D177" s="73" t="s">
        <x:v>814</x:v>
      </x:c>
      <x:c r="E177" s="73" t="s">
        <x:v>815</x:v>
      </x:c>
      <x:c r="F177" s="73" t="s">
        <x:v>816</x:v>
      </x:c>
      <x:c r="G177" s="73" t="s">
        <x:v>19</x:v>
      </x:c>
      <x:c r="H177" s="73" t="s">
        <x:v>817</x:v>
      </x:c>
      <x:c r="I177" s="73" t="n">
        <x:v>7</x:v>
      </x:c>
      <x:c r="J177" s="73" t="n">
        <x:v>15</x:v>
      </x:c>
      <x:c r="K177" s="73" t="s">
        <x:v>770</x:v>
      </x:c>
      <x:c r="L177" s="73" t="n">
        <x:v>2019</x:v>
      </x:c>
      <x:c r="M177" s="73" t="n">
        <x:v>2</x:v>
      </x:c>
      <x:c r="N177" s="73" t="n">
        <x:v>11</x:v>
      </x:c>
      <x:c r="O177" s="73" t="n">
        <x:v>9</x:v>
      </x:c>
    </x:row>
    <x:row r="178" ht="15" hidden="0">
      <x:c r="A178" s="73" t="n">
        <x:v>177</x:v>
      </x:c>
      <x:c r="B178" s="73" t="n">
        <x:v>179</x:v>
      </x:c>
      <x:c r="C178" s="73" t="s">
        <x:v>818</x:v>
      </x:c>
      <x:c r="D178" s="73" t="s">
        <x:v>819</x:v>
      </x:c>
      <x:c r="E178" s="73" t="s">
        <x:v>820</x:v>
      </x:c>
      <x:c r="F178" s="73" t="s">
        <x:v>821</x:v>
      </x:c>
      <x:c r="G178" s="73" t="s">
        <x:v>31</x:v>
      </x:c>
      <x:c r="H178" s="73" t="s">
        <x:v>822</x:v>
      </x:c>
      <x:c r="I178" s="73" t="n">
        <x:v>10</x:v>
      </x:c>
      <x:c r="J178" s="73" t="n">
        <x:v>20</x:v>
      </x:c>
      <x:c r="K178" s="73" t="s">
        <x:v>260</x:v>
      </x:c>
      <x:c r="L178" s="73" t="n">
        <x:v>2016</x:v>
      </x:c>
      <x:c r="M178" s="73" t="n">
        <x:v>4</x:v>
      </x:c>
      <x:c r="N178" s="73" t="n">
        <x:v>2</x:v>
      </x:c>
      <x:c r="O178" s="73" t="n">
        <x:v>20</x:v>
      </x:c>
    </x:row>
    <x:row r="179" ht="15" hidden="0">
      <x:c r="A179" s="73" t="n">
        <x:v>178</x:v>
      </x:c>
      <x:c r="B179" s="73" t="n">
        <x:v>180</x:v>
      </x:c>
      <x:c r="C179" s="73" t="s">
        <x:v>823</x:v>
      </x:c>
      <x:c r="D179" s="73" t="s">
        <x:v>755</x:v>
      </x:c>
      <x:c r="E179" s="73" t="s">
        <x:v>824</x:v>
      </x:c>
      <x:c r="F179" s="73" t="s">
        <x:v>825</x:v>
      </x:c>
      <x:c r="G179" s="73" t="s">
        <x:v>37</x:v>
      </x:c>
      <x:c r="H179" s="73" t="s">
        <x:v>826</x:v>
      </x:c>
      <x:c r="I179" s="73" t="n">
        <x:v>12</x:v>
      </x:c>
      <x:c r="J179" s="73" t="n">
        <x:v>25</x:v>
      </x:c>
      <x:c r="K179" s="73" t="s">
        <x:v>787</x:v>
      </x:c>
      <x:c r="L179" s="73" t="n">
        <x:v>2015</x:v>
      </x:c>
      <x:c r="M179" s="73" t="n">
        <x:v>10</x:v>
      </x:c>
      <x:c r="N179" s="73" t="n">
        <x:v>18</x:v>
      </x:c>
      <x:c r="O179" s="73" t="n">
        <x:v>15</x:v>
      </x:c>
    </x:row>
    <x:row r="180" ht="15" hidden="0">
      <x:c r="A180" s="73" t="n">
        <x:v>179</x:v>
      </x:c>
      <x:c r="B180" s="73" t="n">
        <x:v>181</x:v>
      </x:c>
      <x:c r="C180" s="73" t="s">
        <x:v>827</x:v>
      </x:c>
      <x:c r="D180" s="73" t="s">
        <x:v>828</x:v>
      </x:c>
      <x:c r="E180" s="73" t="s">
        <x:v>829</x:v>
      </x:c>
      <x:c r="F180" s="73" t="s">
        <x:v>830</x:v>
      </x:c>
      <x:c r="G180" s="73" t="s">
        <x:v>19</x:v>
      </x:c>
      <x:c r="H180" s="73" t="s">
        <x:v>831</x:v>
      </x:c>
      <x:c r="I180" s="73" t="n">
        <x:v>15</x:v>
      </x:c>
      <x:c r="J180" s="73" t="n">
        <x:v>30</x:v>
      </x:c>
      <x:c r="K180" s="73" t="s">
        <x:v>468</x:v>
      </x:c>
      <x:c r="L180" s="73" t="n">
        <x:v>2019</x:v>
      </x:c>
      <x:c r="M180" s="73" t="n">
        <x:v>7</x:v>
      </x:c>
      <x:c r="N180" s="73" t="n">
        <x:v>12</x:v>
      </x:c>
      <x:c r="O180" s="73" t="n">
        <x:v>18</x:v>
      </x:c>
    </x:row>
    <x:row r="181" ht="15" hidden="0">
      <x:c r="A181" s="73" t="n">
        <x:v>180</x:v>
      </x:c>
      <x:c r="B181" s="73" t="n">
        <x:v>182</x:v>
      </x:c>
      <x:c r="C181" s="73" t="s">
        <x:v>832</x:v>
      </x:c>
      <x:c r="D181" s="73" t="s">
        <x:v>766</x:v>
      </x:c>
      <x:c r="E181" s="73" t="s">
        <x:v>833</x:v>
      </x:c>
      <x:c r="F181" s="73" t="s">
        <x:v>834</x:v>
      </x:c>
      <x:c r="G181" s="73" t="s">
        <x:v>31</x:v>
      </x:c>
      <x:c r="H181" s="73" t="s">
        <x:v>835</x:v>
      </x:c>
      <x:c r="I181" s="73" t="n">
        <x:v>8</x:v>
      </x:c>
      <x:c r="J181" s="73" t="n">
        <x:v>15</x:v>
      </x:c>
      <x:c r="K181" s="73" t="s">
        <x:v>836</x:v>
      </x:c>
      <x:c r="L181" s="73" t="n">
        <x:v>2018</x:v>
      </x:c>
      <x:c r="M181" s="73" t="n">
        <x:v>6</x:v>
      </x:c>
      <x:c r="N181" s="73" t="n">
        <x:v>3</x:v>
      </x:c>
      <x:c r="O181" s="73" t="n">
        <x:v>16</x:v>
      </x:c>
    </x:row>
    <x:row r="182" ht="15" hidden="0">
      <x:c r="A182" s="73" t="n">
        <x:v>181</x:v>
      </x:c>
      <x:c r="B182" s="73" t="n">
        <x:v>183</x:v>
      </x:c>
      <x:c r="C182" s="73" t="s">
        <x:v>837</x:v>
      </x:c>
      <x:c r="D182" s="73" t="s">
        <x:v>772</x:v>
      </x:c>
      <x:c r="E182" s="73" t="s">
        <x:v>838</x:v>
      </x:c>
      <x:c r="F182" s="73" t="s">
        <x:v>839</x:v>
      </x:c>
      <x:c r="G182" s="73" t="s">
        <x:v>37</x:v>
      </x:c>
      <x:c r="H182" s="73" t="s">
        <x:v>840</x:v>
      </x:c>
      <x:c r="I182" s="73" t="n">
        <x:v>10</x:v>
      </x:c>
      <x:c r="J182" s="73" t="n">
        <x:v>20</x:v>
      </x:c>
      <x:c r="K182" s="73" t="s">
        <x:v>371</x:v>
      </x:c>
      <x:c r="L182" s="73" t="n">
        <x:v>2022</x:v>
      </x:c>
      <x:c r="M182" s="73" t="n">
        <x:v>1</x:v>
      </x:c>
      <x:c r="N182" s="73" t="n">
        <x:v>15</x:v>
      </x:c>
      <x:c r="O182" s="73" t="n">
        <x:v>12</x:v>
      </x:c>
    </x:row>
    <x:row r="183" ht="15" hidden="0">
      <x:c r="A183" s="73" t="n">
        <x:v>182</x:v>
      </x:c>
      <x:c r="B183" s="73" t="n">
        <x:v>184</x:v>
      </x:c>
      <x:c r="C183" s="73" t="s">
        <x:v>841</x:v>
      </x:c>
      <x:c r="D183" s="73" t="s">
        <x:v>842</x:v>
      </x:c>
      <x:c r="E183" s="73" t="s">
        <x:v>843</x:v>
      </x:c>
      <x:c r="F183" s="73" t="s">
        <x:v>844</x:v>
      </x:c>
      <x:c r="G183" s="73" t="s">
        <x:v>19</x:v>
      </x:c>
      <x:c r="H183" s="73" t="s">
        <x:v>845</x:v>
      </x:c>
      <x:c r="I183" s="73" t="n">
        <x:v>12</x:v>
      </x:c>
      <x:c r="J183" s="73" t="n">
        <x:v>25</x:v>
      </x:c>
      <x:c r="K183" s="73" t="s">
        <x:v>260</x:v>
      </x:c>
      <x:c r="L183" s="73" t="n">
        <x:v>2017</x:v>
      </x:c>
      <x:c r="M183" s="73" t="n">
        <x:v>4</x:v>
      </x:c>
      <x:c r="N183" s="73" t="n">
        <x:v>10</x:v>
      </x:c>
      <x:c r="O183" s="73" t="n">
        <x:v>14</x:v>
      </x:c>
    </x:row>
    <x:row r="184" ht="15" hidden="0">
      <x:c r="A184" s="73" t="n">
        <x:v>183</x:v>
      </x:c>
      <x:c r="B184" s="73" t="n">
        <x:v>185</x:v>
      </x:c>
      <x:c r="C184" s="73" t="s">
        <x:v>846</x:v>
      </x:c>
      <x:c r="D184" s="73" t="s">
        <x:v>783</x:v>
      </x:c>
      <x:c r="E184" s="73" t="s">
        <x:v>847</x:v>
      </x:c>
      <x:c r="F184" s="73" t="s">
        <x:v>848</x:v>
      </x:c>
      <x:c r="G184" s="73" t="s">
        <x:v>31</x:v>
      </x:c>
      <x:c r="H184" s="73" t="s">
        <x:v>849</x:v>
      </x:c>
      <x:c r="I184" s="73" t="n">
        <x:v>7</x:v>
      </x:c>
      <x:c r="J184" s="73" t="n">
        <x:v>15</x:v>
      </x:c>
      <x:c r="K184" s="73" t="s">
        <x:v>787</x:v>
      </x:c>
      <x:c r="L184" s="73" t="n">
        <x:v>2016</x:v>
      </x:c>
      <x:c r="M184" s="73" t="n">
        <x:v>11</x:v>
      </x:c>
      <x:c r="N184" s="73" t="n">
        <x:v>28</x:v>
      </x:c>
      <x:c r="O184" s="73" t="n">
        <x:v>19</x:v>
      </x:c>
    </x:row>
    <x:row r="185" ht="15" hidden="0">
      <x:c r="A185" s="73" t="n">
        <x:v>184</x:v>
      </x:c>
      <x:c r="B185" s="73" t="n">
        <x:v>186</x:v>
      </x:c>
      <x:c r="C185" s="73" t="s">
        <x:v>850</x:v>
      </x:c>
      <x:c r="D185" s="73" t="s">
        <x:v>851</x:v>
      </x:c>
      <x:c r="E185" s="73" t="s">
        <x:v>852</x:v>
      </x:c>
      <x:c r="F185" s="73" t="s">
        <x:v>853</x:v>
      </x:c>
      <x:c r="G185" s="73" t="s">
        <x:v>37</x:v>
      </x:c>
      <x:c r="H185" s="73" t="s">
        <x:v>854</x:v>
      </x:c>
      <x:c r="I185" s="73" t="n">
        <x:v>10</x:v>
      </x:c>
      <x:c r="J185" s="73" t="n">
        <x:v>20</x:v>
      </x:c>
      <x:c r="K185" s="73" t="s">
        <x:v>468</x:v>
      </x:c>
      <x:c r="L185" s="73" t="n">
        <x:v>2018</x:v>
      </x:c>
      <x:c r="M185" s="73" t="n">
        <x:v>9</x:v>
      </x:c>
      <x:c r="N185" s="73" t="n">
        <x:v>5</x:v>
      </x:c>
      <x:c r="O185" s="73" t="n">
        <x:v>9</x:v>
      </x:c>
    </x:row>
    <x:row r="186" ht="15" hidden="0">
      <x:c r="A186" s="73" t="n">
        <x:v>185</x:v>
      </x:c>
      <x:c r="B186" s="73" t="n">
        <x:v>187</x:v>
      </x:c>
      <x:c r="C186" s="73" t="s">
        <x:v>855</x:v>
      </x:c>
      <x:c r="D186" s="73" t="s">
        <x:v>856</x:v>
      </x:c>
      <x:c r="E186" s="73" t="s">
        <x:v>857</x:v>
      </x:c>
      <x:c r="F186" s="73" t="s">
        <x:v>858</x:v>
      </x:c>
      <x:c r="G186" s="73" t="s">
        <x:v>19</x:v>
      </x:c>
      <x:c r="H186" s="73" t="s">
        <x:v>859</x:v>
      </x:c>
      <x:c r="I186" s="73" t="n">
        <x:v>15</x:v>
      </x:c>
      <x:c r="J186" s="73" t="n">
        <x:v>30</x:v>
      </x:c>
      <x:c r="K186" s="73" t="s">
        <x:v>836</x:v>
      </x:c>
      <x:c r="L186" s="73" t="n">
        <x:v>2021</x:v>
      </x:c>
      <x:c r="M186" s="73" t="n">
        <x:v>10</x:v>
      </x:c>
      <x:c r="N186" s="73" t="n">
        <x:v>22</x:v>
      </x:c>
      <x:c r="O186" s="73" t="n">
        <x:v>18</x:v>
      </x:c>
    </x:row>
    <x:row r="187" ht="15" hidden="0">
      <x:c r="A187" s="73" t="n">
        <x:v>186</x:v>
      </x:c>
      <x:c r="B187" s="73" t="n">
        <x:v>188</x:v>
      </x:c>
      <x:c r="C187" s="73" t="s">
        <x:v>860</x:v>
      </x:c>
      <x:c r="D187" s="73" t="s">
        <x:v>861</x:v>
      </x:c>
      <x:c r="E187" s="73" t="s">
        <x:v>862</x:v>
      </x:c>
      <x:c r="F187" s="73" t="s">
        <x:v>863</x:v>
      </x:c>
      <x:c r="G187" s="73" t="s">
        <x:v>31</x:v>
      </x:c>
      <x:c r="H187" s="73" t="s">
        <x:v>864</x:v>
      </x:c>
      <x:c r="I187" s="73" t="n">
        <x:v>8</x:v>
      </x:c>
      <x:c r="J187" s="73" t="n">
        <x:v>15</x:v>
      </x:c>
      <x:c r="K187" s="73" t="s">
        <x:v>371</x:v>
      </x:c>
      <x:c r="L187" s="73" t="n">
        <x:v>2019</x:v>
      </x:c>
      <x:c r="M187" s="73" t="n">
        <x:v>5</x:v>
      </x:c>
      <x:c r="N187" s="73" t="n">
        <x:v>8</x:v>
      </x:c>
      <x:c r="O187" s="73" t="n">
        <x:v>14</x:v>
      </x:c>
    </x:row>
    <x:row r="188" ht="15" hidden="0">
      <x:c r="A188" s="73" t="n">
        <x:v>187</x:v>
      </x:c>
      <x:c r="B188" s="73" t="n">
        <x:v>189</x:v>
      </x:c>
      <x:c r="C188" s="73" t="s">
        <x:v>865</x:v>
      </x:c>
      <x:c r="D188" s="73" t="s">
        <x:v>804</x:v>
      </x:c>
      <x:c r="E188" s="73" t="s">
        <x:v>866</x:v>
      </x:c>
      <x:c r="F188" s="73" t="s">
        <x:v>867</x:v>
      </x:c>
      <x:c r="G188" s="73" t="s">
        <x:v>37</x:v>
      </x:c>
      <x:c r="H188" s="73" t="s">
        <x:v>868</x:v>
      </x:c>
      <x:c r="I188" s="73" t="n">
        <x:v>10</x:v>
      </x:c>
      <x:c r="J188" s="73" t="n">
        <x:v>20</x:v>
      </x:c>
      <x:c r="K188" s="73" t="s">
        <x:v>787</x:v>
      </x:c>
      <x:c r="L188" s="73" t="n">
        <x:v>2017</x:v>
      </x:c>
      <x:c r="M188" s="73" t="n">
        <x:v>3</x:v>
      </x:c>
      <x:c r="N188" s="73" t="n">
        <x:v>20</x:v>
      </x:c>
      <x:c r="O188" s="73" t="n">
        <x:v>11</x:v>
      </x:c>
    </x:row>
    <x:row r="189" ht="15" hidden="0">
      <x:c r="A189" s="73" t="n">
        <x:v>188</x:v>
      </x:c>
      <x:c r="B189" s="73" t="n">
        <x:v>190</x:v>
      </x:c>
      <x:c r="C189" s="73" t="s">
        <x:v>869</x:v>
      </x:c>
      <x:c r="D189" s="73" t="s">
        <x:v>809</x:v>
      </x:c>
      <x:c r="E189" s="73" t="s">
        <x:v>870</x:v>
      </x:c>
      <x:c r="F189" s="73" t="s">
        <x:v>871</x:v>
      </x:c>
      <x:c r="G189" s="73" t="s">
        <x:v>19</x:v>
      </x:c>
      <x:c r="H189" s="73" t="s">
        <x:v>872</x:v>
      </x:c>
      <x:c r="I189" s="73" t="n">
        <x:v>12</x:v>
      </x:c>
      <x:c r="J189" s="73" t="n">
        <x:v>25</x:v>
      </x:c>
      <x:c r="K189" s="73" t="s">
        <x:v>260</x:v>
      </x:c>
      <x:c r="L189" s="73" t="n">
        <x:v>2018</x:v>
      </x:c>
      <x:c r="M189" s="73" t="n">
        <x:v>12</x:v>
      </x:c>
      <x:c r="N189" s="73" t="n">
        <x:v>15</x:v>
      </x:c>
      <x:c r="O189" s="73" t="n">
        <x:v>16</x:v>
      </x:c>
    </x:row>
    <x:row r="190" ht="15" hidden="0">
      <x:c r="A190" s="73" t="n">
        <x:v>189</x:v>
      </x:c>
      <x:c r="B190" s="73" t="n">
        <x:v>191</x:v>
      </x:c>
      <x:c r="C190" s="73" t="s">
        <x:v>873</x:v>
      </x:c>
      <x:c r="D190" s="73" t="s">
        <x:v>814</x:v>
      </x:c>
      <x:c r="E190" s="73" t="s">
        <x:v>874</x:v>
      </x:c>
      <x:c r="F190" s="73" t="s">
        <x:v>875</x:v>
      </x:c>
      <x:c r="G190" s="73" t="s">
        <x:v>31</x:v>
      </x:c>
      <x:c r="H190" s="73" t="s">
        <x:v>876</x:v>
      </x:c>
      <x:c r="I190" s="73" t="n">
        <x:v>7</x:v>
      </x:c>
      <x:c r="J190" s="73" t="n">
        <x:v>15</x:v>
      </x:c>
      <x:c r="K190" s="73" t="s">
        <x:v>468</x:v>
      </x:c>
      <x:c r="L190" s="73" t="n">
        <x:v>2016</x:v>
      </x:c>
      <x:c r="M190" s="73" t="n">
        <x:v>7</x:v>
      </x:c>
      <x:c r="N190" s="73" t="n">
        <x:v>1</x:v>
      </x:c>
      <x:c r="O190" s="73" t="n">
        <x:v>9</x:v>
      </x:c>
    </x:row>
    <x:row r="191" ht="15" hidden="0">
      <x:c r="A191" s="73" t="n">
        <x:v>190</x:v>
      </x:c>
      <x:c r="B191" s="73" t="n">
        <x:v>192</x:v>
      </x:c>
      <x:c r="C191" s="73" t="s">
        <x:v>877</x:v>
      </x:c>
      <x:c r="D191" s="73" t="s">
        <x:v>750</x:v>
      </x:c>
      <x:c r="E191" s="73" t="s">
        <x:v>878</x:v>
      </x:c>
      <x:c r="F191" s="73" t="s">
        <x:v>879</x:v>
      </x:c>
      <x:c r="G191" s="73" t="s">
        <x:v>37</x:v>
      </x:c>
      <x:c r="H191" s="73" t="s">
        <x:v>880</x:v>
      </x:c>
      <x:c r="I191" s="73" t="n">
        <x:v>10</x:v>
      </x:c>
      <x:c r="J191" s="73" t="n">
        <x:v>20</x:v>
      </x:c>
      <x:c r="K191" s="73" t="s">
        <x:v>836</x:v>
      </x:c>
      <x:c r="L191" s="73" t="n">
        <x:v>2020</x:v>
      </x:c>
      <x:c r="M191" s="73" t="n">
        <x:v>8</x:v>
      </x:c>
      <x:c r="N191" s="73" t="n">
        <x:v>20</x:v>
      </x:c>
      <x:c r="O191" s="73" t="n">
        <x:v>20</x:v>
      </x:c>
    </x:row>
    <x:row r="192" ht="15" hidden="0">
      <x:c r="A192" s="73" t="n">
        <x:v>191</x:v>
      </x:c>
      <x:c r="B192" s="73" t="n">
        <x:v>193</x:v>
      </x:c>
      <x:c r="C192" s="73" t="s">
        <x:v>881</x:v>
      </x:c>
      <x:c r="D192" s="73" t="s">
        <x:v>755</x:v>
      </x:c>
      <x:c r="E192" s="73" t="s">
        <x:v>882</x:v>
      </x:c>
      <x:c r="F192" s="73" t="s">
        <x:v>883</x:v>
      </x:c>
      <x:c r="G192" s="73" t="s">
        <x:v>19</x:v>
      </x:c>
      <x:c r="H192" s="73" t="s">
        <x:v>884</x:v>
      </x:c>
      <x:c r="I192" s="73" t="n">
        <x:v>12</x:v>
      </x:c>
      <x:c r="J192" s="73" t="n">
        <x:v>25</x:v>
      </x:c>
      <x:c r="K192" s="73" t="s">
        <x:v>787</x:v>
      </x:c>
      <x:c r="L192" s="73" t="n">
        <x:v>2021</x:v>
      </x:c>
      <x:c r="M192" s="73" t="n">
        <x:v>2</x:v>
      </x:c>
      <x:c r="N192" s="73" t="n">
        <x:v>25</x:v>
      </x:c>
      <x:c r="O192" s="73" t="n">
        <x:v>15</x:v>
      </x:c>
    </x:row>
    <x:row r="193" ht="15" hidden="0">
      <x:c r="A193" s="73" t="n">
        <x:v>192</x:v>
      </x:c>
      <x:c r="B193" s="73" t="n">
        <x:v>194</x:v>
      </x:c>
      <x:c r="C193" s="73" t="s">
        <x:v>885</x:v>
      </x:c>
      <x:c r="D193" s="73" t="s">
        <x:v>828</x:v>
      </x:c>
      <x:c r="E193" s="73" t="s">
        <x:v>886</x:v>
      </x:c>
      <x:c r="F193" s="73" t="s">
        <x:v>887</x:v>
      </x:c>
      <x:c r="G193" s="73" t="s">
        <x:v>31</x:v>
      </x:c>
      <x:c r="H193" s="73" t="s">
        <x:v>888</x:v>
      </x:c>
      <x:c r="I193" s="73" t="n">
        <x:v>15</x:v>
      </x:c>
      <x:c r="J193" s="73" t="n">
        <x:v>30</x:v>
      </x:c>
      <x:c r="K193" s="73" t="s">
        <x:v>776</x:v>
      </x:c>
      <x:c r="L193" s="73" t="n">
        <x:v>2019</x:v>
      </x:c>
      <x:c r="M193" s="73" t="n">
        <x:v>9</x:v>
      </x:c>
      <x:c r="N193" s="73" t="n">
        <x:v>12</x:v>
      </x:c>
      <x:c r="O193" s="73" t="n">
        <x:v>18</x:v>
      </x:c>
    </x:row>
    <x:row r="194" ht="15" hidden="0">
      <x:c r="A194" s="73" t="n">
        <x:v>193</x:v>
      </x:c>
      <x:c r="B194" s="73" t="n">
        <x:v>195</x:v>
      </x:c>
      <x:c r="C194" s="73" t="s">
        <x:v>889</x:v>
      </x:c>
      <x:c r="D194" s="73" t="s">
        <x:v>890</x:v>
      </x:c>
      <x:c r="E194" s="73" t="s">
        <x:v>891</x:v>
      </x:c>
      <x:c r="F194" s="73" t="s">
        <x:v>892</x:v>
      </x:c>
      <x:c r="G194" s="73" t="s">
        <x:v>37</x:v>
      </x:c>
      <x:c r="H194" s="73" t="s">
        <x:v>893</x:v>
      </x:c>
      <x:c r="I194" s="73" t="n">
        <x:v>8</x:v>
      </x:c>
      <x:c r="J194" s="73" t="n">
        <x:v>15</x:v>
      </x:c>
      <x:c r="K194" s="73" t="s">
        <x:v>894</x:v>
      </x:c>
      <x:c r="L194" s="73" t="n">
        <x:v>2018</x:v>
      </x:c>
      <x:c r="M194" s="73" t="n">
        <x:v>8</x:v>
      </x:c>
      <x:c r="N194" s="73" t="n">
        <x:v>5</x:v>
      </x:c>
      <x:c r="O194" s="73" t="n">
        <x:v>16</x:v>
      </x:c>
    </x:row>
    <x:row r="195" ht="15" hidden="0">
      <x:c r="A195" s="73" t="n">
        <x:v>194</x:v>
      </x:c>
      <x:c r="B195" s="73" t="n">
        <x:v>196</x:v>
      </x:c>
      <x:c r="C195" s="73" t="s">
        <x:v>895</x:v>
      </x:c>
      <x:c r="D195" s="73" t="s">
        <x:v>772</x:v>
      </x:c>
      <x:c r="E195" s="73" t="s">
        <x:v>896</x:v>
      </x:c>
      <x:c r="F195" s="73" t="s">
        <x:v>897</x:v>
      </x:c>
      <x:c r="G195" s="73" t="s">
        <x:v>19</x:v>
      </x:c>
      <x:c r="H195" s="73" t="s">
        <x:v>898</x:v>
      </x:c>
      <x:c r="I195" s="73" t="n">
        <x:v>10</x:v>
      </x:c>
      <x:c r="J195" s="73" t="n">
        <x:v>20</x:v>
      </x:c>
      <x:c r="K195" s="73" t="s">
        <x:v>836</x:v>
      </x:c>
      <x:c r="L195" s="73" t="n">
        <x:v>2017</x:v>
      </x:c>
      <x:c r="M195" s="73" t="n">
        <x:v>1</x:v>
      </x:c>
      <x:c r="N195" s="73" t="n">
        <x:v>12</x:v>
      </x:c>
      <x:c r="O195" s="73" t="n">
        <x:v>12</x:v>
      </x:c>
    </x:row>
    <x:row r="196" ht="15" hidden="0">
      <x:c r="A196" s="73" t="n">
        <x:v>195</x:v>
      </x:c>
      <x:c r="B196" s="73" t="n">
        <x:v>197</x:v>
      </x:c>
      <x:c r="C196" s="73" t="s">
        <x:v>899</x:v>
      </x:c>
      <x:c r="D196" s="73" t="s">
        <x:v>778</x:v>
      </x:c>
      <x:c r="E196" s="73" t="s">
        <x:v>900</x:v>
      </x:c>
      <x:c r="F196" s="73" t="s">
        <x:v>901</x:v>
      </x:c>
      <x:c r="G196" s="73" t="s">
        <x:v>31</x:v>
      </x:c>
      <x:c r="H196" s="73" t="s">
        <x:v>902</x:v>
      </x:c>
      <x:c r="I196" s="73" t="n">
        <x:v>12</x:v>
      </x:c>
      <x:c r="J196" s="73" t="n">
        <x:v>25</x:v>
      </x:c>
      <x:c r="K196" s="73" t="s">
        <x:v>468</x:v>
      </x:c>
      <x:c r="L196" s="73" t="n">
        <x:v>2022</x:v>
      </x:c>
      <x:c r="M196" s="73" t="n">
        <x:v>4</x:v>
      </x:c>
      <x:c r="N196" s="73" t="n">
        <x:v>5</x:v>
      </x:c>
      <x:c r="O196" s="73" t="n">
        <x:v>14</x:v>
      </x:c>
    </x:row>
    <x:row r="197" ht="15" hidden="0">
      <x:c r="A197" s="73" t="n">
        <x:v>196</x:v>
      </x:c>
      <x:c r="B197" s="73" t="n">
        <x:v>198</x:v>
      </x:c>
      <x:c r="C197" s="73" t="s">
        <x:v>903</x:v>
      </x:c>
      <x:c r="D197" s="73" t="s">
        <x:v>783</x:v>
      </x:c>
      <x:c r="E197" s="73" t="s">
        <x:v>904</x:v>
      </x:c>
      <x:c r="F197" s="73" t="s">
        <x:v>905</x:v>
      </x:c>
      <x:c r="G197" s="73" t="s">
        <x:v>37</x:v>
      </x:c>
      <x:c r="H197" s="73" t="s">
        <x:v>906</x:v>
      </x:c>
      <x:c r="I197" s="73" t="n">
        <x:v>7</x:v>
      </x:c>
      <x:c r="J197" s="73" t="n">
        <x:v>15</x:v>
      </x:c>
      <x:c r="K197" s="73" t="s">
        <x:v>787</x:v>
      </x:c>
      <x:c r="L197" s="73" t="n">
        <x:v>2021</x:v>
      </x:c>
      <x:c r="M197" s="73" t="n">
        <x:v>10</x:v>
      </x:c>
      <x:c r="N197" s="73" t="n">
        <x:v>2</x:v>
      </x:c>
      <x:c r="O197" s="73" t="n">
        <x:v>19</x:v>
      </x:c>
    </x:row>
    <x:row r="198" ht="15" hidden="0">
      <x:c r="A198" s="73" t="n">
        <x:v>197</x:v>
      </x:c>
      <x:c r="B198" s="73" t="n">
        <x:v>199</x:v>
      </x:c>
      <x:c r="C198" s="73" t="s">
        <x:v>907</x:v>
      </x:c>
      <x:c r="D198" s="73" t="s">
        <x:v>908</x:v>
      </x:c>
      <x:c r="E198" s="73" t="s">
        <x:v>909</x:v>
      </x:c>
      <x:c r="F198" s="73" t="s">
        <x:v>910</x:v>
      </x:c>
      <x:c r="G198" s="73" t="s">
        <x:v>19</x:v>
      </x:c>
      <x:c r="H198" s="73" t="s">
        <x:v>911</x:v>
      </x:c>
      <x:c r="I198" s="73" t="n">
        <x:v>15</x:v>
      </x:c>
      <x:c r="J198" s="73" t="n">
        <x:v>30</x:v>
      </x:c>
      <x:c r="K198" s="73" t="s">
        <x:v>260</x:v>
      </x:c>
      <x:c r="L198" s="73" t="n">
        <x:v>2023</x:v>
      </x:c>
      <x:c r="M198" s="73" t="n">
        <x:v>4</x:v>
      </x:c>
      <x:c r="N198" s="73" t="n">
        <x:v>15</x:v>
      </x:c>
      <x:c r="O198" s="73" t="n">
        <x:v>10</x:v>
      </x:c>
    </x:row>
    <x:row r="199" ht="15" hidden="0">
      <x:c r="A199" s="73" t="n">
        <x:v>198</x:v>
      </x:c>
      <x:c r="B199" s="73" t="n">
        <x:v>200</x:v>
      </x:c>
      <x:c r="C199" s="73" t="s">
        <x:v>912</x:v>
      </x:c>
      <x:c r="D199" s="73" t="s">
        <x:v>913</x:v>
      </x:c>
      <x:c r="E199" s="73" t="s">
        <x:v>914</x:v>
      </x:c>
      <x:c r="F199" s="73" t="s">
        <x:v>915</x:v>
      </x:c>
      <x:c r="G199" s="73" t="s">
        <x:v>31</x:v>
      </x:c>
      <x:c r="H199" s="73" t="s">
        <x:v>916</x:v>
      </x:c>
      <x:c r="I199" s="73" t="n">
        <x:v>7</x:v>
      </x:c>
      <x:c r="J199" s="73" t="n">
        <x:v>15</x:v>
      </x:c>
      <x:c r="K199" s="73" t="s">
        <x:v>759</x:v>
      </x:c>
      <x:c r="L199" s="73" t="n">
        <x:v>2022</x:v>
      </x:c>
      <x:c r="M199" s="73" t="n">
        <x:v>11</x:v>
      </x:c>
      <x:c r="N199" s="73" t="n">
        <x:v>28</x:v>
      </x:c>
      <x:c r="O199" s="73" t="n">
        <x:v>17</x:v>
      </x:c>
    </x:row>
    <x:row r="200" ht="15" hidden="0">
      <x:c r="A200" s="73" t="n">
        <x:v>199</x:v>
      </x:c>
      <x:c r="B200" s="73" t="n">
        <x:v>201</x:v>
      </x:c>
      <x:c r="C200" s="73" t="s">
        <x:v>917</x:v>
      </x:c>
      <x:c r="D200" s="73" t="s">
        <x:v>918</x:v>
      </x:c>
      <x:c r="E200" s="73" t="s">
        <x:v>919</x:v>
      </x:c>
      <x:c r="F200" s="73" t="s">
        <x:v>920</x:v>
      </x:c>
      <x:c r="G200" s="73" t="s">
        <x:v>37</x:v>
      </x:c>
      <x:c r="H200" s="73" t="s">
        <x:v>921</x:v>
      </x:c>
      <x:c r="I200" s="73" t="n">
        <x:v>10</x:v>
      </x:c>
      <x:c r="J200" s="73" t="n">
        <x:v>20</x:v>
      </x:c>
      <x:c r="K200" s="73" t="s">
        <x:v>293</x:v>
      </x:c>
      <x:c r="L200" s="73" t="n">
        <x:v>2020</x:v>
      </x:c>
      <x:c r="M200" s="73" t="n">
        <x:v>4</x:v>
      </x:c>
      <x:c r="N200" s="73" t="n">
        <x:v>2</x:v>
      </x:c>
      <x:c r="O200" s="73" t="n">
        <x:v>9</x:v>
      </x:c>
    </x:row>
    <x:row r="201" ht="15" hidden="0">
      <x:c r="A201" s="73" t="n">
        <x:v>200</x:v>
      </x:c>
      <x:c r="B201" s="73" t="n">
        <x:v>202</x:v>
      </x:c>
      <x:c r="C201" s="73" t="s">
        <x:v>922</x:v>
      </x:c>
      <x:c r="D201" s="73" t="s">
        <x:v>923</x:v>
      </x:c>
      <x:c r="E201" s="73" t="s">
        <x:v>924</x:v>
      </x:c>
      <x:c r="F201" s="73" t="s">
        <x:v>925</x:v>
      </x:c>
      <x:c r="G201" s="73" t="s">
        <x:v>19</x:v>
      </x:c>
      <x:c r="H201" s="73" t="s">
        <x:v>926</x:v>
      </x:c>
      <x:c r="I201" s="73" t="n">
        <x:v>8</x:v>
      </x:c>
      <x:c r="J201" s="73" t="n">
        <x:v>15</x:v>
      </x:c>
      <x:c r="K201" s="73" t="s">
        <x:v>770</x:v>
      </x:c>
      <x:c r="L201" s="73" t="n">
        <x:v>2021</x:v>
      </x:c>
      <x:c r="M201" s="73" t="n">
        <x:v>8</x:v>
      </x:c>
      <x:c r="N201" s="73" t="n">
        <x:v>10</x:v>
      </x:c>
      <x:c r="O201" s="73" t="n">
        <x:v>14</x:v>
      </x:c>
    </x:row>
    <x:row r="202" ht="15" hidden="0">
      <x:c r="A202" s="73" t="n">
        <x:v>201</x:v>
      </x:c>
      <x:c r="B202" s="73" t="n">
        <x:v>203</x:v>
      </x:c>
      <x:c r="C202" s="73" t="s">
        <x:v>927</x:v>
      </x:c>
      <x:c r="D202" s="73" t="s">
        <x:v>928</x:v>
      </x:c>
      <x:c r="E202" s="73" t="s">
        <x:v>929</x:v>
      </x:c>
      <x:c r="F202" s="73" t="s">
        <x:v>930</x:v>
      </x:c>
      <x:c r="G202" s="73" t="s">
        <x:v>31</x:v>
      </x:c>
      <x:c r="H202" s="73" t="s">
        <x:v>931</x:v>
      </x:c>
      <x:c r="I202" s="73" t="n">
        <x:v>12</x:v>
      </x:c>
      <x:c r="J202" s="73" t="n">
        <x:v>25</x:v>
      </x:c>
      <x:c r="K202" s="73" t="s">
        <x:v>776</x:v>
      </x:c>
      <x:c r="L202" s="73" t="n">
        <x:v>2019</x:v>
      </x:c>
      <x:c r="M202" s="73" t="n">
        <x:v>6</x:v>
      </x:c>
      <x:c r="N202" s="73" t="n">
        <x:v>18</x:v>
      </x:c>
      <x:c r="O202" s="73" t="n">
        <x:v>20</x:v>
      </x:c>
    </x:row>
    <x:row r="203" ht="15" hidden="0">
      <x:c r="A203" s="73" t="n">
        <x:v>202</x:v>
      </x:c>
      <x:c r="B203" s="73" t="n">
        <x:v>204</x:v>
      </x:c>
      <x:c r="C203" s="73" t="s">
        <x:v>932</x:v>
      </x:c>
      <x:c r="D203" s="73" t="s">
        <x:v>933</x:v>
      </x:c>
      <x:c r="E203" s="73" t="s">
        <x:v>934</x:v>
      </x:c>
      <x:c r="F203" s="73" t="s">
        <x:v>935</x:v>
      </x:c>
      <x:c r="G203" s="73" t="s">
        <x:v>37</x:v>
      </x:c>
      <x:c r="H203" s="73" t="s">
        <x:v>936</x:v>
      </x:c>
      <x:c r="I203" s="73" t="n">
        <x:v>10</x:v>
      </x:c>
      <x:c r="J203" s="73" t="n">
        <x:v>20</x:v>
      </x:c>
      <x:c r="K203" s="73" t="s">
        <x:v>260</x:v>
      </x:c>
      <x:c r="L203" s="73" t="n">
        <x:v>2018</x:v>
      </x:c>
      <x:c r="M203" s="73" t="n">
        <x:v>2</x:v>
      </x:c>
      <x:c r="N203" s="73" t="n">
        <x:v>5</x:v>
      </x:c>
      <x:c r="O203" s="73" t="n">
        <x:v>15</x:v>
      </x:c>
    </x:row>
    <x:row r="204" ht="15" hidden="0">
      <x:c r="A204" s="73" t="n">
        <x:v>203</x:v>
      </x:c>
      <x:c r="B204" s="73" t="n">
        <x:v>205</x:v>
      </x:c>
      <x:c r="C204" s="73" t="s">
        <x:v>937</x:v>
      </x:c>
      <x:c r="D204" s="73" t="s">
        <x:v>938</x:v>
      </x:c>
      <x:c r="E204" s="73" t="s">
        <x:v>939</x:v>
      </x:c>
      <x:c r="F204" s="73" t="s">
        <x:v>940</x:v>
      </x:c>
      <x:c r="G204" s="73" t="s">
        <x:v>19</x:v>
      </x:c>
      <x:c r="H204" s="73" t="s">
        <x:v>941</x:v>
      </x:c>
      <x:c r="I204" s="73" t="n">
        <x:v>12</x:v>
      </x:c>
      <x:c r="J204" s="73" t="n">
        <x:v>25</x:v>
      </x:c>
      <x:c r="K204" s="73" t="s">
        <x:v>787</x:v>
      </x:c>
      <x:c r="L204" s="73" t="n">
        <x:v>2022</x:v>
      </x:c>
      <x:c r="M204" s="73" t="n">
        <x:v>5</x:v>
      </x:c>
      <x:c r="N204" s="73" t="n">
        <x:v>30</x:v>
      </x:c>
      <x:c r="O204" s="73" t="n">
        <x:v>11</x:v>
      </x:c>
    </x:row>
    <x:row r="205" ht="15" hidden="0">
      <x:c r="A205" s="73" t="n">
        <x:v>204</x:v>
      </x:c>
      <x:c r="B205" s="73" t="n">
        <x:v>206</x:v>
      </x:c>
      <x:c r="C205" s="73" t="s">
        <x:v>942</x:v>
      </x:c>
      <x:c r="D205" s="73" t="s">
        <x:v>943</x:v>
      </x:c>
      <x:c r="E205" s="73" t="s">
        <x:v>944</x:v>
      </x:c>
      <x:c r="F205" s="73" t="s">
        <x:v>945</x:v>
      </x:c>
      <x:c r="G205" s="73" t="s">
        <x:v>31</x:v>
      </x:c>
      <x:c r="H205" s="73" t="s">
        <x:v>435</x:v>
      </x:c>
      <x:c r="I205" s="73" t="n">
        <x:v>15</x:v>
      </x:c>
      <x:c r="J205" s="73" t="n">
        <x:v>30</x:v>
      </x:c>
      <x:c r="K205" s="73" t="s">
        <x:v>293</x:v>
      </x:c>
      <x:c r="L205" s="73" t="n">
        <x:v>2023</x:v>
      </x:c>
      <x:c r="M205" s="73" t="n">
        <x:v>1</x:v>
      </x:c>
      <x:c r="N205" s="73" t="n">
        <x:v>10</x:v>
      </x:c>
      <x:c r="O205" s="73" t="n">
        <x:v>16</x:v>
      </x:c>
    </x:row>
    <x:row r="206" ht="15" hidden="0">
      <x:c r="A206" s="73" t="n">
        <x:v>205</x:v>
      </x:c>
      <x:c r="B206" s="73" t="n">
        <x:v>207</x:v>
      </x:c>
      <x:c r="C206" s="73" t="s">
        <x:v>946</x:v>
      </x:c>
      <x:c r="D206" s="73" t="s">
        <x:v>947</x:v>
      </x:c>
      <x:c r="E206" s="73" t="s">
        <x:v>948</x:v>
      </x:c>
      <x:c r="F206" s="73" t="s">
        <x:v>949</x:v>
      </x:c>
      <x:c r="G206" s="73" t="s">
        <x:v>37</x:v>
      </x:c>
      <x:c r="H206" s="73" t="s">
        <x:v>950</x:v>
      </x:c>
      <x:c r="I206" s="73" t="n">
        <x:v>10</x:v>
      </x:c>
      <x:c r="J206" s="73" t="n">
        <x:v>20</x:v>
      </x:c>
      <x:c r="K206" s="73" t="s">
        <x:v>770</x:v>
      </x:c>
      <x:c r="L206" s="73" t="n">
        <x:v>2020</x:v>
      </x:c>
      <x:c r="M206" s="73" t="n">
        <x:v>9</x:v>
      </x:c>
      <x:c r="N206" s="73" t="n">
        <x:v>18</x:v>
      </x:c>
      <x:c r="O206" s="73" t="n">
        <x:v>13</x:v>
      </x:c>
    </x:row>
    <x:row r="207" ht="15" hidden="0">
      <x:c r="A207" s="73" t="n">
        <x:v>206</x:v>
      </x:c>
      <x:c r="B207" s="73" t="n">
        <x:v>208</x:v>
      </x:c>
      <x:c r="C207" s="73" t="s">
        <x:v>951</x:v>
      </x:c>
      <x:c r="D207" s="73" t="s">
        <x:v>952</x:v>
      </x:c>
      <x:c r="E207" s="73" t="s">
        <x:v>953</x:v>
      </x:c>
      <x:c r="F207" s="73" t="s">
        <x:v>954</x:v>
      </x:c>
      <x:c r="G207" s="73" t="s">
        <x:v>19</x:v>
      </x:c>
      <x:c r="H207" s="73" t="s">
        <x:v>955</x:v>
      </x:c>
      <x:c r="I207" s="73" t="n">
        <x:v>12</x:v>
      </x:c>
      <x:c r="J207" s="73" t="n">
        <x:v>25</x:v>
      </x:c>
      <x:c r="K207" s="73" t="s">
        <x:v>371</x:v>
      </x:c>
      <x:c r="L207" s="73" t="n">
        <x:v>2021</x:v>
      </x:c>
      <x:c r="M207" s="73" t="n">
        <x:v>7</x:v>
      </x:c>
      <x:c r="N207" s="73" t="n">
        <x:v>3</x:v>
      </x:c>
      <x:c r="O207" s="73" t="n">
        <x:v>19</x:v>
      </x:c>
    </x:row>
    <x:row r="208" ht="15" hidden="0">
      <x:c r="A208" s="73" t="n">
        <x:v>207</x:v>
      </x:c>
      <x:c r="B208" s="73" t="n">
        <x:v>209</x:v>
      </x:c>
      <x:c r="C208" s="73" t="s">
        <x:v>956</x:v>
      </x:c>
      <x:c r="D208" s="73" t="s">
        <x:v>908</x:v>
      </x:c>
      <x:c r="E208" s="73" t="s">
        <x:v>957</x:v>
      </x:c>
      <x:c r="F208" s="73" t="s">
        <x:v>958</x:v>
      </x:c>
      <x:c r="G208" s="73" t="s">
        <x:v>31</x:v>
      </x:c>
      <x:c r="H208" s="73" t="s">
        <x:v>959</x:v>
      </x:c>
      <x:c r="I208" s="73" t="n">
        <x:v>20</x:v>
      </x:c>
      <x:c r="J208" s="73" t="n">
        <x:v>40</x:v>
      </x:c>
      <x:c r="K208" s="73" t="s">
        <x:v>260</x:v>
      </x:c>
      <x:c r="L208" s="73" t="n">
        <x:v>2022</x:v>
      </x:c>
      <x:c r="M208" s="73" t="n">
        <x:v>10</x:v>
      </x:c>
      <x:c r="N208" s="73" t="n">
        <x:v>8</x:v>
      </x:c>
      <x:c r="O208" s="73" t="n">
        <x:v>8</x:v>
      </x:c>
    </x:row>
    <x:row r="209" ht="15" hidden="0">
      <x:c r="A209" s="73" t="n">
        <x:v>208</x:v>
      </x:c>
      <x:c r="B209" s="73" t="n">
        <x:v>210</x:v>
      </x:c>
      <x:c r="C209" s="73" t="s">
        <x:v>960</x:v>
      </x:c>
      <x:c r="D209" s="73" t="s">
        <x:v>913</x:v>
      </x:c>
      <x:c r="E209" s="73" t="s">
        <x:v>961</x:v>
      </x:c>
      <x:c r="F209" s="73" t="s">
        <x:v>962</x:v>
      </x:c>
      <x:c r="G209" s="73" t="s">
        <x:v>37</x:v>
      </x:c>
      <x:c r="H209" s="73" t="s">
        <x:v>963</x:v>
      </x:c>
      <x:c r="I209" s="73" t="n">
        <x:v>10</x:v>
      </x:c>
      <x:c r="J209" s="73" t="n">
        <x:v>20</x:v>
      </x:c>
      <x:c r="K209" s="73" t="s">
        <x:v>787</x:v>
      </x:c>
      <x:c r="L209" s="73" t="n">
        <x:v>2023</x:v>
      </x:c>
      <x:c r="M209" s="73" t="n">
        <x:v>3</x:v>
      </x:c>
      <x:c r="N209" s="73" t="n">
        <x:v>22</x:v>
      </x:c>
      <x:c r="O209" s="73" t="n">
        <x:v>16</x:v>
      </x:c>
    </x:row>
    <x:row r="210" ht="15" hidden="0">
      <x:c r="A210" s="73" t="n">
        <x:v>209</x:v>
      </x:c>
      <x:c r="B210" s="73" t="n">
        <x:v>211</x:v>
      </x:c>
      <x:c r="C210" s="73" t="s">
        <x:v>964</x:v>
      </x:c>
      <x:c r="D210" s="73" t="s">
        <x:v>918</x:v>
      </x:c>
      <x:c r="E210" s="73" t="s">
        <x:v>965</x:v>
      </x:c>
      <x:c r="F210" s="73" t="s">
        <x:v>966</x:v>
      </x:c>
      <x:c r="G210" s="73" t="s">
        <x:v>19</x:v>
      </x:c>
      <x:c r="H210" s="73" t="s">
        <x:v>967</x:v>
      </x:c>
      <x:c r="I210" s="73" t="n">
        <x:v>15</x:v>
      </x:c>
      <x:c r="J210" s="73" t="n">
        <x:v>30</x:v>
      </x:c>
      <x:c r="K210" s="73" t="s">
        <x:v>468</x:v>
      </x:c>
      <x:c r="L210" s="73" t="n">
        <x:v>2021</x:v>
      </x:c>
      <x:c r="M210" s="73" t="n">
        <x:v>5</x:v>
      </x:c>
      <x:c r="N210" s="73" t="n">
        <x:v>15</x:v>
      </x:c>
      <x:c r="O210" s="73" t="n">
        <x:v>11</x:v>
      </x:c>
    </x:row>
    <x:row r="211" ht="15" hidden="0">
      <x:c r="A211" s="73" t="n">
        <x:v>210</x:v>
      </x:c>
      <x:c r="B211" s="73" t="n">
        <x:v>212</x:v>
      </x:c>
      <x:c r="C211" s="73" t="s">
        <x:v>968</x:v>
      </x:c>
      <x:c r="D211" s="73" t="s">
        <x:v>923</x:v>
      </x:c>
      <x:c r="E211" s="73" t="s">
        <x:v>969</x:v>
      </x:c>
      <x:c r="F211" s="73" t="s">
        <x:v>970</x:v>
      </x:c>
      <x:c r="G211" s="73" t="s">
        <x:v>31</x:v>
      </x:c>
      <x:c r="H211" s="73" t="s">
        <x:v>971</x:v>
      </x:c>
      <x:c r="I211" s="73" t="n">
        <x:v>8</x:v>
      </x:c>
      <x:c r="J211" s="73" t="n">
        <x:v>15</x:v>
      </x:c>
      <x:c r="K211" s="73" t="s">
        <x:v>776</x:v>
      </x:c>
      <x:c r="L211" s="73" t="n">
        <x:v>2019</x:v>
      </x:c>
      <x:c r="M211" s="73" t="n">
        <x:v>12</x:v>
      </x:c>
      <x:c r="N211" s="73" t="n">
        <x:v>28</x:v>
      </x:c>
      <x:c r="O211" s="73" t="n">
        <x:v>14</x:v>
      </x:c>
    </x:row>
    <x:row r="212" ht="15" hidden="0">
      <x:c r="A212" s="73" t="n">
        <x:v>211</x:v>
      </x:c>
      <x:c r="B212" s="73" t="n">
        <x:v>213</x:v>
      </x:c>
      <x:c r="C212" s="73" t="s">
        <x:v>972</x:v>
      </x:c>
      <x:c r="D212" s="73" t="s">
        <x:v>928</x:v>
      </x:c>
      <x:c r="E212" s="73" t="s">
        <x:v>973</x:v>
      </x:c>
      <x:c r="F212" s="73" t="s">
        <x:v>974</x:v>
      </x:c>
      <x:c r="G212" s="73" t="s">
        <x:v>37</x:v>
      </x:c>
      <x:c r="H212" s="73" t="s">
        <x:v>975</x:v>
      </x:c>
      <x:c r="I212" s="73" t="n">
        <x:v>12</x:v>
      </x:c>
      <x:c r="J212" s="73" t="n">
        <x:v>25</x:v>
      </x:c>
      <x:c r="K212" s="73" t="s">
        <x:v>836</x:v>
      </x:c>
      <x:c r="L212" s="73" t="n">
        <x:v>2020</x:v>
      </x:c>
      <x:c r="M212" s="73" t="n">
        <x:v>3</x:v>
      </x:c>
      <x:c r="N212" s="73" t="n">
        <x:v>1</x:v>
      </x:c>
      <x:c r="O212" s="73" t="n">
        <x:v>19</x:v>
      </x:c>
    </x:row>
    <x:row r="213" ht="15" hidden="0">
      <x:c r="A213" s="73" t="n">
        <x:v>212</x:v>
      </x:c>
      <x:c r="B213" s="73" t="n">
        <x:v>214</x:v>
      </x:c>
      <x:c r="C213" s="73" t="s">
        <x:v>976</x:v>
      </x:c>
      <x:c r="D213" s="73" t="s">
        <x:v>933</x:v>
      </x:c>
      <x:c r="E213" s="73" t="s">
        <x:v>977</x:v>
      </x:c>
      <x:c r="F213" s="73" t="s">
        <x:v>978</x:v>
      </x:c>
      <x:c r="G213" s="73" t="s">
        <x:v>19</x:v>
      </x:c>
      <x:c r="H213" s="73" t="s">
        <x:v>979</x:v>
      </x:c>
      <x:c r="I213" s="73" t="n">
        <x:v>10</x:v>
      </x:c>
      <x:c r="J213" s="73" t="n">
        <x:v>20</x:v>
      </x:c>
      <x:c r="K213" s="73" t="s">
        <x:v>787</x:v>
      </x:c>
      <x:c r="L213" s="73" t="n">
        <x:v>2018</x:v>
      </x:c>
      <x:c r="M213" s="73" t="n">
        <x:v>7</x:v>
      </x:c>
      <x:c r="N213" s="73" t="n">
        <x:v>10</x:v>
      </x:c>
      <x:c r="O213" s="73" t="n">
        <x:v>15</x:v>
      </x:c>
    </x:row>
    <x:row r="214" ht="15" hidden="0">
      <x:c r="A214" s="73" t="n">
        <x:v>213</x:v>
      </x:c>
      <x:c r="B214" s="73" t="n">
        <x:v>215</x:v>
      </x:c>
      <x:c r="C214" s="73" t="s">
        <x:v>980</x:v>
      </x:c>
      <x:c r="D214" s="73" t="s">
        <x:v>938</x:v>
      </x:c>
      <x:c r="E214" s="73" t="s">
        <x:v>981</x:v>
      </x:c>
      <x:c r="F214" s="73" t="s">
        <x:v>982</x:v>
      </x:c>
      <x:c r="G214" s="73" t="s">
        <x:v>31</x:v>
      </x:c>
      <x:c r="H214" s="73" t="s">
        <x:v>983</x:v>
      </x:c>
      <x:c r="I214" s="73" t="n">
        <x:v>12</x:v>
      </x:c>
      <x:c r="J214" s="73" t="n">
        <x:v>25</x:v>
      </x:c>
      <x:c r="K214" s="73" t="s">
        <x:v>468</x:v>
      </x:c>
      <x:c r="L214" s="73" t="n">
        <x:v>2022</x:v>
      </x:c>
      <x:c r="M214" s="73" t="n">
        <x:v>1</x:v>
      </x:c>
      <x:c r="N214" s="73" t="n">
        <x:v>5</x:v>
      </x:c>
      <x:c r="O214" s="73" t="n">
        <x:v>10</x:v>
      </x:c>
    </x:row>
    <x:row r="215" ht="15" hidden="0">
      <x:c r="A215" s="73" t="n">
        <x:v>214</x:v>
      </x:c>
      <x:c r="B215" s="73" t="n">
        <x:v>216</x:v>
      </x:c>
      <x:c r="C215" s="73" t="s">
        <x:v>984</x:v>
      </x:c>
      <x:c r="D215" s="73" t="s">
        <x:v>943</x:v>
      </x:c>
      <x:c r="E215" s="73" t="s">
        <x:v>985</x:v>
      </x:c>
      <x:c r="F215" s="73" t="s">
        <x:v>986</x:v>
      </x:c>
      <x:c r="G215" s="73" t="s">
        <x:v>37</x:v>
      </x:c>
      <x:c r="H215" s="73" t="s">
        <x:v>987</x:v>
      </x:c>
      <x:c r="I215" s="73" t="n">
        <x:v>15</x:v>
      </x:c>
      <x:c r="J215" s="73" t="n">
        <x:v>30</x:v>
      </x:c>
      <x:c r="K215" s="73" t="s">
        <x:v>371</x:v>
      </x:c>
      <x:c r="L215" s="73" t="n">
        <x:v>2021</x:v>
      </x:c>
      <x:c r="M215" s="73" t="n">
        <x:v>8</x:v>
      </x:c>
      <x:c r="N215" s="73" t="n">
        <x:v>20</x:v>
      </x:c>
      <x:c r="O215" s="73" t="n">
        <x:v>16</x:v>
      </x:c>
    </x:row>
    <x:row r="216" ht="15" hidden="0">
      <x:c r="A216" s="73" t="n">
        <x:v>215</x:v>
      </x:c>
      <x:c r="B216" s="73" t="n">
        <x:v>217</x:v>
      </x:c>
      <x:c r="C216" s="73" t="s">
        <x:v>988</x:v>
      </x:c>
      <x:c r="D216" s="73" t="s">
        <x:v>947</x:v>
      </x:c>
      <x:c r="E216" s="73" t="s">
        <x:v>989</x:v>
      </x:c>
      <x:c r="F216" s="73" t="s">
        <x:v>990</x:v>
      </x:c>
      <x:c r="G216" s="73" t="s">
        <x:v>19</x:v>
      </x:c>
      <x:c r="H216" s="73" t="s">
        <x:v>991</x:v>
      </x:c>
      <x:c r="I216" s="73" t="n">
        <x:v>18</x:v>
      </x:c>
      <x:c r="J216" s="73" t="n">
        <x:v>35</x:v>
      </x:c>
      <x:c r="K216" s="73" t="s">
        <x:v>260</x:v>
      </x:c>
      <x:c r="L216" s="73" t="n">
        <x:v>2019</x:v>
      </x:c>
      <x:c r="M216" s="73" t="n">
        <x:v>11</x:v>
      </x:c>
      <x:c r="N216" s="73" t="n">
        <x:v>3</x:v>
      </x:c>
      <x:c r="O216" s="73" t="n">
        <x:v>13</x:v>
      </x:c>
    </x:row>
    <x:row r="217" ht="15" hidden="0">
      <x:c r="A217" s="73" t="n">
        <x:v>216</x:v>
      </x:c>
      <x:c r="B217" s="73" t="n">
        <x:v>218</x:v>
      </x:c>
      <x:c r="C217" s="73" t="s">
        <x:v>992</x:v>
      </x:c>
      <x:c r="D217" s="73" t="s">
        <x:v>952</x:v>
      </x:c>
      <x:c r="E217" s="73" t="s">
        <x:v>993</x:v>
      </x:c>
      <x:c r="F217" s="73" t="s">
        <x:v>994</x:v>
      </x:c>
      <x:c r="G217" s="73" t="s">
        <x:v>31</x:v>
      </x:c>
      <x:c r="H217" s="73" t="s">
        <x:v>995</x:v>
      </x:c>
      <x:c r="I217" s="73" t="n">
        <x:v>25</x:v>
      </x:c>
      <x:c r="J217" s="73" t="n">
        <x:v>50</x:v>
      </x:c>
      <x:c r="K217" s="73" t="s">
        <x:v>787</x:v>
      </x:c>
      <x:c r="L217" s="73" t="n">
        <x:v>2020</x:v>
      </x:c>
      <x:c r="M217" s="73" t="n">
        <x:v>4</x:v>
      </x:c>
      <x:c r="N217" s="73" t="n">
        <x:v>12</x:v>
      </x:c>
      <x:c r="O217" s="73" t="n">
        <x:v>19</x:v>
      </x:c>
    </x:row>
    <x:row r="218" ht="15" hidden="0">
      <x:c r="A218" s="73" t="n">
        <x:v>217</x:v>
      </x:c>
      <x:c r="B218" s="73" t="n">
        <x:v>219</x:v>
      </x:c>
      <x:c r="C218" s="73" t="s">
        <x:v>996</x:v>
      </x:c>
      <x:c r="D218" s="73" t="s">
        <x:v>908</x:v>
      </x:c>
      <x:c r="E218" s="73" t="s">
        <x:v>997</x:v>
      </x:c>
      <x:c r="F218" s="73" t="s">
        <x:v>998</x:v>
      </x:c>
      <x:c r="G218" s="73" t="s">
        <x:v>37</x:v>
      </x:c>
      <x:c r="H218" s="73" t="s">
        <x:v>999</x:v>
      </x:c>
      <x:c r="I218" s="73" t="n">
        <x:v>22</x:v>
      </x:c>
      <x:c r="J218" s="73" t="n">
        <x:v>45</x:v>
      </x:c>
      <x:c r="K218" s="73" t="s">
        <x:v>836</x:v>
      </x:c>
      <x:c r="L218" s="73" t="n">
        <x:v>2022</x:v>
      </x:c>
      <x:c r="M218" s="73" t="n">
        <x:v>4</x:v>
      </x:c>
      <x:c r="N218" s="73" t="n">
        <x:v>15</x:v>
      </x:c>
      <x:c r="O218" s="73" t="n">
        <x:v>8</x:v>
      </x:c>
    </x:row>
    <x:row r="219" ht="15" hidden="0">
      <x:c r="A219" s="73" t="n">
        <x:v>218</x:v>
      </x:c>
      <x:c r="B219" s="73" t="n">
        <x:v>220</x:v>
      </x:c>
      <x:c r="C219" s="73" t="s">
        <x:v>1000</x:v>
      </x:c>
      <x:c r="D219" s="73" t="s">
        <x:v>913</x:v>
      </x:c>
      <x:c r="E219" s="73" t="s">
        <x:v>1001</x:v>
      </x:c>
      <x:c r="F219" s="73" t="s">
        <x:v>1002</x:v>
      </x:c>
      <x:c r="G219" s="73" t="s">
        <x:v>19</x:v>
      </x:c>
      <x:c r="H219" s="73" t="s">
        <x:v>1003</x:v>
      </x:c>
      <x:c r="I219" s="73" t="n">
        <x:v>9</x:v>
      </x:c>
      <x:c r="J219" s="73" t="n">
        <x:v>18</x:v>
      </x:c>
      <x:c r="K219" s="73" t="s">
        <x:v>468</x:v>
      </x:c>
      <x:c r="L219" s="73" t="n">
        <x:v>2023</x:v>
      </x:c>
      <x:c r="M219" s="73" t="n">
        <x:v>2</x:v>
      </x:c>
      <x:c r="N219" s="73" t="n">
        <x:v>10</x:v>
      </x:c>
      <x:c r="O219" s="73" t="n">
        <x:v>17</x:v>
      </x:c>
    </x:row>
    <x:row r="220" ht="15" hidden="0">
      <x:c r="A220" s="73" t="n">
        <x:v>219</x:v>
      </x:c>
      <x:c r="B220" s="73" t="n">
        <x:v>221</x:v>
      </x:c>
      <x:c r="C220" s="73" t="s">
        <x:v>1004</x:v>
      </x:c>
      <x:c r="D220" s="73" t="s">
        <x:v>918</x:v>
      </x:c>
      <x:c r="E220" s="73" t="s">
        <x:v>1005</x:v>
      </x:c>
      <x:c r="F220" s="73" t="s">
        <x:v>1006</x:v>
      </x:c>
      <x:c r="G220" s="73" t="s">
        <x:v>31</x:v>
      </x:c>
      <x:c r="H220" s="73" t="s">
        <x:v>1007</x:v>
      </x:c>
      <x:c r="I220" s="73" t="n">
        <x:v>14</x:v>
      </x:c>
      <x:c r="J220" s="73" t="n">
        <x:v>28</x:v>
      </x:c>
      <x:c r="K220" s="73" t="s">
        <x:v>371</x:v>
      </x:c>
      <x:c r="L220" s="73" t="n">
        <x:v>2020</x:v>
      </x:c>
      <x:c r="M220" s="73" t="n">
        <x:v>8</x:v>
      </x:c>
      <x:c r="N220" s="73" t="n">
        <x:v>5</x:v>
      </x:c>
      <x:c r="O220" s="73" t="n">
        <x:v>12</x:v>
      </x:c>
    </x:row>
    <x:row r="221" ht="15" hidden="0">
      <x:c r="A221" s="73" t="n">
        <x:v>220</x:v>
      </x:c>
      <x:c r="B221" s="73" t="n">
        <x:v>222</x:v>
      </x:c>
      <x:c r="C221" s="73" t="s">
        <x:v>1008</x:v>
      </x:c>
      <x:c r="D221" s="73" t="s">
        <x:v>923</x:v>
      </x:c>
      <x:c r="E221" s="73" t="s">
        <x:v>1009</x:v>
      </x:c>
      <x:c r="F221" s="73" t="s">
        <x:v>1010</x:v>
      </x:c>
      <x:c r="G221" s="73" t="s">
        <x:v>37</x:v>
      </x:c>
      <x:c r="H221" s="73" t="s">
        <x:v>1011</x:v>
      </x:c>
      <x:c r="I221" s="73" t="n">
        <x:v>10</x:v>
      </x:c>
      <x:c r="J221" s="73" t="n">
        <x:v>20</x:v>
      </x:c>
      <x:c r="K221" s="73" t="s">
        <x:v>260</x:v>
      </x:c>
      <x:c r="L221" s="73" t="n">
        <x:v>2021</x:v>
      </x:c>
      <x:c r="M221" s="73" t="n">
        <x:v>12</x:v>
      </x:c>
      <x:c r="N221" s="73" t="n">
        <x:v>1</x:v>
      </x:c>
      <x:c r="O221" s="73" t="n">
        <x:v>15</x:v>
      </x:c>
    </x:row>
    <x:row r="222" ht="15" hidden="0">
      <x:c r="A222" s="73" t="n">
        <x:v>221</x:v>
      </x:c>
      <x:c r="B222" s="73" t="n">
        <x:v>223</x:v>
      </x:c>
      <x:c r="C222" s="73" t="s">
        <x:v>1012</x:v>
      </x:c>
      <x:c r="D222" s="73" t="s">
        <x:v>928</x:v>
      </x:c>
      <x:c r="E222" s="73" t="s">
        <x:v>1013</x:v>
      </x:c>
      <x:c r="F222" s="73" t="s">
        <x:v>1014</x:v>
      </x:c>
      <x:c r="G222" s="73" t="s">
        <x:v>19</x:v>
      </x:c>
      <x:c r="H222" s="73" t="s">
        <x:v>1015</x:v>
      </x:c>
      <x:c r="I222" s="73" t="n">
        <x:v>13</x:v>
      </x:c>
      <x:c r="J222" s="73" t="n">
        <x:v>26</x:v>
      </x:c>
      <x:c r="K222" s="73" t="s">
        <x:v>787</x:v>
      </x:c>
      <x:c r="L222" s="73" t="n">
        <x:v>2019</x:v>
      </x:c>
      <x:c r="M222" s="73" t="n">
        <x:v>3</x:v>
      </x:c>
      <x:c r="N222" s="73" t="n">
        <x:v>25</x:v>
      </x:c>
      <x:c r="O222" s="73" t="n">
        <x:v>21</x:v>
      </x:c>
    </x:row>
    <x:row r="223" ht="15" hidden="0">
      <x:c r="A223" s="73" t="n">
        <x:v>222</x:v>
      </x:c>
      <x:c r="B223" s="73" t="n">
        <x:v>224</x:v>
      </x:c>
      <x:c r="C223" s="73" t="s">
        <x:v>1016</x:v>
      </x:c>
      <x:c r="D223" s="73" t="s">
        <x:v>933</x:v>
      </x:c>
      <x:c r="E223" s="73" t="s">
        <x:v>1017</x:v>
      </x:c>
      <x:c r="F223" s="73" t="s">
        <x:v>1018</x:v>
      </x:c>
      <x:c r="G223" s="73" t="s">
        <x:v>31</x:v>
      </x:c>
      <x:c r="H223" s="73" t="s">
        <x:v>1019</x:v>
      </x:c>
      <x:c r="I223" s="73" t="n">
        <x:v>12</x:v>
      </x:c>
      <x:c r="J223" s="73" t="n">
        <x:v>25</x:v>
      </x:c>
      <x:c r="K223" s="73" t="s">
        <x:v>836</x:v>
      </x:c>
      <x:c r="L223" s="73" t="n">
        <x:v>2017</x:v>
      </x:c>
      <x:c r="M223" s="73" t="n">
        <x:v>6</x:v>
      </x:c>
      <x:c r="N223" s="73" t="n">
        <x:v>18</x:v>
      </x:c>
      <x:c r="O223" s="73" t="n">
        <x:v>14</x:v>
      </x:c>
    </x:row>
    <x:row r="224" ht="15" hidden="0">
      <x:c r="A224" s="73" t="n">
        <x:v>223</x:v>
      </x:c>
      <x:c r="B224" s="73" t="n">
        <x:v>225</x:v>
      </x:c>
      <x:c r="C224" s="73" t="s">
        <x:v>1020</x:v>
      </x:c>
      <x:c r="D224" s="73" t="s">
        <x:v>938</x:v>
      </x:c>
      <x:c r="E224" s="73" t="s">
        <x:v>1021</x:v>
      </x:c>
      <x:c r="F224" s="73" t="s">
        <x:v>1022</x:v>
      </x:c>
      <x:c r="G224" s="73" t="s">
        <x:v>37</x:v>
      </x:c>
      <x:c r="H224" s="73" t="s">
        <x:v>1023</x:v>
      </x:c>
      <x:c r="I224" s="73" t="n">
        <x:v>15</x:v>
      </x:c>
      <x:c r="J224" s="73" t="n">
        <x:v>30</x:v>
      </x:c>
      <x:c r="K224" s="73" t="s">
        <x:v>371</x:v>
      </x:c>
      <x:c r="L224" s="73" t="n">
        <x:v>2022</x:v>
      </x:c>
      <x:c r="M224" s="73" t="n">
        <x:v>7</x:v>
      </x:c>
      <x:c r="N224" s="73" t="n">
        <x:v>8</x:v>
      </x:c>
      <x:c r="O224" s="73" t="n">
        <x:v>11</x:v>
      </x:c>
    </x:row>
    <x:row r="225" ht="15" hidden="0">
      <x:c r="A225" s="73" t="n">
        <x:v>224</x:v>
      </x:c>
      <x:c r="B225" s="73" t="n">
        <x:v>226</x:v>
      </x:c>
      <x:c r="C225" s="73" t="s">
        <x:v>1024</x:v>
      </x:c>
      <x:c r="D225" s="73" t="s">
        <x:v>943</x:v>
      </x:c>
      <x:c r="E225" s="73" t="s">
        <x:v>1025</x:v>
      </x:c>
      <x:c r="F225" s="73" t="s">
        <x:v>1026</x:v>
      </x:c>
      <x:c r="G225" s="73" t="s">
        <x:v>19</x:v>
      </x:c>
      <x:c r="H225" s="73" t="s">
        <x:v>1027</x:v>
      </x:c>
      <x:c r="I225" s="73" t="n">
        <x:v>18</x:v>
      </x:c>
      <x:c r="J225" s="73" t="n">
        <x:v>36</x:v>
      </x:c>
      <x:c r="K225" s="73" t="s">
        <x:v>787</x:v>
      </x:c>
      <x:c r="L225" s="73" t="n">
        <x:v>2023</x:v>
      </x:c>
      <x:c r="M225" s="73" t="n">
        <x:v>5</x:v>
      </x:c>
      <x:c r="N225" s="73" t="n">
        <x:v>15</x:v>
      </x:c>
      <x:c r="O225" s="73" t="n">
        <x:v>16</x:v>
      </x:c>
    </x:row>
    <x:row r="226" ht="15" hidden="0">
      <x:c r="A226" s="73" t="n">
        <x:v>225</x:v>
      </x:c>
      <x:c r="B226" s="73" t="n">
        <x:v>227</x:v>
      </x:c>
      <x:c r="C226" s="73" t="s">
        <x:v>1028</x:v>
      </x:c>
      <x:c r="D226" s="73" t="s">
        <x:v>947</x:v>
      </x:c>
      <x:c r="E226" s="73" t="s">
        <x:v>1029</x:v>
      </x:c>
      <x:c r="F226" s="73" t="s">
        <x:v>1030</x:v>
      </x:c>
      <x:c r="G226" s="73" t="s">
        <x:v>31</x:v>
      </x:c>
      <x:c r="H226" s="73" t="s">
        <x:v>1031</x:v>
      </x:c>
      <x:c r="I226" s="73" t="n">
        <x:v>20</x:v>
      </x:c>
      <x:c r="J226" s="73" t="n">
        <x:v>40</x:v>
      </x:c>
      <x:c r="K226" s="73" t="s">
        <x:v>468</x:v>
      </x:c>
      <x:c r="L226" s="73" t="n">
        <x:v>2021</x:v>
      </x:c>
      <x:c r="M226" s="73" t="n">
        <x:v>9</x:v>
      </x:c>
      <x:c r="N226" s="73" t="n">
        <x:v>10</x:v>
      </x:c>
      <x:c r="O226" s="73" t="n">
        <x:v>14</x:v>
      </x:c>
    </x:row>
    <x:row r="227" ht="15" hidden="0">
      <x:c r="A227" s="73" t="n">
        <x:v>226</x:v>
      </x:c>
      <x:c r="B227" s="73" t="n">
        <x:v>228</x:v>
      </x:c>
      <x:c r="C227" s="73" t="s">
        <x:v>1032</x:v>
      </x:c>
      <x:c r="D227" s="73" t="s">
        <x:v>952</x:v>
      </x:c>
      <x:c r="E227" s="73" t="s">
        <x:v>1033</x:v>
      </x:c>
      <x:c r="F227" s="73" t="s">
        <x:v>1034</x:v>
      </x:c>
      <x:c r="G227" s="73" t="s">
        <x:v>37</x:v>
      </x:c>
      <x:c r="H227" s="73" t="s">
        <x:v>1035</x:v>
      </x:c>
      <x:c r="I227" s="73" t="n">
        <x:v>25</x:v>
      </x:c>
      <x:c r="J227" s="73" t="n">
        <x:v>50</x:v>
      </x:c>
      <x:c r="K227" s="73" t="s">
        <x:v>260</x:v>
      </x:c>
      <x:c r="L227" s="73" t="n">
        <x:v>2020</x:v>
      </x:c>
      <x:c r="M227" s="73" t="n">
        <x:v>2</x:v>
      </x:c>
      <x:c r="N227" s="73" t="n">
        <x:v>28</x:v>
      </x:c>
      <x:c r="O227" s="73" t="n">
        <x:v>18</x:v>
      </x:c>
    </x:row>
    <x:row r="228" ht="15" hidden="0">
      <x:c r="A228" s="73" t="n">
        <x:v>227</x:v>
      </x:c>
      <x:c r="B228" s="73" t="n">
        <x:v>231</x:v>
      </x:c>
      <x:c r="C228" s="73" t="s">
        <x:v>1036</x:v>
      </x:c>
      <x:c r="D228" s="73" t="s">
        <x:v>913</x:v>
      </x:c>
      <x:c r="E228" s="73" t="s">
        <x:v>1037</x:v>
      </x:c>
      <x:c r="F228" s="73" t="s">
        <x:v>1038</x:v>
      </x:c>
      <x:c r="G228" s="73" t="s">
        <x:v>31</x:v>
      </x:c>
      <x:c r="H228" s="73" t="s">
        <x:v>1039</x:v>
      </x:c>
      <x:c r="I228" s="73" t="n">
        <x:v>9</x:v>
      </x:c>
      <x:c r="J228" s="73" t="n">
        <x:v>18</x:v>
      </x:c>
      <x:c r="K228" s="73" t="s">
        <x:v>836</x:v>
      </x:c>
      <x:c r="L228" s="73" t="n">
        <x:v>2023</x:v>
      </x:c>
      <x:c r="M228" s="73" t="n">
        <x:v>3</x:v>
      </x:c>
      <x:c r="N228" s="73" t="n">
        <x:v>10</x:v>
      </x:c>
      <x:c r="O228" s="73" t="n">
        <x:v>16</x:v>
      </x:c>
    </x:row>
    <x:row r="229" ht="15" hidden="0">
      <x:c r="A229" s="73" t="n">
        <x:v>228</x:v>
      </x:c>
      <x:c r="B229" s="73" t="n">
        <x:v>232</x:v>
      </x:c>
      <x:c r="C229" s="73" t="s">
        <x:v>1040</x:v>
      </x:c>
      <x:c r="D229" s="73" t="s">
        <x:v>918</x:v>
      </x:c>
      <x:c r="E229" s="73" t="s">
        <x:v>1041</x:v>
      </x:c>
      <x:c r="F229" s="73" t="s">
        <x:v>1042</x:v>
      </x:c>
      <x:c r="G229" s="73" t="s">
        <x:v>37</x:v>
      </x:c>
      <x:c r="H229" s="73" t="s">
        <x:v>967</x:v>
      </x:c>
      <x:c r="I229" s="73" t="n">
        <x:v>14</x:v>
      </x:c>
      <x:c r="J229" s="73" t="n">
        <x:v>28</x:v>
      </x:c>
      <x:c r="K229" s="73" t="s">
        <x:v>371</x:v>
      </x:c>
      <x:c r="L229" s="73" t="n">
        <x:v>2021</x:v>
      </x:c>
      <x:c r="M229" s="73" t="n">
        <x:v>5</x:v>
      </x:c>
      <x:c r="N229" s="73" t="n">
        <x:v>2</x:v>
      </x:c>
      <x:c r="O229" s="73" t="n">
        <x:v>11</x:v>
      </x:c>
    </x:row>
    <x:row r="230" ht="15" hidden="0">
      <x:c r="A230" s="73" t="n">
        <x:v>229</x:v>
      </x:c>
      <x:c r="B230" s="73" t="n">
        <x:v>233</x:v>
      </x:c>
      <x:c r="C230" s="73" t="s">
        <x:v>1043</x:v>
      </x:c>
      <x:c r="D230" s="73" t="s">
        <x:v>923</x:v>
      </x:c>
      <x:c r="E230" s="73" t="s">
        <x:v>1044</x:v>
      </x:c>
      <x:c r="F230" s="73" t="s">
        <x:v>1045</x:v>
      </x:c>
      <x:c r="G230" s="73" t="s">
        <x:v>19</x:v>
      </x:c>
      <x:c r="H230" s="73" t="s">
        <x:v>1046</x:v>
      </x:c>
      <x:c r="I230" s="73" t="n">
        <x:v>11</x:v>
      </x:c>
      <x:c r="J230" s="73" t="n">
        <x:v>22</x:v>
      </x:c>
      <x:c r="K230" s="73" t="s">
        <x:v>468</x:v>
      </x:c>
      <x:c r="L230" s="73" t="n">
        <x:v>2019</x:v>
      </x:c>
      <x:c r="M230" s="73" t="n">
        <x:v>10</x:v>
      </x:c>
      <x:c r="N230" s="73" t="n">
        <x:v>18</x:v>
      </x:c>
      <x:c r="O230" s="73" t="n">
        <x:v>14</x:v>
      </x:c>
    </x:row>
    <x:row r="231" ht="15" hidden="0">
      <x:c r="A231" s="73" t="n">
        <x:v>230</x:v>
      </x:c>
      <x:c r="B231" s="73" t="n">
        <x:v>234</x:v>
      </x:c>
      <x:c r="C231" s="73" t="s">
        <x:v>1047</x:v>
      </x:c>
      <x:c r="D231" s="73" t="s">
        <x:v>928</x:v>
      </x:c>
      <x:c r="E231" s="73" t="s">
        <x:v>1048</x:v>
      </x:c>
      <x:c r="F231" s="73" t="s">
        <x:v>1049</x:v>
      </x:c>
      <x:c r="G231" s="73" t="s">
        <x:v>31</x:v>
      </x:c>
      <x:c r="H231" s="73" t="s">
        <x:v>1050</x:v>
      </x:c>
      <x:c r="I231" s="73" t="n">
        <x:v>13</x:v>
      </x:c>
      <x:c r="J231" s="73" t="n">
        <x:v>26</x:v>
      </x:c>
      <x:c r="K231" s="73" t="s">
        <x:v>260</x:v>
      </x:c>
      <x:c r="L231" s="73" t="n">
        <x:v>2020</x:v>
      </x:c>
      <x:c r="M231" s="73" t="n">
        <x:v>1</x:v>
      </x:c>
      <x:c r="N231" s="73" t="n">
        <x:v>5</x:v>
      </x:c>
      <x:c r="O231" s="73" t="n">
        <x:v>20</x:v>
      </x:c>
    </x:row>
    <x:row r="232" ht="15" hidden="0">
      <x:c r="A232" s="73" t="n">
        <x:v>231</x:v>
      </x:c>
      <x:c r="B232" s="73" t="n">
        <x:v>235</x:v>
      </x:c>
      <x:c r="C232" s="73" t="s">
        <x:v>1051</x:v>
      </x:c>
      <x:c r="D232" s="73" t="s">
        <x:v>933</x:v>
      </x:c>
      <x:c r="E232" s="73" t="s">
        <x:v>1052</x:v>
      </x:c>
      <x:c r="F232" s="73" t="s">
        <x:v>1053</x:v>
      </x:c>
      <x:c r="G232" s="73" t="s">
        <x:v>37</x:v>
      </x:c>
      <x:c r="H232" s="73" t="s">
        <x:v>1054</x:v>
      </x:c>
      <x:c r="I232" s="73" t="n">
        <x:v>12</x:v>
      </x:c>
      <x:c r="J232" s="73" t="n">
        <x:v>25</x:v>
      </x:c>
      <x:c r="K232" s="73" t="s">
        <x:v>787</x:v>
      </x:c>
      <x:c r="L232" s="73" t="n">
        <x:v>2018</x:v>
      </x:c>
      <x:c r="M232" s="73" t="n">
        <x:v>8</x:v>
      </x:c>
      <x:c r="N232" s="73" t="n">
        <x:v>10</x:v>
      </x:c>
      <x:c r="O232" s="73" t="n">
        <x:v>15</x:v>
      </x:c>
    </x:row>
    <x:row r="233" ht="15" hidden="0">
      <x:c r="A233" s="73" t="n">
        <x:v>232</x:v>
      </x:c>
      <x:c r="B233" s="73" t="n">
        <x:v>236</x:v>
      </x:c>
      <x:c r="C233" s="73" t="s">
        <x:v>1055</x:v>
      </x:c>
      <x:c r="D233" s="73" t="s">
        <x:v>938</x:v>
      </x:c>
      <x:c r="E233" s="73" t="s">
        <x:v>1056</x:v>
      </x:c>
      <x:c r="F233" s="73" t="s">
        <x:v>1057</x:v>
      </x:c>
      <x:c r="G233" s="73" t="s">
        <x:v>19</x:v>
      </x:c>
      <x:c r="H233" s="73" t="s">
        <x:v>1058</x:v>
      </x:c>
      <x:c r="I233" s="73" t="n">
        <x:v>15</x:v>
      </x:c>
      <x:c r="J233" s="73" t="n">
        <x:v>30</x:v>
      </x:c>
      <x:c r="K233" s="73" t="s">
        <x:v>836</x:v>
      </x:c>
      <x:c r="L233" s="73" t="n">
        <x:v>2022</x:v>
      </x:c>
      <x:c r="M233" s="73" t="n">
        <x:v>1</x:v>
      </x:c>
      <x:c r="N233" s="73" t="n">
        <x:v>15</x:v>
      </x:c>
      <x:c r="O233" s="73" t="n">
        <x:v>10</x:v>
      </x:c>
    </x:row>
    <x:row r="234" ht="15" hidden="0">
      <x:c r="A234" s="73" t="n">
        <x:v>233</x:v>
      </x:c>
      <x:c r="B234" s="73" t="n">
        <x:v>237</x:v>
      </x:c>
      <x:c r="C234" s="73" t="s">
        <x:v>1059</x:v>
      </x:c>
      <x:c r="D234" s="73" t="s">
        <x:v>943</x:v>
      </x:c>
      <x:c r="E234" s="73" t="s">
        <x:v>1060</x:v>
      </x:c>
      <x:c r="F234" s="73" t="s">
        <x:v>1061</x:v>
      </x:c>
      <x:c r="G234" s="73" t="s">
        <x:v>31</x:v>
      </x:c>
      <x:c r="H234" s="73" t="s">
        <x:v>1062</x:v>
      </x:c>
      <x:c r="I234" s="73" t="n">
        <x:v>18</x:v>
      </x:c>
      <x:c r="J234" s="73" t="n">
        <x:v>36</x:v>
      </x:c>
      <x:c r="K234" s="73" t="s">
        <x:v>776</x:v>
      </x:c>
      <x:c r="L234" s="73" t="n">
        <x:v>2021</x:v>
      </x:c>
      <x:c r="M234" s="73" t="n">
        <x:v>7</x:v>
      </x:c>
      <x:c r="N234" s="73" t="n">
        <x:v>20</x:v>
      </x:c>
      <x:c r="O234" s="73" t="n">
        <x:v>16</x:v>
      </x:c>
    </x:row>
    <x:row r="235" ht="15" hidden="0">
      <x:c r="A235" s="73" t="n">
        <x:v>234</x:v>
      </x:c>
      <x:c r="B235" s="73" t="n">
        <x:v>238</x:v>
      </x:c>
      <x:c r="C235" s="73" t="s">
        <x:v>1063</x:v>
      </x:c>
      <x:c r="D235" s="73" t="s">
        <x:v>947</x:v>
      </x:c>
      <x:c r="E235" s="73" t="s">
        <x:v>1064</x:v>
      </x:c>
      <x:c r="F235" s="73" t="s">
        <x:v>1065</x:v>
      </x:c>
      <x:c r="G235" s="73" t="s">
        <x:v>37</x:v>
      </x:c>
      <x:c r="H235" s="73" t="s">
        <x:v>1066</x:v>
      </x:c>
      <x:c r="I235" s="73" t="n">
        <x:v>20</x:v>
      </x:c>
      <x:c r="J235" s="73" t="n">
        <x:v>40</x:v>
      </x:c>
      <x:c r="K235" s="73" t="s">
        <x:v>260</x:v>
      </x:c>
      <x:c r="L235" s="73" t="n">
        <x:v>2019</x:v>
      </x:c>
      <x:c r="M235" s="73" t="n">
        <x:v>12</x:v>
      </x:c>
      <x:c r="N235" s="73" t="n">
        <x:v>3</x:v>
      </x:c>
      <x:c r="O235" s="73" t="n">
        <x:v>13</x:v>
      </x:c>
    </x:row>
    <x:row r="236" ht="15" hidden="0">
      <x:c r="A236" s="73" t="n">
        <x:v>235</x:v>
      </x:c>
      <x:c r="B236" s="73" t="n">
        <x:v>239</x:v>
      </x:c>
      <x:c r="C236" s="73" t="s">
        <x:v>1067</x:v>
      </x:c>
      <x:c r="D236" s="73" t="s">
        <x:v>952</x:v>
      </x:c>
      <x:c r="E236" s="73" t="s">
        <x:v>993</x:v>
      </x:c>
      <x:c r="F236" s="73" t="s">
        <x:v>1068</x:v>
      </x:c>
      <x:c r="G236" s="73" t="s">
        <x:v>19</x:v>
      </x:c>
      <x:c r="H236" s="73" t="s">
        <x:v>1069</x:v>
      </x:c>
      <x:c r="I236" s="73" t="n">
        <x:v>25</x:v>
      </x:c>
      <x:c r="J236" s="73" t="n">
        <x:v>50</x:v>
      </x:c>
      <x:c r="K236" s="73" t="s">
        <x:v>787</x:v>
      </x:c>
      <x:c r="L236" s="73" t="n">
        <x:v>2020</x:v>
      </x:c>
      <x:c r="M236" s="73" t="n">
        <x:v>4</x:v>
      </x:c>
      <x:c r="N236" s="73" t="n">
        <x:v>12</x:v>
      </x:c>
      <x:c r="O236" s="73" t="n">
        <x:v>19</x:v>
      </x:c>
    </x:row>
    <x:row r="237" ht="15" hidden="0">
      <x:c r="A237" s="73" t="n">
        <x:v>236</x:v>
      </x:c>
      <x:c r="B237" s="73" t="n">
        <x:v>240</x:v>
      </x:c>
      <x:c r="C237" s="73" t="s">
        <x:v>1070</x:v>
      </x:c>
      <x:c r="D237" s="73" t="s">
        <x:v>908</x:v>
      </x:c>
      <x:c r="E237" s="73" t="s">
        <x:v>1071</x:v>
      </x:c>
      <x:c r="F237" s="73" t="s">
        <x:v>1072</x:v>
      </x:c>
      <x:c r="G237" s="73" t="s">
        <x:v>31</x:v>
      </x:c>
      <x:c r="H237" s="73" t="s">
        <x:v>1073</x:v>
      </x:c>
      <x:c r="I237" s="73" t="n">
        <x:v>22</x:v>
      </x:c>
      <x:c r="J237" s="73" t="n">
        <x:v>45</x:v>
      </x:c>
      <x:c r="K237" s="73" t="s">
        <x:v>468</x:v>
      </x:c>
      <x:c r="L237" s="73" t="n">
        <x:v>2022</x:v>
      </x:c>
      <x:c r="M237" s="73" t="n">
        <x:v>5</x:v>
      </x:c>
      <x:c r="N237" s="73" t="n">
        <x:v>8</x:v>
      </x:c>
      <x:c r="O237" s="73" t="n">
        <x:v>8</x:v>
      </x:c>
    </x:row>
    <x:row r="238" ht="15" hidden="0">
      <x:c r="A238" s="73" t="n">
        <x:v>237</x:v>
      </x:c>
      <x:c r="B238" s="73" t="n">
        <x:v>241</x:v>
      </x:c>
      <x:c r="C238" s="73" t="s">
        <x:v>1074</x:v>
      </x:c>
      <x:c r="D238" s="73" t="s">
        <x:v>913</x:v>
      </x:c>
      <x:c r="E238" s="73" t="s">
        <x:v>1075</x:v>
      </x:c>
      <x:c r="F238" s="73" t="s">
        <x:v>1076</x:v>
      </x:c>
      <x:c r="G238" s="73" t="s">
        <x:v>37</x:v>
      </x:c>
      <x:c r="H238" s="73" t="s">
        <x:v>1003</x:v>
      </x:c>
      <x:c r="I238" s="73" t="n">
        <x:v>9</x:v>
      </x:c>
      <x:c r="J238" s="73" t="n">
        <x:v>18</x:v>
      </x:c>
      <x:c r="K238" s="73" t="s">
        <x:v>836</x:v>
      </x:c>
      <x:c r="L238" s="73" t="n">
        <x:v>2023</x:v>
      </x:c>
      <x:c r="M238" s="73" t="n">
        <x:v>2</x:v>
      </x:c>
      <x:c r="N238" s="73" t="n">
        <x:v>22</x:v>
      </x:c>
      <x:c r="O238" s="73" t="n">
        <x:v>17</x:v>
      </x:c>
    </x:row>
    <x:row r="239" ht="15" hidden="0">
      <x:c r="A239" s="73" t="n">
        <x:v>238</x:v>
      </x:c>
      <x:c r="B239" s="73" t="n">
        <x:v>242</x:v>
      </x:c>
      <x:c r="C239" s="73" t="s">
        <x:v>1077</x:v>
      </x:c>
      <x:c r="D239" s="73" t="s">
        <x:v>918</x:v>
      </x:c>
      <x:c r="E239" s="73" t="s">
        <x:v>1078</x:v>
      </x:c>
      <x:c r="F239" s="73" t="s">
        <x:v>1079</x:v>
      </x:c>
      <x:c r="G239" s="73" t="s">
        <x:v>19</x:v>
      </x:c>
      <x:c r="H239" s="73" t="s">
        <x:v>1080</x:v>
      </x:c>
      <x:c r="I239" s="73" t="n">
        <x:v>14</x:v>
      </x:c>
      <x:c r="J239" s="73" t="n">
        <x:v>28</x:v>
      </x:c>
      <x:c r="K239" s="73" t="s">
        <x:v>371</x:v>
      </x:c>
      <x:c r="L239" s="73" t="n">
        <x:v>2020</x:v>
      </x:c>
      <x:c r="M239" s="73" t="n">
        <x:v>6</x:v>
      </x:c>
      <x:c r="N239" s="73" t="n">
        <x:v>5</x:v>
      </x:c>
      <x:c r="O239" s="73" t="n">
        <x:v>12</x:v>
      </x:c>
    </x:row>
    <x:row r="240" ht="15" hidden="0">
      <x:c r="A240" s="73" t="n">
        <x:v>239</x:v>
      </x:c>
      <x:c r="B240" s="73" t="n">
        <x:v>243</x:v>
      </x:c>
      <x:c r="C240" s="73" t="s">
        <x:v>1081</x:v>
      </x:c>
      <x:c r="D240" s="73" t="s">
        <x:v>923</x:v>
      </x:c>
      <x:c r="E240" s="73" t="s">
        <x:v>1082</x:v>
      </x:c>
      <x:c r="F240" s="73" t="s">
        <x:v>1083</x:v>
      </x:c>
      <x:c r="G240" s="73" t="s">
        <x:v>31</x:v>
      </x:c>
      <x:c r="H240" s="73" t="s">
        <x:v>1084</x:v>
      </x:c>
      <x:c r="I240" s="73" t="n">
        <x:v>10</x:v>
      </x:c>
      <x:c r="J240" s="73" t="n">
        <x:v>20</x:v>
      </x:c>
      <x:c r="K240" s="73" t="s">
        <x:v>787</x:v>
      </x:c>
      <x:c r="L240" s="73" t="n">
        <x:v>2021</x:v>
      </x:c>
      <x:c r="M240" s="73" t="n">
        <x:v>11</x:v>
      </x:c>
      <x:c r="N240" s="73" t="n">
        <x:v>30</x:v>
      </x:c>
      <x:c r="O240" s="73" t="n">
        <x:v>15</x:v>
      </x:c>
    </x:row>
    <x:row r="241" ht="15" hidden="0">
      <x:c r="A241" s="73" t="n">
        <x:v>240</x:v>
      </x:c>
      <x:c r="B241" s="73" t="n">
        <x:v>244</x:v>
      </x:c>
      <x:c r="C241" s="73" t="s">
        <x:v>1085</x:v>
      </x:c>
      <x:c r="D241" s="73" t="s">
        <x:v>928</x:v>
      </x:c>
      <x:c r="E241" s="73" t="s">
        <x:v>1086</x:v>
      </x:c>
      <x:c r="F241" s="73" t="s">
        <x:v>1087</x:v>
      </x:c>
      <x:c r="G241" s="73" t="s">
        <x:v>37</x:v>
      </x:c>
      <x:c r="H241" s="73" t="s">
        <x:v>1088</x:v>
      </x:c>
      <x:c r="I241" s="73" t="n">
        <x:v>13</x:v>
      </x:c>
      <x:c r="J241" s="73" t="n">
        <x:v>26</x:v>
      </x:c>
      <x:c r="K241" s="73" t="s">
        <x:v>468</x:v>
      </x:c>
      <x:c r="L241" s="73" t="n">
        <x:v>2019</x:v>
      </x:c>
      <x:c r="M241" s="73" t="n">
        <x:v>2</x:v>
      </x:c>
      <x:c r="N241" s="73" t="n">
        <x:v>25</x:v>
      </x:c>
      <x:c r="O241" s="73" t="n">
        <x:v>21</x:v>
      </x:c>
    </x:row>
    <x:row r="242" ht="15" hidden="0">
      <x:c r="A242" s="73" t="n">
        <x:v>241</x:v>
      </x:c>
      <x:c r="B242" s="73" t="n">
        <x:v>245</x:v>
      </x:c>
      <x:c r="C242" s="73" t="s">
        <x:v>1089</x:v>
      </x:c>
      <x:c r="D242" s="73" t="s">
        <x:v>933</x:v>
      </x:c>
      <x:c r="E242" s="73" t="s">
        <x:v>1090</x:v>
      </x:c>
      <x:c r="F242" s="73" t="s">
        <x:v>1091</x:v>
      </x:c>
      <x:c r="G242" s="73" t="s">
        <x:v>19</x:v>
      </x:c>
      <x:c r="H242" s="73" t="s">
        <x:v>1092</x:v>
      </x:c>
      <x:c r="I242" s="73" t="n">
        <x:v>12</x:v>
      </x:c>
      <x:c r="J242" s="73" t="n">
        <x:v>25</x:v>
      </x:c>
      <x:c r="K242" s="73" t="s">
        <x:v>260</x:v>
      </x:c>
      <x:c r="L242" s="73" t="n">
        <x:v>2017</x:v>
      </x:c>
      <x:c r="M242" s="73" t="n">
        <x:v>5</x:v>
      </x:c>
      <x:c r="N242" s="73" t="n">
        <x:v>18</x:v>
      </x:c>
      <x:c r="O242" s="73" t="n">
        <x:v>14</x:v>
      </x:c>
    </x:row>
    <x:row r="243" ht="15" hidden="0">
      <x:c r="A243" s="73" t="n">
        <x:v>242</x:v>
      </x:c>
      <x:c r="B243" s="73" t="n">
        <x:v>246</x:v>
      </x:c>
      <x:c r="C243" s="73" t="s">
        <x:v>1093</x:v>
      </x:c>
      <x:c r="D243" s="73" t="s">
        <x:v>938</x:v>
      </x:c>
      <x:c r="E243" s="73" t="s">
        <x:v>1094</x:v>
      </x:c>
      <x:c r="F243" s="73" t="s">
        <x:v>1095</x:v>
      </x:c>
      <x:c r="G243" s="73" t="s">
        <x:v>31</x:v>
      </x:c>
      <x:c r="H243" s="73" t="s">
        <x:v>1096</x:v>
      </x:c>
      <x:c r="I243" s="73" t="n">
        <x:v>15</x:v>
      </x:c>
      <x:c r="J243" s="73" t="n">
        <x:v>30</x:v>
      </x:c>
      <x:c r="K243" s="73" t="s">
        <x:v>787</x:v>
      </x:c>
      <x:c r="L243" s="73" t="n">
        <x:v>2022</x:v>
      </x:c>
      <x:c r="M243" s="73" t="n">
        <x:v>8</x:v>
      </x:c>
      <x:c r="N243" s="73" t="n">
        <x:v>5</x:v>
      </x:c>
      <x:c r="O243" s="73" t="n">
        <x:v>11</x:v>
      </x:c>
    </x:row>
    <x:row r="244" ht="15" hidden="0">
      <x:c r="A244" s="73" t="n">
        <x:v>243</x:v>
      </x:c>
      <x:c r="B244" s="73" t="n">
        <x:v>247</x:v>
      </x:c>
      <x:c r="C244" s="73" t="s">
        <x:v>1097</x:v>
      </x:c>
      <x:c r="D244" s="73" t="s">
        <x:v>943</x:v>
      </x:c>
      <x:c r="E244" s="73" t="s">
        <x:v>1098</x:v>
      </x:c>
      <x:c r="F244" s="73" t="s">
        <x:v>1099</x:v>
      </x:c>
      <x:c r="G244" s="73" t="s">
        <x:v>37</x:v>
      </x:c>
      <x:c r="H244" s="73" t="s">
        <x:v>1100</x:v>
      </x:c>
      <x:c r="I244" s="73" t="n">
        <x:v>18</x:v>
      </x:c>
      <x:c r="J244" s="73" t="n">
        <x:v>36</x:v>
      </x:c>
      <x:c r="K244" s="73" t="s">
        <x:v>371</x:v>
      </x:c>
      <x:c r="L244" s="73" t="n">
        <x:v>2023</x:v>
      </x:c>
      <x:c r="M244" s="73" t="n">
        <x:v>6</x:v>
      </x:c>
      <x:c r="N244" s="73" t="n">
        <x:v>15</x:v>
      </x:c>
      <x:c r="O244" s="73" t="n">
        <x:v>16</x:v>
      </x:c>
    </x:row>
    <x:row r="245" ht="15" hidden="0">
      <x:c r="A245" s="73" t="n">
        <x:v>244</x:v>
      </x:c>
      <x:c r="B245" s="73" t="n">
        <x:v>248</x:v>
      </x:c>
      <x:c r="C245" s="73" t="s">
        <x:v>1101</x:v>
      </x:c>
      <x:c r="D245" s="73" t="s">
        <x:v>947</x:v>
      </x:c>
      <x:c r="E245" s="73" t="s">
        <x:v>1102</x:v>
      </x:c>
      <x:c r="F245" s="73" t="s">
        <x:v>1103</x:v>
      </x:c>
      <x:c r="G245" s="73" t="s">
        <x:v>19</x:v>
      </x:c>
      <x:c r="H245" s="73" t="s">
        <x:v>1104</x:v>
      </x:c>
      <x:c r="I245" s="73" t="n">
        <x:v>20</x:v>
      </x:c>
      <x:c r="J245" s="73" t="n">
        <x:v>40</x:v>
      </x:c>
      <x:c r="K245" s="73" t="s">
        <x:v>468</x:v>
      </x:c>
      <x:c r="L245" s="73" t="n">
        <x:v>2021</x:v>
      </x:c>
      <x:c r="M245" s="73" t="n">
        <x:v>10</x:v>
      </x:c>
      <x:c r="N245" s="73" t="n">
        <x:v>10</x:v>
      </x:c>
      <x:c r="O245" s="73" t="n">
        <x:v>14</x:v>
      </x:c>
    </x:row>
    <x:row r="246" ht="15" hidden="0">
      <x:c r="A246" s="73" t="n">
        <x:v>245</x:v>
      </x:c>
      <x:c r="B246" s="73" t="n">
        <x:v>249</x:v>
      </x:c>
      <x:c r="C246" s="73" t="s">
        <x:v>1105</x:v>
      </x:c>
      <x:c r="D246" s="73" t="s">
        <x:v>952</x:v>
      </x:c>
      <x:c r="E246" s="73" t="s">
        <x:v>1106</x:v>
      </x:c>
      <x:c r="F246" s="73" t="s">
        <x:v>1107</x:v>
      </x:c>
      <x:c r="G246" s="73" t="s">
        <x:v>31</x:v>
      </x:c>
      <x:c r="H246" s="73" t="s">
        <x:v>1108</x:v>
      </x:c>
      <x:c r="I246" s="73" t="n">
        <x:v>25</x:v>
      </x:c>
      <x:c r="J246" s="73" t="n">
        <x:v>50</x:v>
      </x:c>
      <x:c r="K246" s="73" t="s">
        <x:v>260</x:v>
      </x:c>
      <x:c r="L246" s="73" t="n">
        <x:v>2020</x:v>
      </x:c>
      <x:c r="M246" s="73" t="n">
        <x:v>5</x:v>
      </x:c>
      <x:c r="N246" s="73" t="n">
        <x:v>12</x:v>
      </x:c>
      <x:c r="O246" s="73" t="n">
        <x:v>19</x:v>
      </x:c>
    </x:row>
    <x:row r="247" ht="15" hidden="0">
      <x:c r="A247" s="73" t="n">
        <x:v>246</x:v>
      </x:c>
      <x:c r="B247" s="73" t="n">
        <x:v>250</x:v>
      </x:c>
      <x:c r="C247" s="73" t="s">
        <x:v>1109</x:v>
      </x:c>
      <x:c r="D247" s="73" t="s">
        <x:v>908</x:v>
      </x:c>
      <x:c r="E247" s="73" t="s">
        <x:v>1110</x:v>
      </x:c>
      <x:c r="F247" s="73" t="s">
        <x:v>1111</x:v>
      </x:c>
      <x:c r="G247" s="73" t="s">
        <x:v>37</x:v>
      </x:c>
      <x:c r="H247" s="73" t="s">
        <x:v>1112</x:v>
      </x:c>
      <x:c r="I247" s="73" t="n">
        <x:v>22</x:v>
      </x:c>
      <x:c r="J247" s="73" t="n">
        <x:v>44</x:v>
      </x:c>
      <x:c r="K247" s="73" t="s">
        <x:v>836</x:v>
      </x:c>
      <x:c r="L247" s="73" t="n">
        <x:v>2022</x:v>
      </x:c>
      <x:c r="M247" s="73" t="n">
        <x:v>12</x:v>
      </x:c>
      <x:c r="N247" s="73" t="n">
        <x:v>1</x:v>
      </x:c>
      <x:c r="O247" s="73" t="n">
        <x:v>9</x:v>
      </x:c>
    </x:row>
    <x:row r="248" ht="15" hidden="0">
      <x:c r="A248" s="73" t="n">
        <x:v>247</x:v>
      </x:c>
      <x:c r="B248" s="73" t="n">
        <x:v>251</x:v>
      </x:c>
      <x:c r="C248" s="73" t="s">
        <x:v>1113</x:v>
      </x:c>
      <x:c r="D248" s="73" t="s">
        <x:v>1114</x:v>
      </x:c>
      <x:c r="E248" s="73" t="s">
        <x:v>1082</x:v>
      </x:c>
      <x:c r="F248" s="73" t="s">
        <x:v>1115</x:v>
      </x:c>
      <x:c r="G248" s="73" t="s">
        <x:v>31</x:v>
      </x:c>
      <x:c r="H248" s="73" t="s">
        <x:v>1116</x:v>
      </x:c>
      <x:c r="I248" s="73" t="n">
        <x:v>10</x:v>
      </x:c>
      <x:c r="J248" s="73" t="n">
        <x:v>20</x:v>
      </x:c>
      <x:c r="K248" s="73" t="s">
        <x:v>155</x:v>
      </x:c>
      <x:c r="L248" s="73" t="n">
        <x:v>2021</x:v>
      </x:c>
      <x:c r="M248" s="73" t="n">
        <x:v>11</x:v>
      </x:c>
      <x:c r="N248" s="73" t="n">
        <x:v>30</x:v>
      </x:c>
      <x:c r="O248" s="73" t="n">
        <x:v>15</x:v>
      </x:c>
    </x:row>
    <x:row r="249" ht="15" hidden="0">
      <x:c r="A249" s="73" t="n">
        <x:v>248</x:v>
      </x:c>
      <x:c r="B249" s="73" t="n">
        <x:v>252</x:v>
      </x:c>
      <x:c r="C249" s="73" t="s">
        <x:v>1117</x:v>
      </x:c>
      <x:c r="D249" s="73" t="s">
        <x:v>1118</x:v>
      </x:c>
      <x:c r="E249" s="73" t="s">
        <x:v>1119</x:v>
      </x:c>
      <x:c r="F249" s="73" t="s">
        <x:v>1120</x:v>
      </x:c>
      <x:c r="G249" s="73" t="s">
        <x:v>1121</x:v>
      </x:c>
      <x:c r="H249" s="73" t="s">
        <x:v>1122</x:v>
      </x:c>
      <x:c r="I249" s="73" t="n">
        <x:v>15</x:v>
      </x:c>
      <x:c r="J249" s="73" t="n">
        <x:v>30</x:v>
      </x:c>
      <x:c r="K249" s="73" t="s">
        <x:v>123</x:v>
      </x:c>
      <x:c r="L249" s="73" t="n">
        <x:v>2018</x:v>
      </x:c>
      <x:c r="M249" s="73" t="n">
        <x:v>7</x:v>
      </x:c>
      <x:c r="N249" s="73" t="n">
        <x:v>12</x:v>
      </x:c>
      <x:c r="O249" s="73" t="n">
        <x:v>17</x:v>
      </x:c>
    </x:row>
    <x:row r="250" ht="15" hidden="0">
      <x:c r="A250" s="73" t="n">
        <x:v>249</x:v>
      </x:c>
      <x:c r="B250" s="73" t="n">
        <x:v>253</x:v>
      </x:c>
      <x:c r="C250" s="73" t="s">
        <x:v>1123</x:v>
      </x:c>
      <x:c r="D250" s="73" t="s">
        <x:v>1124</x:v>
      </x:c>
      <x:c r="E250" s="73" t="s">
        <x:v>1125</x:v>
      </x:c>
      <x:c r="F250" s="73" t="s">
        <x:v>1126</x:v>
      </x:c>
      <x:c r="G250" s="73" t="s">
        <x:v>37</x:v>
      </x:c>
      <x:c r="H250" s="73" t="s">
        <x:v>1127</x:v>
      </x:c>
      <x:c r="I250" s="73" t="n">
        <x:v>18</x:v>
      </x:c>
      <x:c r="J250" s="73" t="n">
        <x:v>36</x:v>
      </x:c>
      <x:c r="K250" s="73" t="s">
        <x:v>45</x:v>
      </x:c>
      <x:c r="L250" s="73" t="n">
        <x:v>2020</x:v>
      </x:c>
      <x:c r="M250" s="73" t="n">
        <x:v>9</x:v>
      </x:c>
      <x:c r="N250" s="73" t="n">
        <x:v>5</x:v>
      </x:c>
      <x:c r="O250" s="73" t="n">
        <x:v>20</x:v>
      </x:c>
    </x:row>
    <x:row r="251" ht="15" hidden="0">
      <x:c r="A251" s="73" t="n">
        <x:v>250</x:v>
      </x:c>
      <x:c r="B251" s="73" t="n">
        <x:v>254</x:v>
      </x:c>
      <x:c r="C251" s="73" t="s">
        <x:v>1128</x:v>
      </x:c>
      <x:c r="D251" s="73" t="s">
        <x:v>1129</x:v>
      </x:c>
      <x:c r="E251" s="73" t="s">
        <x:v>1130</x:v>
      </x:c>
      <x:c r="F251" s="73" t="s">
        <x:v>1131</x:v>
      </x:c>
      <x:c r="G251" s="73" t="s">
        <x:v>31</x:v>
      </x:c>
      <x:c r="H251" s="73" t="s">
        <x:v>1132</x:v>
      </x:c>
      <x:c r="I251" s="73" t="n">
        <x:v>12</x:v>
      </x:c>
      <x:c r="J251" s="73" t="n">
        <x:v>24</x:v>
      </x:c>
      <x:c r="K251" s="73" t="s">
        <x:v>209</x:v>
      </x:c>
      <x:c r="L251" s="73" t="n">
        <x:v>2022</x:v>
      </x:c>
      <x:c r="M251" s="73" t="n">
        <x:v>4</x:v>
      </x:c>
      <x:c r="N251" s="73" t="n">
        <x:v>18</x:v>
      </x:c>
      <x:c r="O251" s="73" t="n">
        <x:v>8</x:v>
      </x:c>
    </x:row>
    <x:row r="252" ht="15" hidden="0">
      <x:c r="A252" s="73" t="n">
        <x:v>251</x:v>
      </x:c>
      <x:c r="B252" s="73" t="n">
        <x:v>255</x:v>
      </x:c>
      <x:c r="C252" s="73" t="s">
        <x:v>1133</x:v>
      </x:c>
      <x:c r="D252" s="73" t="s">
        <x:v>1134</x:v>
      </x:c>
      <x:c r="E252" s="73" t="s">
        <x:v>1135</x:v>
      </x:c>
      <x:c r="F252" s="73" t="s">
        <x:v>1136</x:v>
      </x:c>
      <x:c r="G252" s="73" t="s">
        <x:v>1121</x:v>
      </x:c>
      <x:c r="H252" s="73" t="s">
        <x:v>1137</x:v>
      </x:c>
      <x:c r="I252" s="73" t="n">
        <x:v>25</x:v>
      </x:c>
      <x:c r="J252" s="73" t="n">
        <x:v>50</x:v>
      </x:c>
      <x:c r="K252" s="73" t="s">
        <x:v>155</x:v>
      </x:c>
      <x:c r="L252" s="73" t="n">
        <x:v>2019</x:v>
      </x:c>
      <x:c r="M252" s="73" t="n">
        <x:v>12</x:v>
      </x:c>
      <x:c r="N252" s="73" t="n">
        <x:v>10</x:v>
      </x:c>
      <x:c r="O252" s="73" t="n">
        <x:v>12</x:v>
      </x:c>
    </x:row>
    <x:row r="253" ht="15" hidden="0">
      <x:c r="A253" s="73" t="n">
        <x:v>252</x:v>
      </x:c>
      <x:c r="B253" s="73" t="n">
        <x:v>256</x:v>
      </x:c>
      <x:c r="C253" s="73" t="s">
        <x:v>1138</x:v>
      </x:c>
      <x:c r="D253" s="73" t="s">
        <x:v>1139</x:v>
      </x:c>
      <x:c r="E253" s="73" t="s">
        <x:v>1140</x:v>
      </x:c>
      <x:c r="F253" s="73" t="s">
        <x:v>1141</x:v>
      </x:c>
      <x:c r="G253" s="73" t="s">
        <x:v>37</x:v>
      </x:c>
      <x:c r="H253" s="73" t="s">
        <x:v>1142</x:v>
      </x:c>
      <x:c r="I253" s="73" t="n">
        <x:v>20</x:v>
      </x:c>
      <x:c r="J253" s="73" t="n">
        <x:v>40</x:v>
      </x:c>
      <x:c r="K253" s="73" t="s">
        <x:v>123</x:v>
      </x:c>
      <x:c r="L253" s="73" t="n">
        <x:v>2023</x:v>
      </x:c>
      <x:c r="M253" s="73" t="n">
        <x:v>2</x:v>
      </x:c>
      <x:c r="N253" s="73" t="n">
        <x:v>28</x:v>
      </x:c>
      <x:c r="O253" s="73" t="n">
        <x:v>9</x:v>
      </x:c>
    </x:row>
    <x:row r="254" ht="15" hidden="0">
      <x:c r="A254" s="73" t="n">
        <x:v>253</x:v>
      </x:c>
      <x:c r="B254" s="73" t="n">
        <x:v>257</x:v>
      </x:c>
      <x:c r="C254" s="73" t="s">
        <x:v>1143</x:v>
      </x:c>
      <x:c r="D254" s="73" t="s">
        <x:v>1144</x:v>
      </x:c>
      <x:c r="E254" s="73" t="s">
        <x:v>1145</x:v>
      </x:c>
      <x:c r="F254" s="73" t="s">
        <x:v>1146</x:v>
      </x:c>
      <x:c r="G254" s="73" t="s">
        <x:v>31</x:v>
      </x:c>
      <x:c r="H254" s="73" t="s">
        <x:v>1147</x:v>
      </x:c>
      <x:c r="I254" s="73" t="n">
        <x:v>15</x:v>
      </x:c>
      <x:c r="J254" s="73" t="n">
        <x:v>30</x:v>
      </x:c>
      <x:c r="K254" s="73" t="s">
        <x:v>137</x:v>
      </x:c>
      <x:c r="L254" s="73" t="n">
        <x:v>2018</x:v>
      </x:c>
      <x:c r="M254" s="73" t="n">
        <x:v>4</x:v>
      </x:c>
      <x:c r="N254" s="73" t="n">
        <x:v>3</x:v>
      </x:c>
      <x:c r="O254" s="73" t="n">
        <x:v>14</x:v>
      </x:c>
    </x:row>
    <x:row r="255" ht="15" hidden="0">
      <x:c r="A255" s="73" t="n">
        <x:v>254</x:v>
      </x:c>
      <x:c r="B255" s="73" t="n">
        <x:v>258</x:v>
      </x:c>
      <x:c r="C255" s="73" t="s">
        <x:v>1148</x:v>
      </x:c>
      <x:c r="D255" s="73" t="s">
        <x:v>1149</x:v>
      </x:c>
      <x:c r="E255" s="73" t="s">
        <x:v>1150</x:v>
      </x:c>
      <x:c r="F255" s="73" t="s">
        <x:v>1151</x:v>
      </x:c>
      <x:c r="G255" s="73" t="s">
        <x:v>1121</x:v>
      </x:c>
      <x:c r="H255" s="73" t="s">
        <x:v>1152</x:v>
      </x:c>
      <x:c r="I255" s="73" t="n">
        <x:v>18</x:v>
      </x:c>
      <x:c r="J255" s="73" t="n">
        <x:v>36</x:v>
      </x:c>
      <x:c r="K255" s="73" t="s">
        <x:v>45</x:v>
      </x:c>
      <x:c r="L255" s="73" t="n">
        <x:v>2022</x:v>
      </x:c>
      <x:c r="M255" s="73" t="n">
        <x:v>6</x:v>
      </x:c>
      <x:c r="N255" s="73" t="n">
        <x:v>20</x:v>
      </x:c>
      <x:c r="O255" s="73" t="n">
        <x:v>10</x:v>
      </x:c>
    </x:row>
    <x:row r="256" ht="15" hidden="0">
      <x:c r="A256" s="73" t="n">
        <x:v>255</x:v>
      </x:c>
      <x:c r="B256" s="73" t="n">
        <x:v>259</x:v>
      </x:c>
      <x:c r="C256" s="73" t="s">
        <x:v>1153</x:v>
      </x:c>
      <x:c r="D256" s="73" t="s">
        <x:v>1154</x:v>
      </x:c>
      <x:c r="E256" s="73" t="s">
        <x:v>1155</x:v>
      </x:c>
      <x:c r="F256" s="73" t="s">
        <x:v>1156</x:v>
      </x:c>
      <x:c r="G256" s="73" t="s">
        <x:v>37</x:v>
      </x:c>
      <x:c r="H256" s="73" t="s">
        <x:v>1157</x:v>
      </x:c>
      <x:c r="I256" s="73" t="n">
        <x:v>22</x:v>
      </x:c>
      <x:c r="J256" s="73" t="n">
        <x:v>44</x:v>
      </x:c>
      <x:c r="K256" s="73" t="s">
        <x:v>155</x:v>
      </x:c>
      <x:c r="L256" s="73" t="n">
        <x:v>2020</x:v>
      </x:c>
      <x:c r="M256" s="73" t="n">
        <x:v>7</x:v>
      </x:c>
      <x:c r="N256" s="73" t="n">
        <x:v>8</x:v>
      </x:c>
      <x:c r="O256" s="73" t="n">
        <x:v>18</x:v>
      </x:c>
    </x:row>
    <x:row r="257" ht="15" hidden="0">
      <x:c r="A257" s="73" t="n">
        <x:v>256</x:v>
      </x:c>
      <x:c r="B257" s="73" t="n">
        <x:v>260</x:v>
      </x:c>
      <x:c r="C257" s="73" t="s">
        <x:v>1158</x:v>
      </x:c>
      <x:c r="D257" s="73" t="s">
        <x:v>1159</x:v>
      </x:c>
      <x:c r="E257" s="73" t="s">
        <x:v>1160</x:v>
      </x:c>
      <x:c r="F257" s="73" t="s">
        <x:v>1161</x:v>
      </x:c>
      <x:c r="G257" s="73" t="s">
        <x:v>31</x:v>
      </x:c>
      <x:c r="H257" s="73" t="s">
        <x:v>1162</x:v>
      </x:c>
      <x:c r="I257" s="73" t="n">
        <x:v>20</x:v>
      </x:c>
      <x:c r="J257" s="73" t="n">
        <x:v>40</x:v>
      </x:c>
      <x:c r="K257" s="73" t="s">
        <x:v>209</x:v>
      </x:c>
      <x:c r="L257" s="73" t="n">
        <x:v>2021</x:v>
      </x:c>
      <x:c r="M257" s="73" t="n">
        <x:v>8</x:v>
      </x:c>
      <x:c r="N257" s="73" t="n">
        <x:v>15</x:v>
      </x:c>
      <x:c r="O257" s="73" t="n">
        <x:v>11</x:v>
      </x:c>
    </x:row>
    <x:row r="258" ht="15" hidden="0">
      <x:c r="A258" s="73" t="n">
        <x:v>257</x:v>
      </x:c>
      <x:c r="B258" s="73" t="n">
        <x:v>261</x:v>
      </x:c>
      <x:c r="C258" s="73" t="s">
        <x:v>1163</x:v>
      </x:c>
      <x:c r="D258" s="73" t="s">
        <x:v>1164</x:v>
      </x:c>
      <x:c r="E258" s="73" t="s">
        <x:v>1165</x:v>
      </x:c>
      <x:c r="F258" s="73" t="s">
        <x:v>1166</x:v>
      </x:c>
      <x:c r="G258" s="73" t="s">
        <x:v>1121</x:v>
      </x:c>
      <x:c r="H258" s="73" t="s">
        <x:v>1167</x:v>
      </x:c>
      <x:c r="I258" s="73" t="n">
        <x:v>15</x:v>
      </x:c>
      <x:c r="J258" s="73" t="n">
        <x:v>30</x:v>
      </x:c>
      <x:c r="K258" s="73" t="s">
        <x:v>137</x:v>
      </x:c>
      <x:c r="L258" s="73" t="n">
        <x:v>2019</x:v>
      </x:c>
      <x:c r="M258" s="73" t="n">
        <x:v>10</x:v>
      </x:c>
      <x:c r="N258" s="73" t="n">
        <x:v>25</x:v>
      </x:c>
      <x:c r="O258" s="73" t="n">
        <x:v>16</x:v>
      </x:c>
    </x:row>
    <x:row r="259" ht="15" hidden="0">
      <x:c r="A259" s="73" t="n">
        <x:v>258</x:v>
      </x:c>
      <x:c r="B259" s="73" t="n">
        <x:v>262</x:v>
      </x:c>
      <x:c r="C259" s="73" t="s">
        <x:v>1168</x:v>
      </x:c>
      <x:c r="D259" s="73" t="s">
        <x:v>1129</x:v>
      </x:c>
      <x:c r="E259" s="73" t="s">
        <x:v>1169</x:v>
      </x:c>
      <x:c r="F259" s="73" t="s">
        <x:v>1170</x:v>
      </x:c>
      <x:c r="G259" s="73" t="s">
        <x:v>37</x:v>
      </x:c>
      <x:c r="H259" s="73" t="s">
        <x:v>1171</x:v>
      </x:c>
      <x:c r="I259" s="73" t="n">
        <x:v>12</x:v>
      </x:c>
      <x:c r="J259" s="73" t="n">
        <x:v>24</x:v>
      </x:c>
      <x:c r="K259" s="73" t="s">
        <x:v>123</x:v>
      </x:c>
      <x:c r="L259" s="73" t="n">
        <x:v>2023</x:v>
      </x:c>
      <x:c r="M259" s="73" t="n">
        <x:v>10</x:v>
      </x:c>
      <x:c r="N259" s="73" t="n">
        <x:v>5</x:v>
      </x:c>
      <x:c r="O259" s="73" t="n">
        <x:v>7</x:v>
      </x:c>
    </x:row>
    <x:row r="260" ht="15" hidden="0">
      <x:c r="A260" s="73" t="n">
        <x:v>259</x:v>
      </x:c>
      <x:c r="B260" s="73" t="n">
        <x:v>263</x:v>
      </x:c>
      <x:c r="C260" s="73" t="s">
        <x:v>1172</x:v>
      </x:c>
      <x:c r="D260" s="73" t="s">
        <x:v>1173</x:v>
      </x:c>
      <x:c r="E260" s="73" t="s">
        <x:v>1174</x:v>
      </x:c>
      <x:c r="F260" s="73" t="s">
        <x:v>1175</x:v>
      </x:c>
      <x:c r="G260" s="73" t="s">
        <x:v>31</x:v>
      </x:c>
      <x:c r="H260" s="73" t="s">
        <x:v>1176</x:v>
      </x:c>
      <x:c r="I260" s="73" t="n">
        <x:v>25</x:v>
      </x:c>
      <x:c r="J260" s="73" t="n">
        <x:v>50</x:v>
      </x:c>
      <x:c r="K260" s="73" t="s">
        <x:v>45</x:v>
      </x:c>
      <x:c r="L260" s="73" t="n">
        <x:v>2022</x:v>
      </x:c>
      <x:c r="M260" s="73" t="n">
        <x:v>2</x:v>
      </x:c>
      <x:c r="N260" s="73" t="n">
        <x:v>15</x:v>
      </x:c>
      <x:c r="O260" s="73" t="n">
        <x:v>13</x:v>
      </x:c>
    </x:row>
    <x:row r="261" ht="15" hidden="0">
      <x:c r="A261" s="73" t="n">
        <x:v>260</x:v>
      </x:c>
      <x:c r="B261" s="73" t="n">
        <x:v>264</x:v>
      </x:c>
      <x:c r="C261" s="73" t="s">
        <x:v>1177</x:v>
      </x:c>
      <x:c r="D261" s="73" t="s">
        <x:v>1178</x:v>
      </x:c>
      <x:c r="E261" s="73" t="s">
        <x:v>1179</x:v>
      </x:c>
      <x:c r="F261" s="73" t="s">
        <x:v>1180</x:v>
      </x:c>
      <x:c r="G261" s="73" t="s">
        <x:v>1121</x:v>
      </x:c>
      <x:c r="H261" s="73" t="s">
        <x:v>1181</x:v>
      </x:c>
      <x:c r="I261" s="73" t="n">
        <x:v>13</x:v>
      </x:c>
      <x:c r="J261" s="73" t="n">
        <x:v>26</x:v>
      </x:c>
      <x:c r="K261" s="73" t="s">
        <x:v>155</x:v>
      </x:c>
      <x:c r="L261" s="73" t="n">
        <x:v>2021</x:v>
      </x:c>
      <x:c r="M261" s="73" t="n">
        <x:v>5</x:v>
      </x:c>
      <x:c r="N261" s="73" t="n">
        <x:v>8</x:v>
      </x:c>
      <x:c r="O261" s="73" t="n">
        <x:v>22</x:v>
      </x:c>
    </x:row>
    <x:row r="262" ht="15" hidden="0">
      <x:c r="A262" s="73" t="n">
        <x:v>261</x:v>
      </x:c>
      <x:c r="B262" s="73" t="n">
        <x:v>265</x:v>
      </x:c>
      <x:c r="C262" s="73" t="s">
        <x:v>1182</x:v>
      </x:c>
      <x:c r="D262" s="73" t="s">
        <x:v>1183</x:v>
      </x:c>
      <x:c r="E262" s="73" t="s">
        <x:v>1184</x:v>
      </x:c>
      <x:c r="F262" s="73" t="s">
        <x:v>1185</x:v>
      </x:c>
      <x:c r="G262" s="73" t="s">
        <x:v>31</x:v>
      </x:c>
      <x:c r="H262" s="73" t="s">
        <x:v>1186</x:v>
      </x:c>
      <x:c r="I262" s="73" t="n">
        <x:v>17</x:v>
      </x:c>
      <x:c r="J262" s="73" t="n">
        <x:v>34</x:v>
      </x:c>
      <x:c r="K262" s="73" t="s">
        <x:v>123</x:v>
      </x:c>
      <x:c r="L262" s="73" t="n">
        <x:v>2020</x:v>
      </x:c>
      <x:c r="M262" s="73" t="n">
        <x:v>11</x:v>
      </x:c>
      <x:c r="N262" s="73" t="n">
        <x:v>29</x:v>
      </x:c>
      <x:c r="O262" s="73" t="n">
        <x:v>14</x:v>
      </x:c>
    </x:row>
    <x:row r="263" ht="15" hidden="0">
      <x:c r="A263" s="73" t="n">
        <x:v>262</x:v>
      </x:c>
      <x:c r="B263" s="73" t="n">
        <x:v>266</x:v>
      </x:c>
      <x:c r="C263" s="73" t="s">
        <x:v>1187</x:v>
      </x:c>
      <x:c r="D263" s="73" t="s">
        <x:v>1188</x:v>
      </x:c>
      <x:c r="E263" s="73" t="s">
        <x:v>1189</x:v>
      </x:c>
      <x:c r="F263" s="73" t="s">
        <x:v>1190</x:v>
      </x:c>
      <x:c r="G263" s="73" t="s">
        <x:v>37</x:v>
      </x:c>
      <x:c r="H263" s="73" t="s">
        <x:v>1191</x:v>
      </x:c>
      <x:c r="I263" s="73" t="n">
        <x:v>14</x:v>
      </x:c>
      <x:c r="J263" s="73" t="n">
        <x:v>28</x:v>
      </x:c>
      <x:c r="K263" s="73" t="s">
        <x:v>137</x:v>
      </x:c>
      <x:c r="L263" s="73" t="n">
        <x:v>2019</x:v>
      </x:c>
      <x:c r="M263" s="73" t="n">
        <x:v>9</x:v>
      </x:c>
      <x:c r="N263" s="73" t="n">
        <x:v>14</x:v>
      </x:c>
      <x:c r="O263" s="73" t="n">
        <x:v>10</x:v>
      </x:c>
    </x:row>
    <x:row r="264" ht="15" hidden="0">
      <x:c r="A264" s="73" t="n">
        <x:v>263</x:v>
      </x:c>
      <x:c r="B264" s="73" t="n">
        <x:v>267</x:v>
      </x:c>
      <x:c r="C264" s="73" t="s">
        <x:v>1192</x:v>
      </x:c>
      <x:c r="D264" s="73" t="s">
        <x:v>1139</x:v>
      </x:c>
      <x:c r="E264" s="73" t="s">
        <x:v>1193</x:v>
      </x:c>
      <x:c r="F264" s="73" t="s">
        <x:v>1194</x:v>
      </x:c>
      <x:c r="G264" s="73" t="s">
        <x:v>1121</x:v>
      </x:c>
      <x:c r="H264" s="73" t="s">
        <x:v>1195</x:v>
      </x:c>
      <x:c r="I264" s="73" t="n">
        <x:v>19</x:v>
      </x:c>
      <x:c r="J264" s="73" t="n">
        <x:v>38</x:v>
      </x:c>
      <x:c r="K264" s="73" t="s">
        <x:v>45</x:v>
      </x:c>
      <x:c r="L264" s="73" t="n">
        <x:v>2022</x:v>
      </x:c>
      <x:c r="M264" s="73" t="n">
        <x:v>3</x:v>
      </x:c>
      <x:c r="N264" s="73" t="n">
        <x:v>12</x:v>
      </x:c>
      <x:c r="O264" s="73" t="n">
        <x:v>19</x:v>
      </x:c>
    </x:row>
    <x:row r="265" ht="15" hidden="0">
      <x:c r="A265" s="73" t="n">
        <x:v>264</x:v>
      </x:c>
      <x:c r="B265" s="73" t="n">
        <x:v>268</x:v>
      </x:c>
      <x:c r="C265" s="73" t="s">
        <x:v>1196</x:v>
      </x:c>
      <x:c r="D265" s="73" t="s">
        <x:v>1118</x:v>
      </x:c>
      <x:c r="E265" s="73" t="s">
        <x:v>1197</x:v>
      </x:c>
      <x:c r="F265" s="73" t="s">
        <x:v>1198</x:v>
      </x:c>
      <x:c r="G265" s="73" t="s">
        <x:v>31</x:v>
      </x:c>
      <x:c r="H265" s="73" t="s">
        <x:v>1199</x:v>
      </x:c>
      <x:c r="I265" s="73" t="n">
        <x:v>16</x:v>
      </x:c>
      <x:c r="J265" s="73" t="n">
        <x:v>32</x:v>
      </x:c>
      <x:c r="K265" s="73" t="s">
        <x:v>209</x:v>
      </x:c>
      <x:c r="L265" s="73" t="n">
        <x:v>2023</x:v>
      </x:c>
      <x:c r="M265" s="73" t="n">
        <x:v>3</x:v>
      </x:c>
      <x:c r="N265" s="73" t="n">
        <x:v>30</x:v>
      </x:c>
      <x:c r="O265" s="73" t="n">
        <x:v>16</x:v>
      </x:c>
    </x:row>
    <x:row r="266" ht="15" hidden="0">
      <x:c r="A266" s="73" t="n">
        <x:v>265</x:v>
      </x:c>
      <x:c r="B266" s="73" t="n">
        <x:v>269</x:v>
      </x:c>
      <x:c r="C266" s="73" t="s">
        <x:v>1200</x:v>
      </x:c>
      <x:c r="D266" s="73" t="s">
        <x:v>1149</x:v>
      </x:c>
      <x:c r="E266" s="73" t="s">
        <x:v>1201</x:v>
      </x:c>
      <x:c r="F266" s="73" t="s">
        <x:v>1202</x:v>
      </x:c>
      <x:c r="G266" s="73" t="s">
        <x:v>37</x:v>
      </x:c>
      <x:c r="H266" s="73" t="s">
        <x:v>1203</x:v>
      </x:c>
      <x:c r="I266" s="73" t="n">
        <x:v>21</x:v>
      </x:c>
      <x:c r="J266" s="73" t="n">
        <x:v>42</x:v>
      </x:c>
      <x:c r="K266" s="73" t="s">
        <x:v>155</x:v>
      </x:c>
      <x:c r="L266" s="73" t="n">
        <x:v>2021</x:v>
      </x:c>
      <x:c r="M266" s="73" t="n">
        <x:v>7</x:v>
      </x:c>
      <x:c r="N266" s="73" t="n">
        <x:v>1</x:v>
      </x:c>
      <x:c r="O266" s="73" t="n">
        <x:v>12</x:v>
      </x:c>
    </x:row>
    <x:row r="267" ht="15" hidden="0">
      <x:c r="A267" s="73" t="n">
        <x:v>266</x:v>
      </x:c>
      <x:c r="B267" s="73" t="n">
        <x:v>270</x:v>
      </x:c>
      <x:c r="C267" s="73" t="s">
        <x:v>1204</x:v>
      </x:c>
      <x:c r="D267" s="73" t="s">
        <x:v>1134</x:v>
      </x:c>
      <x:c r="E267" s="73" t="s">
        <x:v>1205</x:v>
      </x:c>
      <x:c r="F267" s="73" t="s">
        <x:v>1206</x:v>
      </x:c>
      <x:c r="G267" s="73" t="s">
        <x:v>1121</x:v>
      </x:c>
      <x:c r="H267" s="73" t="s">
        <x:v>1207</x:v>
      </x:c>
      <x:c r="I267" s="73" t="n">
        <x:v>23</x:v>
      </x:c>
      <x:c r="J267" s="73" t="n">
        <x:v>46</x:v>
      </x:c>
      <x:c r="K267" s="73" t="s">
        <x:v>123</x:v>
      </x:c>
      <x:c r="L267" s="73" t="n">
        <x:v>2020</x:v>
      </x:c>
      <x:c r="M267" s="73" t="n">
        <x:v>1</x:v>
      </x:c>
      <x:c r="N267" s="73" t="n">
        <x:v>5</x:v>
      </x:c>
      <x:c r="O267" s="73" t="n">
        <x:v>8</x:v>
      </x:c>
    </x:row>
    <x:row r="268" ht="15" hidden="0">
      <x:c r="A268" s="73" t="n">
        <x:v>267</x:v>
      </x:c>
      <x:c r="B268" s="73" t="n">
        <x:v>271</x:v>
      </x:c>
      <x:c r="C268" s="73" t="s">
        <x:v>1208</x:v>
      </x:c>
      <x:c r="D268" s="73" t="s">
        <x:v>1129</x:v>
      </x:c>
      <x:c r="E268" s="73" t="s">
        <x:v>1209</x:v>
      </x:c>
      <x:c r="F268" s="73" t="s">
        <x:v>1210</x:v>
      </x:c>
      <x:c r="G268" s="73" t="s">
        <x:v>31</x:v>
      </x:c>
      <x:c r="H268" s="73" t="s">
        <x:v>1211</x:v>
      </x:c>
      <x:c r="I268" s="73" t="n">
        <x:v>14</x:v>
      </x:c>
      <x:c r="J268" s="73" t="n">
        <x:v>28</x:v>
      </x:c>
      <x:c r="K268" s="73" t="s">
        <x:v>137</x:v>
      </x:c>
      <x:c r="L268" s="73" t="n">
        <x:v>2022</x:v>
      </x:c>
      <x:c r="M268" s="73" t="n">
        <x:v>7</x:v>
      </x:c>
      <x:c r="N268" s="73" t="n">
        <x:v>17</x:v>
      </x:c>
      <x:c r="O268" s="73" t="n">
        <x:v>6</x:v>
      </x:c>
    </x:row>
    <x:row r="269" ht="15" hidden="0">
      <x:c r="A269" s="73" t="n">
        <x:v>268</x:v>
      </x:c>
      <x:c r="B269" s="73" t="n">
        <x:v>272</x:v>
      </x:c>
      <x:c r="C269" s="73" t="s">
        <x:v>1212</x:v>
      </x:c>
      <x:c r="D269" s="73" t="s">
        <x:v>1154</x:v>
      </x:c>
      <x:c r="E269" s="73" t="s">
        <x:v>1213</x:v>
      </x:c>
      <x:c r="F269" s="73" t="s">
        <x:v>1214</x:v>
      </x:c>
      <x:c r="G269" s="73" t="s">
        <x:v>37</x:v>
      </x:c>
      <x:c r="H269" s="73" t="s">
        <x:v>1215</x:v>
      </x:c>
      <x:c r="I269" s="73" t="n">
        <x:v>24</x:v>
      </x:c>
      <x:c r="J269" s="73" t="n">
        <x:v>48</x:v>
      </x:c>
      <x:c r="K269" s="73" t="s">
        <x:v>45</x:v>
      </x:c>
      <x:c r="L269" s="73" t="n">
        <x:v>2018</x:v>
      </x:c>
      <x:c r="M269" s="73" t="n">
        <x:v>8</x:v>
      </x:c>
      <x:c r="N269" s="73" t="n">
        <x:v>22</x:v>
      </x:c>
      <x:c r="O269" s="73" t="n">
        <x:v>17</x:v>
      </x:c>
    </x:row>
    <x:row r="270" ht="15" hidden="0">
      <x:c r="A270" s="73" t="n">
        <x:v>269</x:v>
      </x:c>
      <x:c r="B270" s="73" t="n">
        <x:v>273</x:v>
      </x:c>
      <x:c r="C270" s="73" t="s">
        <x:v>1216</x:v>
      </x:c>
      <x:c r="D270" s="73" t="s">
        <x:v>1164</x:v>
      </x:c>
      <x:c r="E270" s="73" t="s">
        <x:v>1217</x:v>
      </x:c>
      <x:c r="F270" s="73" t="s">
        <x:v>1218</x:v>
      </x:c>
      <x:c r="G270" s="73" t="s">
        <x:v>1121</x:v>
      </x:c>
      <x:c r="H270" s="73" t="s">
        <x:v>1219</x:v>
      </x:c>
      <x:c r="I270" s="73" t="n">
        <x:v>18</x:v>
      </x:c>
      <x:c r="J270" s="73" t="n">
        <x:v>36</x:v>
      </x:c>
      <x:c r="K270" s="73" t="s">
        <x:v>209</x:v>
      </x:c>
      <x:c r="L270" s="73" t="n">
        <x:v>2021</x:v>
      </x:c>
      <x:c r="M270" s="73" t="n">
        <x:v>12</x:v>
      </x:c>
      <x:c r="N270" s="73" t="n">
        <x:v>8</x:v>
      </x:c>
      <x:c r="O270" s="73" t="n">
        <x:v>14</x:v>
      </x:c>
    </x:row>
    <x:row r="271" ht="15" hidden="0">
      <x:c r="A271" s="73" t="n">
        <x:v>270</x:v>
      </x:c>
      <x:c r="B271" s="73" t="n">
        <x:v>274</x:v>
      </x:c>
      <x:c r="C271" s="73" t="s">
        <x:v>1220</x:v>
      </x:c>
      <x:c r="D271" s="73" t="s">
        <x:v>1124</x:v>
      </x:c>
      <x:c r="E271" s="73" t="s">
        <x:v>1221</x:v>
      </x:c>
      <x:c r="F271" s="73" t="s">
        <x:v>1222</x:v>
      </x:c>
      <x:c r="G271" s="73" t="s">
        <x:v>31</x:v>
      </x:c>
      <x:c r="H271" s="73" t="s">
        <x:v>1223</x:v>
      </x:c>
      <x:c r="I271" s="73" t="n">
        <x:v>20</x:v>
      </x:c>
      <x:c r="J271" s="73" t="n">
        <x:v>40</x:v>
      </x:c>
      <x:c r="K271" s="73" t="s">
        <x:v>155</x:v>
      </x:c>
      <x:c r="L271" s="73" t="n">
        <x:v>2019</x:v>
      </x:c>
      <x:c r="M271" s="73" t="n">
        <x:v>4</x:v>
      </x:c>
      <x:c r="N271" s="73" t="n">
        <x:v>27</x:v>
      </x:c>
      <x:c r="O271" s="73" t="n">
        <x:v>9</x:v>
      </x:c>
    </x:row>
    <x:row r="272" ht="15" hidden="0">
      <x:c r="A272" s="73" t="n">
        <x:v>271</x:v>
      </x:c>
      <x:c r="B272" s="73" t="n">
        <x:v>275</x:v>
      </x:c>
      <x:c r="C272" s="73" t="s">
        <x:v>1224</x:v>
      </x:c>
      <x:c r="D272" s="73" t="s">
        <x:v>1144</x:v>
      </x:c>
      <x:c r="E272" s="73" t="s">
        <x:v>1225</x:v>
      </x:c>
      <x:c r="F272" s="73" t="s">
        <x:v>1226</x:v>
      </x:c>
      <x:c r="G272" s="73" t="s">
        <x:v>37</x:v>
      </x:c>
      <x:c r="H272" s="73" t="s">
        <x:v>1227</x:v>
      </x:c>
      <x:c r="I272" s="73" t="n">
        <x:v>16</x:v>
      </x:c>
      <x:c r="J272" s="73" t="n">
        <x:v>32</x:v>
      </x:c>
      <x:c r="K272" s="73" t="s">
        <x:v>123</x:v>
      </x:c>
      <x:c r="L272" s="73" t="n">
        <x:v>2023</x:v>
      </x:c>
      <x:c r="M272" s="73" t="n">
        <x:v>9</x:v>
      </x:c>
      <x:c r="N272" s="73" t="n">
        <x:v>3</x:v>
      </x:c>
      <x:c r="O272" s="73" t="n">
        <x:v>21</x:v>
      </x:c>
    </x:row>
    <x:row r="273" ht="15" hidden="0">
      <x:c r="A273" s="73" t="n">
        <x:v>272</x:v>
      </x:c>
      <x:c r="B273" s="73" t="n">
        <x:v>276</x:v>
      </x:c>
      <x:c r="C273" s="73" t="s">
        <x:v>1228</x:v>
      </x:c>
      <x:c r="D273" s="73" t="s">
        <x:v>1159</x:v>
      </x:c>
      <x:c r="E273" s="73" t="s">
        <x:v>1229</x:v>
      </x:c>
      <x:c r="F273" s="73" t="s">
        <x:v>1230</x:v>
      </x:c>
      <x:c r="G273" s="73" t="s">
        <x:v>1121</x:v>
      </x:c>
      <x:c r="H273" s="73" t="s">
        <x:v>1231</x:v>
      </x:c>
      <x:c r="I273" s="73" t="n">
        <x:v>22</x:v>
      </x:c>
      <x:c r="J273" s="73" t="n">
        <x:v>44</x:v>
      </x:c>
      <x:c r="K273" s="73" t="s">
        <x:v>137</x:v>
      </x:c>
      <x:c r="L273" s="73" t="n">
        <x:v>2020</x:v>
      </x:c>
      <x:c r="M273" s="73" t="n">
        <x:v>6</x:v>
      </x:c>
      <x:c r="N273" s="73" t="n">
        <x:v>10</x:v>
      </x:c>
      <x:c r="O273" s="73" t="n">
        <x:v>10</x:v>
      </x:c>
    </x:row>
    <x:row r="274" ht="15" hidden="0">
      <x:c r="A274" s="73" t="n">
        <x:v>273</x:v>
      </x:c>
      <x:c r="B274" s="73" t="n">
        <x:v>277</x:v>
      </x:c>
      <x:c r="C274" s="73" t="s">
        <x:v>1232</x:v>
      </x:c>
      <x:c r="D274" s="73" t="s">
        <x:v>1139</x:v>
      </x:c>
      <x:c r="E274" s="73" t="s">
        <x:v>1233</x:v>
      </x:c>
      <x:c r="F274" s="73" t="s">
        <x:v>1234</x:v>
      </x:c>
      <x:c r="G274" s="73" t="s">
        <x:v>31</x:v>
      </x:c>
      <x:c r="H274" s="73" t="s">
        <x:v>1235</x:v>
      </x:c>
      <x:c r="I274" s="73" t="n">
        <x:v>19</x:v>
      </x:c>
      <x:c r="J274" s="73" t="n">
        <x:v>38</x:v>
      </x:c>
      <x:c r="K274" s="73" t="s">
        <x:v>45</x:v>
      </x:c>
      <x:c r="L274" s="73" t="n">
        <x:v>2022</x:v>
      </x:c>
      <x:c r="M274" s="73" t="n">
        <x:v>4</x:v>
      </x:c>
      <x:c r="N274" s="73" t="n">
        <x:v>1</x:v>
      </x:c>
      <x:c r="O274" s="73" t="n">
        <x:v>18</x:v>
      </x:c>
    </x:row>
    <x:row r="275" ht="15" hidden="0">
      <x:c r="A275" s="73" t="n">
        <x:v>274</x:v>
      </x:c>
      <x:c r="B275" s="73" t="n">
        <x:v>278</x:v>
      </x:c>
      <x:c r="C275" s="73" t="s">
        <x:v>1236</x:v>
      </x:c>
      <x:c r="D275" s="73" t="s">
        <x:v>1173</x:v>
      </x:c>
      <x:c r="E275" s="73" t="s">
        <x:v>1237</x:v>
      </x:c>
      <x:c r="F275" s="73" t="s">
        <x:v>1238</x:v>
      </x:c>
      <x:c r="G275" s="73" t="s">
        <x:v>37</x:v>
      </x:c>
      <x:c r="H275" s="73" t="s">
        <x:v>1239</x:v>
      </x:c>
      <x:c r="I275" s="73" t="n">
        <x:v>23</x:v>
      </x:c>
      <x:c r="J275" s="73" t="n">
        <x:v>46</x:v>
      </x:c>
      <x:c r="K275" s="73" t="s">
        <x:v>155</x:v>
      </x:c>
      <x:c r="L275" s="73" t="n">
        <x:v>2021</x:v>
      </x:c>
      <x:c r="M275" s="73" t="n">
        <x:v>1</x:v>
      </x:c>
      <x:c r="N275" s="73" t="n">
        <x:v>15</x:v>
      </x:c>
      <x:c r="O275" s="73" t="n">
        <x:v>13</x:v>
      </x:c>
    </x:row>
    <x:row r="276" ht="15" hidden="0">
      <x:c r="A276" s="73" t="n">
        <x:v>275</x:v>
      </x:c>
      <x:c r="B276" s="73" t="n">
        <x:v>279</x:v>
      </x:c>
      <x:c r="C276" s="73" t="s">
        <x:v>1240</x:v>
      </x:c>
      <x:c r="D276" s="73" t="s">
        <x:v>1129</x:v>
      </x:c>
      <x:c r="E276" s="73" t="s">
        <x:v>1241</x:v>
      </x:c>
      <x:c r="F276" s="73" t="s">
        <x:v>1242</x:v>
      </x:c>
      <x:c r="G276" s="73" t="s">
        <x:v>1121</x:v>
      </x:c>
      <x:c r="H276" s="73" t="s">
        <x:v>1243</x:v>
      </x:c>
      <x:c r="I276" s="73" t="n">
        <x:v>15</x:v>
      </x:c>
      <x:c r="J276" s="73" t="n">
        <x:v>30</x:v>
      </x:c>
      <x:c r="K276" s="73" t="s">
        <x:v>209</x:v>
      </x:c>
      <x:c r="L276" s="73" t="n">
        <x:v>2023</x:v>
      </x:c>
      <x:c r="M276" s="73" t="n">
        <x:v>5</x:v>
      </x:c>
      <x:c r="N276" s="73" t="n">
        <x:v>6</x:v>
      </x:c>
      <x:c r="O276" s="73" t="n">
        <x:v>7</x:v>
      </x:c>
    </x:row>
    <x:row r="277" ht="15" hidden="0">
      <x:c r="A277" s="73" t="n">
        <x:v>276</x:v>
      </x:c>
      <x:c r="B277" s="73" t="n">
        <x:v>280</x:v>
      </x:c>
      <x:c r="C277" s="73" t="s">
        <x:v>1244</x:v>
      </x:c>
      <x:c r="D277" s="73" t="s">
        <x:v>1154</x:v>
      </x:c>
      <x:c r="E277" s="73" t="s">
        <x:v>1245</x:v>
      </x:c>
      <x:c r="F277" s="73" t="s">
        <x:v>1246</x:v>
      </x:c>
      <x:c r="G277" s="73" t="s">
        <x:v>31</x:v>
      </x:c>
      <x:c r="H277" s="73" t="s">
        <x:v>1247</x:v>
      </x:c>
      <x:c r="I277" s="73" t="n">
        <x:v>25</x:v>
      </x:c>
      <x:c r="J277" s="73" t="n">
        <x:v>50</x:v>
      </x:c>
      <x:c r="K277" s="73" t="s">
        <x:v>123</x:v>
      </x:c>
      <x:c r="L277" s="73" t="n">
        <x:v>2019</x:v>
      </x:c>
      <x:c r="M277" s="73" t="n">
        <x:v>11</x:v>
      </x:c>
      <x:c r="N277" s="73" t="n">
        <x:v>18</x:v>
      </x:c>
      <x:c r="O277" s="73" t="n">
        <x:v>15</x:v>
      </x:c>
    </x:row>
    <x:row r="278" ht="15" hidden="0">
      <x:c r="A278" s="73" t="n">
        <x:v>277</x:v>
      </x:c>
      <x:c r="B278" s="73" t="n">
        <x:v>281</x:v>
      </x:c>
      <x:c r="C278" s="73" t="s">
        <x:v>1248</x:v>
      </x:c>
      <x:c r="D278" s="73" t="s">
        <x:v>1164</x:v>
      </x:c>
      <x:c r="E278" s="73" t="s">
        <x:v>1249</x:v>
      </x:c>
      <x:c r="F278" s="73" t="s">
        <x:v>1250</x:v>
      </x:c>
      <x:c r="G278" s="73" t="s">
        <x:v>37</x:v>
      </x:c>
      <x:c r="H278" s="73" t="s">
        <x:v>1251</x:v>
      </x:c>
      <x:c r="I278" s="73" t="n">
        <x:v>14</x:v>
      </x:c>
      <x:c r="J278" s="73" t="n">
        <x:v>28</x:v>
      </x:c>
      <x:c r="K278" s="73" t="s">
        <x:v>137</x:v>
      </x:c>
      <x:c r="L278" s="73" t="n">
        <x:v>2020</x:v>
      </x:c>
      <x:c r="M278" s="73" t="n">
        <x:v>8</x:v>
      </x:c>
      <x:c r="N278" s="73" t="n">
        <x:v>29</x:v>
      </x:c>
      <x:c r="O278" s="73" t="n">
        <x:v>20</x:v>
      </x:c>
    </x:row>
    <x:row r="279" ht="15" hidden="0">
      <x:c r="A279" s="73" t="n">
        <x:v>278</x:v>
      </x:c>
      <x:c r="B279" s="73" t="n">
        <x:v>282</x:v>
      </x:c>
      <x:c r="C279" s="73" t="s">
        <x:v>1252</x:v>
      </x:c>
      <x:c r="D279" s="73" t="s">
        <x:v>1129</x:v>
      </x:c>
      <x:c r="E279" s="73" t="s">
        <x:v>1253</x:v>
      </x:c>
      <x:c r="F279" s="73" t="s">
        <x:v>1254</x:v>
      </x:c>
      <x:c r="G279" s="73" t="s">
        <x:v>1121</x:v>
      </x:c>
      <x:c r="H279" s="73" t="s">
        <x:v>1255</x:v>
      </x:c>
      <x:c r="I279" s="73" t="n">
        <x:v>17</x:v>
      </x:c>
      <x:c r="J279" s="73" t="n">
        <x:v>34</x:v>
      </x:c>
      <x:c r="K279" s="73" t="s">
        <x:v>45</x:v>
      </x:c>
      <x:c r="L279" s="73" t="n">
        <x:v>2022</x:v>
      </x:c>
      <x:c r="M279" s="73" t="n">
        <x:v>10</x:v>
      </x:c>
      <x:c r="N279" s="73" t="n">
        <x:v>30</x:v>
      </x:c>
      <x:c r="O279" s="73" t="n">
        <x:v>11</x:v>
      </x:c>
    </x:row>
    <x:row r="280" ht="15" hidden="0">
      <x:c r="A280" s="73" t="n">
        <x:v>279</x:v>
      </x:c>
      <x:c r="B280" s="73" t="n">
        <x:v>283</x:v>
      </x:c>
      <x:c r="C280" s="73" t="s">
        <x:v>1200</x:v>
      </x:c>
      <x:c r="D280" s="73" t="s">
        <x:v>1149</x:v>
      </x:c>
      <x:c r="E280" s="73" t="s">
        <x:v>1201</x:v>
      </x:c>
      <x:c r="F280" s="73" t="s">
        <x:v>1202</x:v>
      </x:c>
      <x:c r="G280" s="73" t="s">
        <x:v>31</x:v>
      </x:c>
      <x:c r="H280" s="73" t="s">
        <x:v>1203</x:v>
      </x:c>
      <x:c r="I280" s="73" t="n">
        <x:v>21</x:v>
      </x:c>
      <x:c r="J280" s="73" t="n">
        <x:v>42</x:v>
      </x:c>
      <x:c r="K280" s="73" t="s">
        <x:v>155</x:v>
      </x:c>
      <x:c r="L280" s="73" t="n">
        <x:v>2021</x:v>
      </x:c>
      <x:c r="M280" s="73" t="n">
        <x:v>7</x:v>
      </x:c>
      <x:c r="N280" s="73" t="n">
        <x:v>1</x:v>
      </x:c>
      <x:c r="O280" s="73" t="n">
        <x:v>12</x:v>
      </x:c>
    </x:row>
    <x:row r="281" ht="15" hidden="0">
      <x:c r="A281" s="73" t="n">
        <x:v>280</x:v>
      </x:c>
      <x:c r="B281" s="73" t="n">
        <x:v>284</x:v>
      </x:c>
      <x:c r="C281" s="73" t="s">
        <x:v>1204</x:v>
      </x:c>
      <x:c r="D281" s="73" t="s">
        <x:v>1134</x:v>
      </x:c>
      <x:c r="E281" s="73" t="s">
        <x:v>1205</x:v>
      </x:c>
      <x:c r="F281" s="73" t="s">
        <x:v>1206</x:v>
      </x:c>
      <x:c r="G281" s="73" t="s">
        <x:v>1121</x:v>
      </x:c>
      <x:c r="H281" s="73" t="s">
        <x:v>1207</x:v>
      </x:c>
      <x:c r="I281" s="73" t="n">
        <x:v>23</x:v>
      </x:c>
      <x:c r="J281" s="73" t="n">
        <x:v>46</x:v>
      </x:c>
      <x:c r="K281" s="73" t="s">
        <x:v>123</x:v>
      </x:c>
      <x:c r="L281" s="73" t="n">
        <x:v>2020</x:v>
      </x:c>
      <x:c r="M281" s="73" t="n">
        <x:v>1</x:v>
      </x:c>
      <x:c r="N281" s="73" t="n">
        <x:v>5</x:v>
      </x:c>
      <x:c r="O281" s="73" t="n">
        <x:v>8</x:v>
      </x:c>
    </x:row>
    <x:row r="282" ht="15" hidden="0">
      <x:c r="A282" s="73" t="n">
        <x:v>281</x:v>
      </x:c>
      <x:c r="B282" s="73" t="n">
        <x:v>285</x:v>
      </x:c>
      <x:c r="C282" s="73" t="s">
        <x:v>1208</x:v>
      </x:c>
      <x:c r="D282" s="73" t="s">
        <x:v>1129</x:v>
      </x:c>
      <x:c r="E282" s="73" t="s">
        <x:v>1209</x:v>
      </x:c>
      <x:c r="F282" s="73" t="s">
        <x:v>1210</x:v>
      </x:c>
      <x:c r="G282" s="73" t="s">
        <x:v>31</x:v>
      </x:c>
      <x:c r="H282" s="73" t="s">
        <x:v>1211</x:v>
      </x:c>
      <x:c r="I282" s="73" t="n">
        <x:v>14</x:v>
      </x:c>
      <x:c r="J282" s="73" t="n">
        <x:v>28</x:v>
      </x:c>
      <x:c r="K282" s="73" t="s">
        <x:v>137</x:v>
      </x:c>
      <x:c r="L282" s="73" t="n">
        <x:v>2022</x:v>
      </x:c>
      <x:c r="M282" s="73" t="n">
        <x:v>7</x:v>
      </x:c>
      <x:c r="N282" s="73" t="n">
        <x:v>17</x:v>
      </x:c>
      <x:c r="O282" s="73" t="n">
        <x:v>6</x:v>
      </x:c>
    </x:row>
    <x:row r="283" ht="15" hidden="0">
      <x:c r="A283" s="73" t="n">
        <x:v>282</x:v>
      </x:c>
      <x:c r="B283" s="73" t="n">
        <x:v>286</x:v>
      </x:c>
      <x:c r="C283" s="73" t="s">
        <x:v>1212</x:v>
      </x:c>
      <x:c r="D283" s="73" t="s">
        <x:v>1154</x:v>
      </x:c>
      <x:c r="E283" s="73" t="s">
        <x:v>1213</x:v>
      </x:c>
      <x:c r="F283" s="73" t="s">
        <x:v>1214</x:v>
      </x:c>
      <x:c r="G283" s="73" t="s">
        <x:v>37</x:v>
      </x:c>
      <x:c r="H283" s="73" t="s">
        <x:v>1215</x:v>
      </x:c>
      <x:c r="I283" s="73" t="n">
        <x:v>24</x:v>
      </x:c>
      <x:c r="J283" s="73" t="n">
        <x:v>48</x:v>
      </x:c>
      <x:c r="K283" s="73" t="s">
        <x:v>45</x:v>
      </x:c>
      <x:c r="L283" s="73" t="n">
        <x:v>2018</x:v>
      </x:c>
      <x:c r="M283" s="73" t="n">
        <x:v>8</x:v>
      </x:c>
      <x:c r="N283" s="73" t="n">
        <x:v>22</x:v>
      </x:c>
      <x:c r="O283" s="73" t="n">
        <x:v>17</x:v>
      </x:c>
    </x:row>
    <x:row r="284" ht="15" hidden="0">
      <x:c r="A284" s="73" t="n">
        <x:v>283</x:v>
      </x:c>
      <x:c r="B284" s="73" t="n">
        <x:v>287</x:v>
      </x:c>
      <x:c r="C284" s="73" t="s">
        <x:v>1216</x:v>
      </x:c>
      <x:c r="D284" s="73" t="s">
        <x:v>1164</x:v>
      </x:c>
      <x:c r="E284" s="73" t="s">
        <x:v>1217</x:v>
      </x:c>
      <x:c r="F284" s="73" t="s">
        <x:v>1218</x:v>
      </x:c>
      <x:c r="G284" s="73" t="s">
        <x:v>1121</x:v>
      </x:c>
      <x:c r="H284" s="73" t="s">
        <x:v>1219</x:v>
      </x:c>
      <x:c r="I284" s="73" t="n">
        <x:v>18</x:v>
      </x:c>
      <x:c r="J284" s="73" t="n">
        <x:v>36</x:v>
      </x:c>
      <x:c r="K284" s="73" t="s">
        <x:v>209</x:v>
      </x:c>
      <x:c r="L284" s="73" t="n">
        <x:v>2021</x:v>
      </x:c>
      <x:c r="M284" s="73" t="n">
        <x:v>12</x:v>
      </x:c>
      <x:c r="N284" s="73" t="n">
        <x:v>8</x:v>
      </x:c>
      <x:c r="O284" s="73" t="n">
        <x:v>14</x:v>
      </x:c>
    </x:row>
    <x:row r="285" ht="15" hidden="0">
      <x:c r="A285" s="73" t="n">
        <x:v>284</x:v>
      </x:c>
      <x:c r="B285" s="73" t="n">
        <x:v>288</x:v>
      </x:c>
      <x:c r="C285" s="73" t="s">
        <x:v>1220</x:v>
      </x:c>
      <x:c r="D285" s="73" t="s">
        <x:v>1124</x:v>
      </x:c>
      <x:c r="E285" s="73" t="s">
        <x:v>1221</x:v>
      </x:c>
      <x:c r="F285" s="73" t="s">
        <x:v>1222</x:v>
      </x:c>
      <x:c r="G285" s="73" t="s">
        <x:v>31</x:v>
      </x:c>
      <x:c r="H285" s="73" t="s">
        <x:v>1223</x:v>
      </x:c>
      <x:c r="I285" s="73" t="n">
        <x:v>20</x:v>
      </x:c>
      <x:c r="J285" s="73" t="n">
        <x:v>40</x:v>
      </x:c>
      <x:c r="K285" s="73" t="s">
        <x:v>155</x:v>
      </x:c>
      <x:c r="L285" s="73" t="n">
        <x:v>2019</x:v>
      </x:c>
      <x:c r="M285" s="73" t="n">
        <x:v>4</x:v>
      </x:c>
      <x:c r="N285" s="73" t="n">
        <x:v>27</x:v>
      </x:c>
      <x:c r="O285" s="73" t="n">
        <x:v>9</x:v>
      </x:c>
    </x:row>
    <x:row r="286" ht="15" hidden="0">
      <x:c r="A286" s="73" t="n">
        <x:v>285</x:v>
      </x:c>
      <x:c r="B286" s="73" t="n">
        <x:v>289</x:v>
      </x:c>
      <x:c r="C286" s="73" t="s">
        <x:v>1224</x:v>
      </x:c>
      <x:c r="D286" s="73" t="s">
        <x:v>1144</x:v>
      </x:c>
      <x:c r="E286" s="73" t="s">
        <x:v>1225</x:v>
      </x:c>
      <x:c r="F286" s="73" t="s">
        <x:v>1226</x:v>
      </x:c>
      <x:c r="G286" s="73" t="s">
        <x:v>37</x:v>
      </x:c>
      <x:c r="H286" s="73" t="s">
        <x:v>1227</x:v>
      </x:c>
      <x:c r="I286" s="73" t="n">
        <x:v>16</x:v>
      </x:c>
      <x:c r="J286" s="73" t="n">
        <x:v>32</x:v>
      </x:c>
      <x:c r="K286" s="73" t="s">
        <x:v>123</x:v>
      </x:c>
      <x:c r="L286" s="73" t="n">
        <x:v>2023</x:v>
      </x:c>
      <x:c r="M286" s="73" t="n">
        <x:v>9</x:v>
      </x:c>
      <x:c r="N286" s="73" t="n">
        <x:v>3</x:v>
      </x:c>
      <x:c r="O286" s="73" t="n">
        <x:v>21</x:v>
      </x:c>
    </x:row>
    <x:row r="287" ht="15" hidden="0">
      <x:c r="A287" s="73" t="n">
        <x:v>286</x:v>
      </x:c>
      <x:c r="B287" s="73" t="n">
        <x:v>290</x:v>
      </x:c>
      <x:c r="C287" s="73" t="s">
        <x:v>1228</x:v>
      </x:c>
      <x:c r="D287" s="73" t="s">
        <x:v>1159</x:v>
      </x:c>
      <x:c r="E287" s="73" t="s">
        <x:v>1229</x:v>
      </x:c>
      <x:c r="F287" s="73" t="s">
        <x:v>1230</x:v>
      </x:c>
      <x:c r="G287" s="73" t="s">
        <x:v>1121</x:v>
      </x:c>
      <x:c r="H287" s="73" t="s">
        <x:v>1231</x:v>
      </x:c>
      <x:c r="I287" s="73" t="n">
        <x:v>22</x:v>
      </x:c>
      <x:c r="J287" s="73" t="n">
        <x:v>44</x:v>
      </x:c>
      <x:c r="K287" s="73" t="s">
        <x:v>137</x:v>
      </x:c>
      <x:c r="L287" s="73" t="n">
        <x:v>2020</x:v>
      </x:c>
      <x:c r="M287" s="73" t="n">
        <x:v>6</x:v>
      </x:c>
      <x:c r="N287" s="73" t="n">
        <x:v>10</x:v>
      </x:c>
      <x:c r="O287" s="73" t="n">
        <x:v>10</x:v>
      </x:c>
    </x:row>
    <x:row r="288" ht="15" hidden="0">
      <x:c r="A288" s="73" t="n">
        <x:v>287</x:v>
      </x:c>
      <x:c r="B288" s="73" t="n">
        <x:v>291</x:v>
      </x:c>
      <x:c r="C288" s="73" t="s">
        <x:v>1232</x:v>
      </x:c>
      <x:c r="D288" s="73" t="s">
        <x:v>1139</x:v>
      </x:c>
      <x:c r="E288" s="73" t="s">
        <x:v>1233</x:v>
      </x:c>
      <x:c r="F288" s="73" t="s">
        <x:v>1234</x:v>
      </x:c>
      <x:c r="G288" s="73" t="s">
        <x:v>31</x:v>
      </x:c>
      <x:c r="H288" s="73" t="s">
        <x:v>1235</x:v>
      </x:c>
      <x:c r="I288" s="73" t="n">
        <x:v>19</x:v>
      </x:c>
      <x:c r="J288" s="73" t="n">
        <x:v>38</x:v>
      </x:c>
      <x:c r="K288" s="73" t="s">
        <x:v>45</x:v>
      </x:c>
      <x:c r="L288" s="73" t="n">
        <x:v>2022</x:v>
      </x:c>
      <x:c r="M288" s="73" t="n">
        <x:v>4</x:v>
      </x:c>
      <x:c r="N288" s="73" t="n">
        <x:v>1</x:v>
      </x:c>
      <x:c r="O288" s="73" t="n">
        <x:v>18</x:v>
      </x:c>
    </x:row>
    <x:row r="289" ht="15" hidden="0">
      <x:c r="A289" s="73" t="n">
        <x:v>288</x:v>
      </x:c>
      <x:c r="B289" s="73" t="n">
        <x:v>292</x:v>
      </x:c>
      <x:c r="C289" s="73" t="s">
        <x:v>1236</x:v>
      </x:c>
      <x:c r="D289" s="73" t="s">
        <x:v>1173</x:v>
      </x:c>
      <x:c r="E289" s="73" t="s">
        <x:v>1237</x:v>
      </x:c>
      <x:c r="F289" s="73" t="s">
        <x:v>1238</x:v>
      </x:c>
      <x:c r="G289" s="73" t="s">
        <x:v>37</x:v>
      </x:c>
      <x:c r="H289" s="73" t="s">
        <x:v>1239</x:v>
      </x:c>
      <x:c r="I289" s="73" t="n">
        <x:v>23</x:v>
      </x:c>
      <x:c r="J289" s="73" t="n">
        <x:v>46</x:v>
      </x:c>
      <x:c r="K289" s="73" t="s">
        <x:v>155</x:v>
      </x:c>
      <x:c r="L289" s="73" t="n">
        <x:v>2021</x:v>
      </x:c>
      <x:c r="M289" s="73" t="n">
        <x:v>1</x:v>
      </x:c>
      <x:c r="N289" s="73" t="n">
        <x:v>15</x:v>
      </x:c>
      <x:c r="O289" s="73" t="n">
        <x:v>13</x:v>
      </x:c>
    </x:row>
    <x:row r="290" ht="15" hidden="0">
      <x:c r="A290" s="73" t="n">
        <x:v>289</x:v>
      </x:c>
      <x:c r="B290" s="73" t="n">
        <x:v>293</x:v>
      </x:c>
      <x:c r="C290" s="73" t="s">
        <x:v>1240</x:v>
      </x:c>
      <x:c r="D290" s="73" t="s">
        <x:v>1129</x:v>
      </x:c>
      <x:c r="E290" s="73" t="s">
        <x:v>1241</x:v>
      </x:c>
      <x:c r="F290" s="73" t="s">
        <x:v>1242</x:v>
      </x:c>
      <x:c r="G290" s="73" t="s">
        <x:v>1121</x:v>
      </x:c>
      <x:c r="H290" s="73" t="s">
        <x:v>1243</x:v>
      </x:c>
      <x:c r="I290" s="73" t="n">
        <x:v>15</x:v>
      </x:c>
      <x:c r="J290" s="73" t="n">
        <x:v>30</x:v>
      </x:c>
      <x:c r="K290" s="73" t="s">
        <x:v>209</x:v>
      </x:c>
      <x:c r="L290" s="73" t="n">
        <x:v>2023</x:v>
      </x:c>
      <x:c r="M290" s="73" t="n">
        <x:v>5</x:v>
      </x:c>
      <x:c r="N290" s="73" t="n">
        <x:v>6</x:v>
      </x:c>
      <x:c r="O290" s="73" t="n">
        <x:v>7</x:v>
      </x:c>
    </x:row>
    <x:row r="291" ht="15" hidden="0">
      <x:c r="A291" s="73" t="n">
        <x:v>290</x:v>
      </x:c>
      <x:c r="B291" s="73" t="n">
        <x:v>294</x:v>
      </x:c>
      <x:c r="C291" s="73" t="s">
        <x:v>1244</x:v>
      </x:c>
      <x:c r="D291" s="73" t="s">
        <x:v>1154</x:v>
      </x:c>
      <x:c r="E291" s="73" t="s">
        <x:v>1245</x:v>
      </x:c>
      <x:c r="F291" s="73" t="s">
        <x:v>1246</x:v>
      </x:c>
      <x:c r="G291" s="73" t="s">
        <x:v>31</x:v>
      </x:c>
      <x:c r="H291" s="73" t="s">
        <x:v>1247</x:v>
      </x:c>
      <x:c r="I291" s="73" t="n">
        <x:v>25</x:v>
      </x:c>
      <x:c r="J291" s="73" t="n">
        <x:v>50</x:v>
      </x:c>
      <x:c r="K291" s="73" t="s">
        <x:v>123</x:v>
      </x:c>
      <x:c r="L291" s="73" t="n">
        <x:v>2019</x:v>
      </x:c>
      <x:c r="M291" s="73" t="n">
        <x:v>11</x:v>
      </x:c>
      <x:c r="N291" s="73" t="n">
        <x:v>18</x:v>
      </x:c>
      <x:c r="O291" s="73" t="n">
        <x:v>15</x:v>
      </x:c>
    </x:row>
    <x:row r="292" ht="15" hidden="0">
      <x:c r="A292" s="73" t="n">
        <x:v>291</x:v>
      </x:c>
      <x:c r="B292" s="73" t="n">
        <x:v>295</x:v>
      </x:c>
      <x:c r="C292" s="73" t="s">
        <x:v>1248</x:v>
      </x:c>
      <x:c r="D292" s="73" t="s">
        <x:v>1164</x:v>
      </x:c>
      <x:c r="E292" s="73" t="s">
        <x:v>1249</x:v>
      </x:c>
      <x:c r="F292" s="73" t="s">
        <x:v>1250</x:v>
      </x:c>
      <x:c r="G292" s="73" t="s">
        <x:v>37</x:v>
      </x:c>
      <x:c r="H292" s="73" t="s">
        <x:v>1251</x:v>
      </x:c>
      <x:c r="I292" s="73" t="n">
        <x:v>14</x:v>
      </x:c>
      <x:c r="J292" s="73" t="n">
        <x:v>28</x:v>
      </x:c>
      <x:c r="K292" s="73" t="s">
        <x:v>137</x:v>
      </x:c>
      <x:c r="L292" s="73" t="n">
        <x:v>2020</x:v>
      </x:c>
      <x:c r="M292" s="73" t="n">
        <x:v>8</x:v>
      </x:c>
      <x:c r="N292" s="73" t="n">
        <x:v>29</x:v>
      </x:c>
      <x:c r="O292" s="73" t="n">
        <x:v>20</x:v>
      </x:c>
    </x:row>
    <x:row r="293" ht="15" hidden="0">
      <x:c r="A293" s="73" t="n">
        <x:v>292</x:v>
      </x:c>
      <x:c r="B293" s="73" t="n">
        <x:v>296</x:v>
      </x:c>
      <x:c r="C293" s="73" t="s">
        <x:v>1252</x:v>
      </x:c>
      <x:c r="D293" s="73" t="s">
        <x:v>1129</x:v>
      </x:c>
      <x:c r="E293" s="73" t="s">
        <x:v>1253</x:v>
      </x:c>
      <x:c r="F293" s="73" t="s">
        <x:v>1254</x:v>
      </x:c>
      <x:c r="G293" s="73" t="s">
        <x:v>1121</x:v>
      </x:c>
      <x:c r="H293" s="73" t="s">
        <x:v>1255</x:v>
      </x:c>
      <x:c r="I293" s="73" t="n">
        <x:v>17</x:v>
      </x:c>
      <x:c r="J293" s="73" t="n">
        <x:v>34</x:v>
      </x:c>
      <x:c r="K293" s="73" t="s">
        <x:v>45</x:v>
      </x:c>
      <x:c r="L293" s="73" t="n">
        <x:v>2022</x:v>
      </x:c>
      <x:c r="M293" s="73" t="n">
        <x:v>10</x:v>
      </x:c>
      <x:c r="N293" s="73" t="n">
        <x:v>30</x:v>
      </x:c>
      <x:c r="O293" s="73" t="n">
        <x:v>11</x:v>
      </x:c>
    </x:row>
    <x:row r="294" ht="15" hidden="0">
      <x:c r="A294" s="73" t="n">
        <x:v>293</x:v>
      </x:c>
      <x:c r="B294" s="73" t="n">
        <x:v>297</x:v>
      </x:c>
      <x:c r="C294" s="73" t="s">
        <x:v>1200</x:v>
      </x:c>
      <x:c r="D294" s="73" t="s">
        <x:v>1149</x:v>
      </x:c>
      <x:c r="E294" s="73" t="s">
        <x:v>1201</x:v>
      </x:c>
      <x:c r="F294" s="73" t="s">
        <x:v>1202</x:v>
      </x:c>
      <x:c r="G294" s="73" t="s">
        <x:v>31</x:v>
      </x:c>
      <x:c r="H294" s="73" t="s">
        <x:v>1203</x:v>
      </x:c>
      <x:c r="I294" s="73" t="n">
        <x:v>21</x:v>
      </x:c>
      <x:c r="J294" s="73" t="n">
        <x:v>42</x:v>
      </x:c>
      <x:c r="K294" s="73" t="s">
        <x:v>155</x:v>
      </x:c>
      <x:c r="L294" s="73" t="n">
        <x:v>2021</x:v>
      </x:c>
      <x:c r="M294" s="73" t="n">
        <x:v>7</x:v>
      </x:c>
      <x:c r="N294" s="73" t="n">
        <x:v>1</x:v>
      </x:c>
      <x:c r="O294" s="73" t="n">
        <x:v>12</x:v>
      </x:c>
    </x:row>
    <x:row r="295" ht="15" hidden="0">
      <x:c r="A295" s="73" t="n">
        <x:v>294</x:v>
      </x:c>
      <x:c r="B295" s="73" t="n">
        <x:v>298</x:v>
      </x:c>
      <x:c r="C295" s="73" t="s">
        <x:v>1204</x:v>
      </x:c>
      <x:c r="D295" s="73" t="s">
        <x:v>1134</x:v>
      </x:c>
      <x:c r="E295" s="73" t="s">
        <x:v>1205</x:v>
      </x:c>
      <x:c r="F295" s="73" t="s">
        <x:v>1206</x:v>
      </x:c>
      <x:c r="G295" s="73" t="s">
        <x:v>1121</x:v>
      </x:c>
      <x:c r="H295" s="73" t="s">
        <x:v>1207</x:v>
      </x:c>
      <x:c r="I295" s="73" t="n">
        <x:v>23</x:v>
      </x:c>
      <x:c r="J295" s="73" t="n">
        <x:v>46</x:v>
      </x:c>
      <x:c r="K295" s="73" t="s">
        <x:v>123</x:v>
      </x:c>
      <x:c r="L295" s="73" t="n">
        <x:v>2020</x:v>
      </x:c>
      <x:c r="M295" s="73" t="n">
        <x:v>1</x:v>
      </x:c>
      <x:c r="N295" s="73" t="n">
        <x:v>5</x:v>
      </x:c>
      <x:c r="O295" s="73" t="n">
        <x:v>8</x:v>
      </x:c>
    </x:row>
    <x:row r="296" ht="15" hidden="0">
      <x:c r="A296" s="73" t="n">
        <x:v>295</x:v>
      </x:c>
      <x:c r="B296" s="73" t="n">
        <x:v>299</x:v>
      </x:c>
      <x:c r="C296" s="73" t="s">
        <x:v>1208</x:v>
      </x:c>
      <x:c r="D296" s="73" t="s">
        <x:v>1129</x:v>
      </x:c>
      <x:c r="E296" s="73" t="s">
        <x:v>1209</x:v>
      </x:c>
      <x:c r="F296" s="73" t="s">
        <x:v>1210</x:v>
      </x:c>
      <x:c r="G296" s="73" t="s">
        <x:v>31</x:v>
      </x:c>
      <x:c r="H296" s="73" t="s">
        <x:v>1211</x:v>
      </x:c>
      <x:c r="I296" s="73" t="n">
        <x:v>14</x:v>
      </x:c>
      <x:c r="J296" s="73" t="n">
        <x:v>28</x:v>
      </x:c>
      <x:c r="K296" s="73" t="s">
        <x:v>209</x:v>
      </x:c>
      <x:c r="L296" s="73" t="n">
        <x:v>2022</x:v>
      </x:c>
      <x:c r="M296" s="73" t="n">
        <x:v>7</x:v>
      </x:c>
      <x:c r="N296" s="73" t="n">
        <x:v>17</x:v>
      </x:c>
      <x:c r="O296" s="73" t="n">
        <x:v>6</x:v>
      </x:c>
    </x:row>
    <x:row r="297" ht="15" hidden="0">
      <x:c r="A297" s="73" t="n">
        <x:v>296</x:v>
      </x:c>
      <x:c r="B297" s="73" t="n">
        <x:v>300</x:v>
      </x:c>
      <x:c r="C297" s="73" t="s">
        <x:v>1212</x:v>
      </x:c>
      <x:c r="D297" s="73" t="s">
        <x:v>1154</x:v>
      </x:c>
      <x:c r="E297" s="73" t="s">
        <x:v>1213</x:v>
      </x:c>
      <x:c r="F297" s="73" t="s">
        <x:v>1214</x:v>
      </x:c>
      <x:c r="G297" s="73" t="s">
        <x:v>37</x:v>
      </x:c>
      <x:c r="H297" s="73" t="s">
        <x:v>1215</x:v>
      </x:c>
      <x:c r="I297" s="73" t="n">
        <x:v>24</x:v>
      </x:c>
      <x:c r="J297" s="73" t="n">
        <x:v>48</x:v>
      </x:c>
      <x:c r="K297" s="73" t="s">
        <x:v>45</x:v>
      </x:c>
      <x:c r="L297" s="73" t="n">
        <x:v>2018</x:v>
      </x:c>
      <x:c r="M297" s="73" t="n">
        <x:v>8</x:v>
      </x:c>
      <x:c r="N297" s="73" t="n">
        <x:v>22</x:v>
      </x:c>
      <x:c r="O297" s="73" t="n">
        <x:v>17</x:v>
      </x:c>
    </x:row>
    <x:row r="298" ht="15" hidden="0">
      <x:c r="A298" s="73" t="n">
        <x:v>297</x:v>
      </x:c>
      <x:c r="B298" s="73" t="n">
        <x:v>301</x:v>
      </x:c>
      <x:c r="C298" s="73" t="s">
        <x:v>1256</x:v>
      </x:c>
      <x:c r="D298" s="73" t="s">
        <x:v>1257</x:v>
      </x:c>
      <x:c r="E298" s="73" t="s">
        <x:v>1258</x:v>
      </x:c>
      <x:c r="F298" s="73" t="s">
        <x:v>1259</x:v>
      </x:c>
      <x:c r="G298" s="73" t="s">
        <x:v>31</x:v>
      </x:c>
      <x:c r="H298" s="73" t="s">
        <x:v>1260</x:v>
      </x:c>
      <x:c r="I298" s="73" t="n">
        <x:v>8</x:v>
      </x:c>
      <x:c r="J298" s="73" t="n">
        <x:v>16</x:v>
      </x:c>
      <x:c r="K298" s="73" t="s">
        <x:v>155</x:v>
      </x:c>
      <x:c r="L298" s="73" t="n">
        <x:v>2021</x:v>
      </x:c>
      <x:c r="M298" s="73" t="n">
        <x:v>9</x:v>
      </x:c>
      <x:c r="N298" s="73" t="n">
        <x:v>15</x:v>
      </x:c>
      <x:c r="O298" s="73" t="n">
        <x:v>16</x:v>
      </x:c>
    </x:row>
    <x:row r="299" ht="15" hidden="0">
      <x:c r="A299" s="73" t="n">
        <x:v>298</x:v>
      </x:c>
      <x:c r="B299" s="73" t="n">
        <x:v>302</x:v>
      </x:c>
      <x:c r="C299" s="73" t="s">
        <x:v>1261</x:v>
      </x:c>
      <x:c r="D299" s="73" t="s">
        <x:v>1262</x:v>
      </x:c>
      <x:c r="E299" s="73" t="s">
        <x:v>1263</x:v>
      </x:c>
      <x:c r="F299" s="73" t="s">
        <x:v>1264</x:v>
      </x:c>
      <x:c r="G299" s="73" t="s">
        <x:v>37</x:v>
      </x:c>
      <x:c r="H299" s="73" t="s">
        <x:v>1265</x:v>
      </x:c>
      <x:c r="I299" s="73" t="n">
        <x:v>12</x:v>
      </x:c>
      <x:c r="J299" s="73" t="n">
        <x:v>24</x:v>
      </x:c>
      <x:c r="K299" s="73" t="s">
        <x:v>137</x:v>
      </x:c>
      <x:c r="L299" s="73" t="n">
        <x:v>2019</x:v>
      </x:c>
      <x:c r="M299" s="73" t="n">
        <x:v>3</x:v>
      </x:c>
      <x:c r="N299" s="73" t="n">
        <x:v>8</x:v>
      </x:c>
      <x:c r="O299" s="73" t="n">
        <x:v>14</x:v>
      </x:c>
    </x:row>
    <x:row r="300" ht="15" hidden="0">
      <x:c r="A300" s="73" t="n">
        <x:v>299</x:v>
      </x:c>
      <x:c r="B300" s="73" t="n">
        <x:v>303</x:v>
      </x:c>
      <x:c r="C300" s="73" t="s">
        <x:v>1266</x:v>
      </x:c>
      <x:c r="D300" s="73" t="s">
        <x:v>828</x:v>
      </x:c>
      <x:c r="E300" s="73" t="s">
        <x:v>1267</x:v>
      </x:c>
      <x:c r="F300" s="73" t="s">
        <x:v>1268</x:v>
      </x:c>
      <x:c r="G300" s="73" t="s">
        <x:v>1121</x:v>
      </x:c>
      <x:c r="H300" s="73" t="s">
        <x:v>1269</x:v>
      </x:c>
      <x:c r="I300" s="73" t="n">
        <x:v>15</x:v>
      </x:c>
      <x:c r="J300" s="73" t="n">
        <x:v>30</x:v>
      </x:c>
      <x:c r="K300" s="73" t="s">
        <x:v>123</x:v>
      </x:c>
      <x:c r="L300" s="73" t="n">
        <x:v>2017</x:v>
      </x:c>
      <x:c r="M300" s="73" t="n">
        <x:v>7</x:v>
      </x:c>
      <x:c r="N300" s="73" t="n">
        <x:v>20</x:v>
      </x:c>
      <x:c r="O300" s="73" t="n">
        <x:v>11</x:v>
      </x:c>
    </x:row>
    <x:row r="301" ht="15" hidden="0">
      <x:c r="A301" s="73" t="n">
        <x:v>300</x:v>
      </x:c>
      <x:c r="B301" s="73" t="n">
        <x:v>304</x:v>
      </x:c>
      <x:c r="C301" s="73" t="s">
        <x:v>1270</x:v>
      </x:c>
      <x:c r="D301" s="73" t="s">
        <x:v>1271</x:v>
      </x:c>
      <x:c r="E301" s="73" t="s">
        <x:v>1272</x:v>
      </x:c>
      <x:c r="F301" s="73" t="s">
        <x:v>1273</x:v>
      </x:c>
      <x:c r="G301" s="73" t="s">
        <x:v>31</x:v>
      </x:c>
      <x:c r="H301" s="73" t="s">
        <x:v>1274</x:v>
      </x:c>
      <x:c r="I301" s="73" t="n">
        <x:v>10</x:v>
      </x:c>
      <x:c r="J301" s="73" t="n">
        <x:v>20</x:v>
      </x:c>
      <x:c r="K301" s="73" t="s">
        <x:v>45</x:v>
      </x:c>
      <x:c r="L301" s="73" t="n">
        <x:v>2020</x:v>
      </x:c>
      <x:c r="M301" s="73" t="n">
        <x:v>11</x:v>
      </x:c>
      <x:c r="N301" s="73" t="n">
        <x:v>2</x:v>
      </x:c>
      <x:c r="O301" s="73" t="n">
        <x:v>19</x:v>
      </x:c>
    </x:row>
    <x:row r="302" ht="15" hidden="0">
      <x:c r="A302" s="73" t="n">
        <x:v>301</x:v>
      </x:c>
      <x:c r="B302" s="73" t="n">
        <x:v>305</x:v>
      </x:c>
      <x:c r="C302" s="73" t="s">
        <x:v>1275</x:v>
      </x:c>
      <x:c r="D302" s="73" t="s">
        <x:v>1276</x:v>
      </x:c>
      <x:c r="E302" s="73" t="s">
        <x:v>1277</x:v>
      </x:c>
      <x:c r="F302" s="73" t="s">
        <x:v>1278</x:v>
      </x:c>
      <x:c r="G302" s="73" t="s">
        <x:v>37</x:v>
      </x:c>
      <x:c r="H302" s="73" t="s">
        <x:v>1279</x:v>
      </x:c>
      <x:c r="I302" s="73" t="n">
        <x:v>18</x:v>
      </x:c>
      <x:c r="J302" s="73" t="n">
        <x:v>36</x:v>
      </x:c>
      <x:c r="K302" s="73" t="s">
        <x:v>209</x:v>
      </x:c>
      <x:c r="L302" s="73" t="n">
        <x:v>2022</x:v>
      </x:c>
      <x:c r="M302" s="73" t="n">
        <x:v>5</x:v>
      </x:c>
      <x:c r="N302" s="73" t="n">
        <x:v>12</x:v>
      </x:c>
      <x:c r="O302" s="73" t="n">
        <x:v>2</x:v>
      </x:c>
    </x:row>
    <x:row r="303" ht="15" hidden="0">
      <x:c r="A303" s="73" t="n">
        <x:v>302</x:v>
      </x:c>
      <x:c r="B303" s="73" t="n">
        <x:v>306</x:v>
      </x:c>
      <x:c r="C303" s="73" t="s">
        <x:v>1280</x:v>
      </x:c>
      <x:c r="D303" s="73" t="s">
        <x:v>1281</x:v>
      </x:c>
      <x:c r="E303" s="73" t="s">
        <x:v>1282</x:v>
      </x:c>
      <x:c r="F303" s="73" t="s">
        <x:v>1283</x:v>
      </x:c>
      <x:c r="G303" s="73" t="s">
        <x:v>1121</x:v>
      </x:c>
      <x:c r="H303" s="73" t="s">
        <x:v>1284</x:v>
      </x:c>
      <x:c r="I303" s="73" t="n">
        <x:v>14</x:v>
      </x:c>
      <x:c r="J303" s="73" t="n">
        <x:v>28</x:v>
      </x:c>
      <x:c r="K303" s="73" t="s">
        <x:v>137</x:v>
      </x:c>
      <x:c r="L303" s="73" t="n">
        <x:v>2023</x:v>
      </x:c>
      <x:c r="M303" s="73" t="n">
        <x:v>4</x:v>
      </x:c>
      <x:c r="N303" s="73" t="n">
        <x:v>8</x:v>
      </x:c>
      <x:c r="O303" s="73" t="n">
        <x:v>13</x:v>
      </x:c>
    </x:row>
    <x:row r="304" ht="15" hidden="0">
      <x:c r="A304" s="73" t="n">
        <x:v>303</x:v>
      </x:c>
      <x:c r="B304" s="73" t="n">
        <x:v>307</x:v>
      </x:c>
      <x:c r="C304" s="73" t="s">
        <x:v>1285</x:v>
      </x:c>
      <x:c r="D304" s="73" t="s">
        <x:v>1286</x:v>
      </x:c>
      <x:c r="E304" s="73" t="s">
        <x:v>1287</x:v>
      </x:c>
      <x:c r="F304" s="73" t="s">
        <x:v>1288</x:v>
      </x:c>
      <x:c r="G304" s="73" t="s">
        <x:v>31</x:v>
      </x:c>
      <x:c r="H304" s="73" t="s">
        <x:v>1289</x:v>
      </x:c>
      <x:c r="I304" s="73" t="n">
        <x:v>22</x:v>
      </x:c>
      <x:c r="J304" s="73" t="n">
        <x:v>44</x:v>
      </x:c>
      <x:c r="K304" s="73" t="s">
        <x:v>155</x:v>
      </x:c>
      <x:c r="L304" s="73" t="n">
        <x:v>2021</x:v>
      </x:c>
      <x:c r="M304" s="73" t="n">
        <x:v>6</x:v>
      </x:c>
      <x:c r="N304" s="73" t="n">
        <x:v>25</x:v>
      </x:c>
      <x:c r="O304" s="73" t="n">
        <x:v>17</x:v>
      </x:c>
    </x:row>
    <x:row r="305" ht="15" hidden="0">
      <x:c r="A305" s="73" t="n">
        <x:v>304</x:v>
      </x:c>
      <x:c r="B305" s="73" t="n">
        <x:v>308</x:v>
      </x:c>
      <x:c r="C305" s="73" t="s">
        <x:v>1290</x:v>
      </x:c>
      <x:c r="D305" s="73" t="s">
        <x:v>1291</x:v>
      </x:c>
      <x:c r="E305" s="73" t="s">
        <x:v>1292</x:v>
      </x:c>
      <x:c r="F305" s="73" t="s">
        <x:v>1293</x:v>
      </x:c>
      <x:c r="G305" s="73" t="s">
        <x:v>37</x:v>
      </x:c>
      <x:c r="H305" s="73" t="s">
        <x:v>1294</x:v>
      </x:c>
      <x:c r="I305" s="73" t="n">
        <x:v>16</x:v>
      </x:c>
      <x:c r="J305" s="73" t="n">
        <x:v>32</x:v>
      </x:c>
      <x:c r="K305" s="73" t="s">
        <x:v>123</x:v>
      </x:c>
      <x:c r="L305" s="73" t="n">
        <x:v>2019</x:v>
      </x:c>
      <x:c r="M305" s="73" t="n">
        <x:v>8</x:v>
      </x:c>
      <x:c r="N305" s="73" t="n">
        <x:v>30</x:v>
      </x:c>
      <x:c r="O305" s="73" t="n">
        <x:v>10</x:v>
      </x:c>
    </x:row>
    <x:row r="306" ht="15" hidden="0">
      <x:c r="A306" s="73" t="n">
        <x:v>305</x:v>
      </x:c>
      <x:c r="B306" s="73" t="n">
        <x:v>309</x:v>
      </x:c>
      <x:c r="C306" s="73" t="s">
        <x:v>1295</x:v>
      </x:c>
      <x:c r="D306" s="73" t="s">
        <x:v>1296</x:v>
      </x:c>
      <x:c r="E306" s="73" t="s">
        <x:v>1297</x:v>
      </x:c>
      <x:c r="F306" s="73" t="s">
        <x:v>1298</x:v>
      </x:c>
      <x:c r="G306" s="73" t="s">
        <x:v>1121</x:v>
      </x:c>
      <x:c r="H306" s="73" t="s">
        <x:v>1299</x:v>
      </x:c>
      <x:c r="I306" s="73" t="n">
        <x:v>25</x:v>
      </x:c>
      <x:c r="J306" s="73" t="n">
        <x:v>50</x:v>
      </x:c>
      <x:c r="K306" s="73" t="s">
        <x:v>45</x:v>
      </x:c>
      <x:c r="L306" s="73" t="n">
        <x:v>2022</x:v>
      </x:c>
      <x:c r="M306" s="73" t="n">
        <x:v>8</x:v>
      </x:c>
      <x:c r="N306" s="73" t="n">
        <x:v>3</x:v>
      </x:c>
      <x:c r="O306" s="73" t="n">
        <x:v>15</x:v>
      </x:c>
    </x:row>
    <x:row r="307" ht="15" hidden="0">
      <x:c r="A307" s="73" t="n">
        <x:v>306</x:v>
      </x:c>
      <x:c r="B307" s="73" t="n">
        <x:v>310</x:v>
      </x:c>
      <x:c r="C307" s="73" t="s">
        <x:v>1300</x:v>
      </x:c>
      <x:c r="D307" s="73" t="s">
        <x:v>1301</x:v>
      </x:c>
      <x:c r="E307" s="73" t="s">
        <x:v>1302</x:v>
      </x:c>
      <x:c r="F307" s="73" t="s">
        <x:v>1303</x:v>
      </x:c>
      <x:c r="G307" s="73" t="s">
        <x:v>31</x:v>
      </x:c>
      <x:c r="H307" s="73" t="s">
        <x:v>1304</x:v>
      </x:c>
      <x:c r="I307" s="73" t="n">
        <x:v>12</x:v>
      </x:c>
      <x:c r="J307" s="73" t="n">
        <x:v>24</x:v>
      </x:c>
      <x:c r="K307" s="73" t="s">
        <x:v>209</x:v>
      </x:c>
      <x:c r="L307" s="73" t="n">
        <x:v>2020</x:v>
      </x:c>
      <x:c r="M307" s="73" t="n">
        <x:v>12</x:v>
      </x:c>
      <x:c r="N307" s="73" t="n">
        <x:v>17</x:v>
      </x:c>
      <x:c r="O307" s="73" t="n">
        <x:v>9</x:v>
      </x:c>
    </x:row>
    <x:row r="308" ht="15" hidden="0">
      <x:c r="A308" s="73" t="n">
        <x:v>307</x:v>
      </x:c>
      <x:c r="B308" s="73" t="n">
        <x:v>311</x:v>
      </x:c>
      <x:c r="C308" s="73" t="s">
        <x:v>1305</x:v>
      </x:c>
      <x:c r="D308" s="73" t="s">
        <x:v>1306</x:v>
      </x:c>
      <x:c r="E308" s="73" t="s">
        <x:v>1307</x:v>
      </x:c>
      <x:c r="F308" s="73" t="s">
        <x:v>1308</x:v>
      </x:c>
      <x:c r="G308" s="73" t="s">
        <x:v>37</x:v>
      </x:c>
      <x:c r="H308" s="73" t="s">
        <x:v>1309</x:v>
      </x:c>
      <x:c r="I308" s="73" t="n">
        <x:v>20</x:v>
      </x:c>
      <x:c r="J308" s="73" t="n">
        <x:v>40</x:v>
      </x:c>
      <x:c r="K308" s="73" t="s">
        <x:v>123</x:v>
      </x:c>
      <x:c r="L308" s="73" t="n">
        <x:v>2021</x:v>
      </x:c>
      <x:c r="M308" s="73" t="n">
        <x:v>2</x:v>
      </x:c>
      <x:c r="N308" s="73" t="n">
        <x:v>28</x:v>
      </x:c>
      <x:c r="O308" s="73" t="n">
        <x:v>22</x:v>
      </x:c>
    </x:row>
    <x:row r="309" ht="15" hidden="0">
      <x:c r="A309" s="73" t="n">
        <x:v>308</x:v>
      </x:c>
      <x:c r="B309" s="73" t="n">
        <x:v>312</x:v>
      </x:c>
      <x:c r="C309" s="73" t="s">
        <x:v>1310</x:v>
      </x:c>
      <x:c r="D309" s="73" t="s">
        <x:v>1311</x:v>
      </x:c>
      <x:c r="E309" s="73" t="s">
        <x:v>1312</x:v>
      </x:c>
      <x:c r="F309" s="73" t="s">
        <x:v>1313</x:v>
      </x:c>
      <x:c r="G309" s="73" t="s">
        <x:v>1121</x:v>
      </x:c>
      <x:c r="H309" s="73" t="s">
        <x:v>1314</x:v>
      </x:c>
      <x:c r="I309" s="73" t="n">
        <x:v>14</x:v>
      </x:c>
      <x:c r="J309" s="73" t="n">
        <x:v>28</x:v>
      </x:c>
      <x:c r="K309" s="73" t="s">
        <x:v>137</x:v>
      </x:c>
      <x:c r="L309" s="73" t="n">
        <x:v>2018</x:v>
      </x:c>
      <x:c r="M309" s="73" t="n">
        <x:v>5</x:v>
      </x:c>
      <x:c r="N309" s="73" t="n">
        <x:v>10</x:v>
      </x:c>
      <x:c r="O309" s="73" t="n">
        <x:v>14</x:v>
      </x:c>
    </x:row>
    <x:row r="310" ht="15" hidden="0">
      <x:c r="A310" s="73" t="n">
        <x:v>309</x:v>
      </x:c>
      <x:c r="B310" s="73" t="n">
        <x:v>313</x:v>
      </x:c>
      <x:c r="C310" s="73" t="s">
        <x:v>1315</x:v>
      </x:c>
      <x:c r="D310" s="73" t="s">
        <x:v>1301</x:v>
      </x:c>
      <x:c r="E310" s="73" t="s">
        <x:v>1316</x:v>
      </x:c>
      <x:c r="F310" s="73" t="s">
        <x:v>1317</x:v>
      </x:c>
      <x:c r="G310" s="73" t="s">
        <x:v>31</x:v>
      </x:c>
      <x:c r="H310" s="73" t="s">
        <x:v>1318</x:v>
      </x:c>
      <x:c r="I310" s="73" t="n">
        <x:v>15</x:v>
      </x:c>
      <x:c r="J310" s="73" t="n">
        <x:v>30</x:v>
      </x:c>
      <x:c r="K310" s="73" t="s">
        <x:v>155</x:v>
      </x:c>
      <x:c r="L310" s="73" t="n">
        <x:v>2022</x:v>
      </x:c>
      <x:c r="M310" s="73" t="n">
        <x:v>1</x:v>
      </x:c>
      <x:c r="N310" s="73" t="n">
        <x:v>7</x:v>
      </x:c>
      <x:c r="O310" s="73" t="n">
        <x:v>11</x:v>
      </x:c>
    </x:row>
    <x:row r="311" ht="15" hidden="0">
      <x:c r="A311" s="73" t="n">
        <x:v>310</x:v>
      </x:c>
      <x:c r="B311" s="73" t="n">
        <x:v>314</x:v>
      </x:c>
      <x:c r="C311" s="73" t="s">
        <x:v>1319</x:v>
      </x:c>
      <x:c r="D311" s="73" t="s">
        <x:v>828</x:v>
      </x:c>
      <x:c r="E311" s="73" t="s">
        <x:v>1320</x:v>
      </x:c>
      <x:c r="F311" s="73" t="s">
        <x:v>1321</x:v>
      </x:c>
      <x:c r="G311" s="73" t="s">
        <x:v>37</x:v>
      </x:c>
      <x:c r="H311" s="73" t="s">
        <x:v>1322</x:v>
      </x:c>
      <x:c r="I311" s="73" t="n">
        <x:v>18</x:v>
      </x:c>
      <x:c r="J311" s="73" t="n">
        <x:v>36</x:v>
      </x:c>
      <x:c r="K311" s="73" t="s">
        <x:v>45</x:v>
      </x:c>
      <x:c r="L311" s="73" t="n">
        <x:v>2019</x:v>
      </x:c>
      <x:c r="M311" s="73" t="n">
        <x:v>9</x:v>
      </x:c>
      <x:c r="N311" s="73" t="n">
        <x:v>19</x:v>
      </x:c>
      <x:c r="O311" s="73" t="n">
        <x:v>3</x:v>
      </x:c>
    </x:row>
    <x:row r="312" ht="15" hidden="0">
      <x:c r="A312" s="73" t="n">
        <x:v>311</x:v>
      </x:c>
      <x:c r="B312" s="73" t="n">
        <x:v>315</x:v>
      </x:c>
      <x:c r="C312" s="73" t="s">
        <x:v>1323</x:v>
      </x:c>
      <x:c r="D312" s="73" t="s">
        <x:v>1276</x:v>
      </x:c>
      <x:c r="E312" s="73" t="s">
        <x:v>1324</x:v>
      </x:c>
      <x:c r="F312" s="73" t="s">
        <x:v>1325</x:v>
      </x:c>
      <x:c r="G312" s="73" t="s">
        <x:v>1121</x:v>
      </x:c>
      <x:c r="H312" s="73" t="s">
        <x:v>1326</x:v>
      </x:c>
      <x:c r="I312" s="73" t="n">
        <x:v>13</x:v>
      </x:c>
      <x:c r="J312" s="73" t="n">
        <x:v>26</x:v>
      </x:c>
      <x:c r="K312" s="73" t="s">
        <x:v>137</x:v>
      </x:c>
      <x:c r="L312" s="73" t="n">
        <x:v>2023</x:v>
      </x:c>
      <x:c r="M312" s="73" t="n">
        <x:v>7</x:v>
      </x:c>
      <x:c r="N312" s="73" t="n">
        <x:v>14</x:v>
      </x:c>
      <x:c r="O312" s="73" t="n">
        <x:v>23</x:v>
      </x:c>
    </x:row>
    <x:row r="313" ht="15" hidden="0">
      <x:c r="A313" s="73" t="n">
        <x:v>312</x:v>
      </x:c>
      <x:c r="B313" s="73" t="n">
        <x:v>316</x:v>
      </x:c>
      <x:c r="C313" s="73" t="s">
        <x:v>1327</x:v>
      </x:c>
      <x:c r="D313" s="73" t="s">
        <x:v>1262</x:v>
      </x:c>
      <x:c r="E313" s="73" t="s">
        <x:v>1328</x:v>
      </x:c>
      <x:c r="F313" s="73" t="s">
        <x:v>1329</x:v>
      </x:c>
      <x:c r="G313" s="73" t="s">
        <x:v>31</x:v>
      </x:c>
      <x:c r="H313" s="73" t="s">
        <x:v>1330</x:v>
      </x:c>
      <x:c r="I313" s="73" t="n">
        <x:v>10</x:v>
      </x:c>
      <x:c r="J313" s="73" t="n">
        <x:v>20</x:v>
      </x:c>
      <x:c r="K313" s="73" t="s">
        <x:v>209</x:v>
      </x:c>
      <x:c r="L313" s="73" t="n">
        <x:v>2020</x:v>
      </x:c>
      <x:c r="M313" s="73" t="n">
        <x:v>4</x:v>
      </x:c>
      <x:c r="N313" s="73" t="n">
        <x:v>5</x:v>
      </x:c>
      <x:c r="O313" s="73" t="n">
        <x:v>16</x:v>
      </x:c>
    </x:row>
    <x:row r="314" ht="15" hidden="0">
      <x:c r="A314" s="73" t="n">
        <x:v>313</x:v>
      </x:c>
      <x:c r="B314" s="73" t="n">
        <x:v>317</x:v>
      </x:c>
      <x:c r="C314" s="73" t="s">
        <x:v>1331</x:v>
      </x:c>
      <x:c r="D314" s="73" t="s">
        <x:v>1286</x:v>
      </x:c>
      <x:c r="E314" s="73" t="s">
        <x:v>1332</x:v>
      </x:c>
      <x:c r="F314" s="73" t="s">
        <x:v>1333</x:v>
      </x:c>
      <x:c r="G314" s="73" t="s">
        <x:v>37</x:v>
      </x:c>
      <x:c r="H314" s="73" t="s">
        <x:v>1334</x:v>
      </x:c>
      <x:c r="I314" s="73" t="n">
        <x:v>20</x:v>
      </x:c>
      <x:c r="J314" s="73" t="n">
        <x:v>40</x:v>
      </x:c>
      <x:c r="K314" s="73" t="s">
        <x:v>123</x:v>
      </x:c>
      <x:c r="L314" s="73" t="n">
        <x:v>2021</x:v>
      </x:c>
      <x:c r="M314" s="73" t="n">
        <x:v>11</x:v>
      </x:c>
      <x:c r="N314" s="73" t="n">
        <x:v>29</x:v>
      </x:c>
      <x:c r="O314" s="73" t="n">
        <x:v>8</x:v>
      </x:c>
    </x:row>
    <x:row r="315" ht="15" hidden="0">
      <x:c r="A315" s="73" t="n">
        <x:v>314</x:v>
      </x:c>
      <x:c r="B315" s="73" t="n">
        <x:v>318</x:v>
      </x:c>
      <x:c r="C315" s="73" t="s">
        <x:v>1335</x:v>
      </x:c>
      <x:c r="D315" s="73" t="s">
        <x:v>1291</x:v>
      </x:c>
      <x:c r="E315" s="73" t="s">
        <x:v>1336</x:v>
      </x:c>
      <x:c r="F315" s="73" t="s">
        <x:v>1337</x:v>
      </x:c>
      <x:c r="G315" s="73" t="s">
        <x:v>1121</x:v>
      </x:c>
      <x:c r="H315" s="73" t="s">
        <x:v>1338</x:v>
      </x:c>
      <x:c r="I315" s="73" t="n">
        <x:v>16</x:v>
      </x:c>
      <x:c r="J315" s="73" t="n">
        <x:v>32</x:v>
      </x:c>
      <x:c r="K315" s="73" t="s">
        <x:v>45</x:v>
      </x:c>
      <x:c r="L315" s="73" t="n">
        <x:v>2019</x:v>
      </x:c>
      <x:c r="M315" s="73" t="n">
        <x:v>12</x:v>
      </x:c>
      <x:c r="N315" s="73" t="n">
        <x:v>12</x:v>
      </x:c>
      <x:c r="O315" s="73" t="n">
        <x:v>17</x:v>
      </x:c>
    </x:row>
    <x:row r="316" ht="15" hidden="0">
      <x:c r="A316" s="73" t="n">
        <x:v>315</x:v>
      </x:c>
      <x:c r="B316" s="73" t="n">
        <x:v>319</x:v>
      </x:c>
      <x:c r="C316" s="73" t="s">
        <x:v>1339</x:v>
      </x:c>
      <x:c r="D316" s="73" t="s">
        <x:v>1296</x:v>
      </x:c>
      <x:c r="E316" s="73" t="s">
        <x:v>1340</x:v>
      </x:c>
      <x:c r="F316" s="73" t="s">
        <x:v>1341</x:v>
      </x:c>
      <x:c r="G316" s="73" t="s">
        <x:v>31</x:v>
      </x:c>
      <x:c r="H316" s="73" t="s">
        <x:v>1342</x:v>
      </x:c>
      <x:c r="I316" s="73" t="n">
        <x:v>25</x:v>
      </x:c>
      <x:c r="J316" s="73" t="n">
        <x:v>50</x:v>
      </x:c>
      <x:c r="K316" s="73" t="s">
        <x:v>155</x:v>
      </x:c>
      <x:c r="L316" s="73" t="n">
        <x:v>2022</x:v>
      </x:c>
      <x:c r="M316" s="73" t="n">
        <x:v>5</x:v>
      </x:c>
      <x:c r="N316" s="73" t="n">
        <x:v>20</x:v>
      </x:c>
      <x:c r="O316" s="73" t="n">
        <x:v>14</x:v>
      </x:c>
    </x:row>
    <x:row r="317" ht="15" hidden="0">
      <x:c r="A317" s="73" t="n">
        <x:v>316</x:v>
      </x:c>
      <x:c r="B317" s="73" t="n">
        <x:v>320</x:v>
      </x:c>
      <x:c r="C317" s="73" t="s">
        <x:v>1343</x:v>
      </x:c>
      <x:c r="D317" s="73" t="s">
        <x:v>1301</x:v>
      </x:c>
      <x:c r="E317" s="73" t="s">
        <x:v>1344</x:v>
      </x:c>
      <x:c r="F317" s="73" t="s">
        <x:v>1345</x:v>
      </x:c>
      <x:c r="G317" s="73" t="s">
        <x:v>37</x:v>
      </x:c>
      <x:c r="H317" s="73" t="s">
        <x:v>1346</x:v>
      </x:c>
      <x:c r="I317" s="73" t="n">
        <x:v>14</x:v>
      </x:c>
      <x:c r="J317" s="73" t="n">
        <x:v>28</x:v>
      </x:c>
      <x:c r="K317" s="73" t="s">
        <x:v>137</x:v>
      </x:c>
      <x:c r="L317" s="73" t="n">
        <x:v>2020</x:v>
      </x:c>
      <x:c r="M317" s="73" t="n">
        <x:v>9</x:v>
      </x:c>
      <x:c r="N317" s="73" t="n">
        <x:v>3</x:v>
      </x:c>
      <x:c r="O317" s="73" t="n">
        <x:v>12</x:v>
      </x:c>
    </x:row>
    <x:row r="318" ht="15" hidden="0">
      <x:c r="A318" s="73" t="n">
        <x:v>317</x:v>
      </x:c>
      <x:c r="B318" s="73" t="n">
        <x:v>321</x:v>
      </x:c>
      <x:c r="C318" s="73" t="s">
        <x:v>1347</x:v>
      </x:c>
      <x:c r="D318" s="73" t="s">
        <x:v>1306</x:v>
      </x:c>
      <x:c r="E318" s="73" t="s">
        <x:v>1348</x:v>
      </x:c>
      <x:c r="F318" s="73" t="s">
        <x:v>1349</x:v>
      </x:c>
      <x:c r="G318" s="73" t="s">
        <x:v>1121</x:v>
      </x:c>
      <x:c r="H318" s="73" t="s">
        <x:v>1350</x:v>
      </x:c>
      <x:c r="I318" s="73" t="n">
        <x:v>20</x:v>
      </x:c>
      <x:c r="J318" s="73" t="n">
        <x:v>40</x:v>
      </x:c>
      <x:c r="K318" s="73" t="s">
        <x:v>123</x:v>
      </x:c>
      <x:c r="L318" s="73" t="n">
        <x:v>2021</x:v>
      </x:c>
      <x:c r="M318" s="73" t="n">
        <x:v>2</x:v>
      </x:c>
      <x:c r="N318" s="73" t="n">
        <x:v>10</x:v>
      </x:c>
      <x:c r="O318" s="73" t="n">
        <x:v>19</x:v>
      </x:c>
    </x:row>
    <x:row r="319" ht="15" hidden="0">
      <x:c r="A319" s="73" t="n">
        <x:v>318</x:v>
      </x:c>
      <x:c r="B319" s="73" t="n">
        <x:v>322</x:v>
      </x:c>
      <x:c r="C319" s="73" t="s">
        <x:v>1351</x:v>
      </x:c>
      <x:c r="D319" s="73" t="s">
        <x:v>1311</x:v>
      </x:c>
      <x:c r="E319" s="73" t="s">
        <x:v>1352</x:v>
      </x:c>
      <x:c r="F319" s="73" t="s">
        <x:v>1353</x:v>
      </x:c>
      <x:c r="G319" s="73" t="s">
        <x:v>31</x:v>
      </x:c>
      <x:c r="H319" s="73" t="s">
        <x:v>1354</x:v>
      </x:c>
      <x:c r="I319" s="73" t="n">
        <x:v>12</x:v>
      </x:c>
      <x:c r="J319" s="73" t="n">
        <x:v>24</x:v>
      </x:c>
      <x:c r="K319" s="73" t="s">
        <x:v>45</x:v>
      </x:c>
      <x:c r="L319" s="73" t="n">
        <x:v>2018</x:v>
      </x:c>
      <x:c r="M319" s="73" t="n">
        <x:v>8</x:v>
      </x:c>
      <x:c r="N319" s="73" t="n">
        <x:v>18</x:v>
      </x:c>
      <x:c r="O319" s="73" t="n">
        <x:v>14</x:v>
      </x:c>
    </x:row>
    <x:row r="320" ht="15" hidden="0">
      <x:c r="A320" s="73" t="n">
        <x:v>319</x:v>
      </x:c>
      <x:c r="B320" s="73" t="n">
        <x:v>323</x:v>
      </x:c>
      <x:c r="C320" s="73" t="s">
        <x:v>1355</x:v>
      </x:c>
      <x:c r="D320" s="73" t="s">
        <x:v>1257</x:v>
      </x:c>
      <x:c r="E320" s="73" t="s">
        <x:v>1356</x:v>
      </x:c>
      <x:c r="F320" s="73" t="s">
        <x:v>1357</x:v>
      </x:c>
      <x:c r="G320" s="73" t="s">
        <x:v>37</x:v>
      </x:c>
      <x:c r="H320" s="73" t="s">
        <x:v>1358</x:v>
      </x:c>
      <x:c r="I320" s="73" t="n">
        <x:v>8</x:v>
      </x:c>
      <x:c r="J320" s="73" t="n">
        <x:v>16</x:v>
      </x:c>
      <x:c r="K320" s="73" t="s">
        <x:v>155</x:v>
      </x:c>
      <x:c r="L320" s="73" t="n">
        <x:v>2022</x:v>
      </x:c>
      <x:c r="M320" s="73" t="n">
        <x:v>2</x:v>
      </x:c>
      <x:c r="N320" s="73" t="n">
        <x:v>28</x:v>
      </x:c>
      <x:c r="O320" s="73" t="n">
        <x:v>21</x:v>
      </x:c>
    </x:row>
    <x:row r="321" ht="15" hidden="0">
      <x:c r="A321" s="73" t="n">
        <x:v>320</x:v>
      </x:c>
      <x:c r="B321" s="73" t="n">
        <x:v>324</x:v>
      </x:c>
      <x:c r="C321" s="73" t="s">
        <x:v>1359</x:v>
      </x:c>
      <x:c r="D321" s="73" t="s">
        <x:v>1262</x:v>
      </x:c>
      <x:c r="E321" s="73" t="s">
        <x:v>1360</x:v>
      </x:c>
      <x:c r="F321" s="73" t="s">
        <x:v>1361</x:v>
      </x:c>
      <x:c r="G321" s="73" t="s">
        <x:v>1121</x:v>
      </x:c>
      <x:c r="H321" s="73" t="s">
        <x:v>1362</x:v>
      </x:c>
      <x:c r="I321" s="73" t="n">
        <x:v>15</x:v>
      </x:c>
      <x:c r="J321" s="73" t="n">
        <x:v>30</x:v>
      </x:c>
      <x:c r="K321" s="73" t="s">
        <x:v>137</x:v>
      </x:c>
      <x:c r="L321" s="73" t="n">
        <x:v>2019</x:v>
      </x:c>
      <x:c r="M321" s="73" t="n">
        <x:v>10</x:v>
      </x:c>
      <x:c r="N321" s="73" t="n">
        <x:v>15</x:v>
      </x:c>
      <x:c r="O321" s="73" t="n">
        <x:v>10</x:v>
      </x:c>
    </x:row>
    <x:row r="322" ht="15" hidden="0">
      <x:c r="A322" s="73" t="n">
        <x:v>321</x:v>
      </x:c>
      <x:c r="B322" s="73" t="n">
        <x:v>325</x:v>
      </x:c>
      <x:c r="C322" s="73" t="s">
        <x:v>1363</x:v>
      </x:c>
      <x:c r="D322" s="73" t="s">
        <x:v>828</x:v>
      </x:c>
      <x:c r="E322" s="73" t="s">
        <x:v>1364</x:v>
      </x:c>
      <x:c r="F322" s="73" t="s">
        <x:v>1365</x:v>
      </x:c>
      <x:c r="G322" s="73" t="s">
        <x:v>31</x:v>
      </x:c>
      <x:c r="H322" s="73" t="s">
        <x:v>1366</x:v>
      </x:c>
      <x:c r="I322" s="73" t="n">
        <x:v>18</x:v>
      </x:c>
      <x:c r="J322" s="73" t="n">
        <x:v>36</x:v>
      </x:c>
      <x:c r="K322" s="73" t="s">
        <x:v>123</x:v>
      </x:c>
      <x:c r="L322" s="73" t="n">
        <x:v>2017</x:v>
      </x:c>
      <x:c r="M322" s="73" t="n">
        <x:v>12</x:v>
      </x:c>
      <x:c r="N322" s="73" t="n">
        <x:v>1</x:v>
      </x:c>
      <x:c r="O322" s="73" t="n">
        <x:v>18</x:v>
      </x:c>
    </x:row>
    <x:row r="323" ht="15" hidden="0">
      <x:c r="A323" s="73" t="n">
        <x:v>322</x:v>
      </x:c>
      <x:c r="B323" s="73" t="n">
        <x:v>326</x:v>
      </x:c>
      <x:c r="C323" s="73" t="s">
        <x:v>1367</x:v>
      </x:c>
      <x:c r="D323" s="73" t="s">
        <x:v>1271</x:v>
      </x:c>
      <x:c r="E323" s="73" t="s">
        <x:v>1368</x:v>
      </x:c>
      <x:c r="F323" s="73" t="s">
        <x:v>1369</x:v>
      </x:c>
      <x:c r="G323" s="73" t="s">
        <x:v>37</x:v>
      </x:c>
      <x:c r="H323" s="73" t="s">
        <x:v>1370</x:v>
      </x:c>
      <x:c r="I323" s="73" t="n">
        <x:v>10</x:v>
      </x:c>
      <x:c r="J323" s="73" t="n">
        <x:v>20</x:v>
      </x:c>
      <x:c r="K323" s="73" t="s">
        <x:v>45</x:v>
      </x:c>
      <x:c r="L323" s="73" t="n">
        <x:v>2020</x:v>
      </x:c>
      <x:c r="M323" s="73" t="n">
        <x:v>4</x:v>
      </x:c>
      <x:c r="N323" s="73" t="n">
        <x:v>18</x:v>
      </x:c>
      <x:c r="O323" s="73" t="n">
        <x:v>16</x:v>
      </x:c>
    </x:row>
    <x:row r="324" ht="15" hidden="0">
      <x:c r="A324" s="73" t="n">
        <x:v>323</x:v>
      </x:c>
      <x:c r="B324" s="73" t="n">
        <x:v>327</x:v>
      </x:c>
      <x:c r="C324" s="73" t="s">
        <x:v>1371</x:v>
      </x:c>
      <x:c r="D324" s="73" t="s">
        <x:v>1276</x:v>
      </x:c>
      <x:c r="E324" s="73" t="s">
        <x:v>1372</x:v>
      </x:c>
      <x:c r="F324" s="73" t="s">
        <x:v>1278</x:v>
      </x:c>
      <x:c r="G324" s="73" t="s">
        <x:v>1121</x:v>
      </x:c>
      <x:c r="H324" s="73" t="s">
        <x:v>1373</x:v>
      </x:c>
      <x:c r="I324" s="73" t="n">
        <x:v>18</x:v>
      </x:c>
      <x:c r="J324" s="73" t="n">
        <x:v>36</x:v>
      </x:c>
      <x:c r="K324" s="73" t="s">
        <x:v>209</x:v>
      </x:c>
      <x:c r="L324" s="73" t="n">
        <x:v>2023</x:v>
      </x:c>
      <x:c r="M324" s="73" t="n">
        <x:v>1</x:v>
      </x:c>
      <x:c r="N324" s="73" t="n">
        <x:v>7</x:v>
      </x:c>
      <x:c r="O324" s="73" t="n">
        <x:v>3</x:v>
      </x:c>
    </x:row>
    <x:row r="325" ht="15" hidden="0">
      <x:c r="A325" s="73" t="n">
        <x:v>324</x:v>
      </x:c>
      <x:c r="B325" s="73" t="n">
        <x:v>328</x:v>
      </x:c>
      <x:c r="C325" s="73" t="s">
        <x:v>1374</x:v>
      </x:c>
      <x:c r="D325" s="73" t="s">
        <x:v>1281</x:v>
      </x:c>
      <x:c r="E325" s="73" t="s">
        <x:v>1375</x:v>
      </x:c>
      <x:c r="F325" s="73" t="s">
        <x:v>1242</x:v>
      </x:c>
      <x:c r="G325" s="73" t="s">
        <x:v>31</x:v>
      </x:c>
      <x:c r="H325" s="73" t="s">
        <x:v>1376</x:v>
      </x:c>
      <x:c r="I325" s="73" t="n">
        <x:v>14</x:v>
      </x:c>
      <x:c r="J325" s="73" t="n">
        <x:v>28</x:v>
      </x:c>
      <x:c r="K325" s="73" t="s">
        <x:v>155</x:v>
      </x:c>
      <x:c r="L325" s="73" t="n">
        <x:v>2021</x:v>
      </x:c>
      <x:c r="M325" s="73" t="n">
        <x:v>6</x:v>
      </x:c>
      <x:c r="N325" s="73" t="n">
        <x:v>10</x:v>
      </x:c>
      <x:c r="O325" s="73" t="n">
        <x:v>10</x:v>
      </x:c>
    </x:row>
    <x:row r="326" ht="15" hidden="0">
      <x:c r="A326" s="73" t="n">
        <x:v>325</x:v>
      </x:c>
      <x:c r="B326" s="73" t="n">
        <x:v>329</x:v>
      </x:c>
      <x:c r="C326" s="73" t="s">
        <x:v>1377</x:v>
      </x:c>
      <x:c r="D326" s="73" t="s">
        <x:v>1286</x:v>
      </x:c>
      <x:c r="E326" s="73" t="s">
        <x:v>1378</x:v>
      </x:c>
      <x:c r="F326" s="73" t="s">
        <x:v>1379</x:v>
      </x:c>
      <x:c r="G326" s="73" t="s">
        <x:v>37</x:v>
      </x:c>
      <x:c r="H326" s="73" t="s">
        <x:v>1380</x:v>
      </x:c>
      <x:c r="I326" s="73" t="n">
        <x:v>22</x:v>
      </x:c>
      <x:c r="J326" s="73" t="n">
        <x:v>44</x:v>
      </x:c>
      <x:c r="K326" s="73" t="s">
        <x:v>123</x:v>
      </x:c>
      <x:c r="L326" s="73" t="n">
        <x:v>2020</x:v>
      </x:c>
      <x:c r="M326" s="73" t="n">
        <x:v>2</x:v>
      </x:c>
      <x:c r="N326" s="73" t="n">
        <x:v>22</x:v>
      </x:c>
      <x:c r="O326" s="73" t="n">
        <x:v>15</x:v>
      </x:c>
    </x:row>
    <x:row r="327" ht="15" hidden="0">
      <x:c r="A327" s="73" t="n">
        <x:v>326</x:v>
      </x:c>
      <x:c r="B327" s="73" t="n">
        <x:v>330</x:v>
      </x:c>
      <x:c r="C327" s="73" t="s">
        <x:v>1381</x:v>
      </x:c>
      <x:c r="D327" s="73" t="s">
        <x:v>1291</x:v>
      </x:c>
      <x:c r="E327" s="73" t="s">
        <x:v>1382</x:v>
      </x:c>
      <x:c r="F327" s="73" t="s">
        <x:v>1383</x:v>
      </x:c>
      <x:c r="G327" s="73" t="s">
        <x:v>1121</x:v>
      </x:c>
      <x:c r="H327" s="73" t="s">
        <x:v>1384</x:v>
      </x:c>
      <x:c r="I327" s="73" t="n">
        <x:v>16</x:v>
      </x:c>
      <x:c r="J327" s="73" t="n">
        <x:v>32</x:v>
      </x:c>
      <x:c r="K327" s="73" t="s">
        <x:v>137</x:v>
      </x:c>
      <x:c r="L327" s="73" t="n">
        <x:v>2018</x:v>
      </x:c>
      <x:c r="M327" s="73" t="n">
        <x:v>3</x:v>
      </x:c>
      <x:c r="N327" s="73" t="n">
        <x:v>17</x:v>
      </x:c>
      <x:c r="O327" s="73" t="n">
        <x:v>14</x:v>
      </x:c>
    </x:row>
    <x:row r="328" ht="15" hidden="0">
      <x:c r="A328" s="73" t="n">
        <x:v>327</x:v>
      </x:c>
      <x:c r="B328" s="73" t="n">
        <x:v>331</x:v>
      </x:c>
      <x:c r="C328" s="73" t="s">
        <x:v>1385</x:v>
      </x:c>
      <x:c r="D328" s="73" t="s">
        <x:v>1296</x:v>
      </x:c>
      <x:c r="E328" s="73" t="s">
        <x:v>1386</x:v>
      </x:c>
      <x:c r="F328" s="73" t="s">
        <x:v>1387</x:v>
      </x:c>
      <x:c r="G328" s="73" t="s">
        <x:v>31</x:v>
      </x:c>
      <x:c r="H328" s="73" t="s">
        <x:v>1388</x:v>
      </x:c>
      <x:c r="I328" s="73" t="n">
        <x:v>25</x:v>
      </x:c>
      <x:c r="J328" s="73" t="n">
        <x:v>50</x:v>
      </x:c>
      <x:c r="K328" s="73" t="s">
        <x:v>45</x:v>
      </x:c>
      <x:c r="L328" s="73" t="n">
        <x:v>2022</x:v>
      </x:c>
      <x:c r="M328" s="73" t="n">
        <x:v>10</x:v>
      </x:c>
      <x:c r="N328" s="73" t="n">
        <x:v>28</x:v>
      </x:c>
      <x:c r="O328" s="73" t="n">
        <x:v>11</x:v>
      </x:c>
    </x:row>
    <x:row r="329" ht="15" hidden="0">
      <x:c r="A329" s="73" t="n">
        <x:v>328</x:v>
      </x:c>
      <x:c r="B329" s="73" t="n">
        <x:v>332</x:v>
      </x:c>
      <x:c r="C329" s="73" t="s">
        <x:v>1389</x:v>
      </x:c>
      <x:c r="D329" s="73" t="s">
        <x:v>1301</x:v>
      </x:c>
      <x:c r="E329" s="73" t="s">
        <x:v>1390</x:v>
      </x:c>
      <x:c r="F329" s="73" t="s">
        <x:v>1391</x:v>
      </x:c>
      <x:c r="G329" s="73" t="s">
        <x:v>37</x:v>
      </x:c>
      <x:c r="H329" s="73" t="s">
        <x:v>1392</x:v>
      </x:c>
      <x:c r="I329" s="73" t="n">
        <x:v>14</x:v>
      </x:c>
      <x:c r="J329" s="73" t="n">
        <x:v>28</x:v>
      </x:c>
      <x:c r="K329" s="73" t="s">
        <x:v>209</x:v>
      </x:c>
      <x:c r="L329" s="73" t="n">
        <x:v>2020</x:v>
      </x:c>
      <x:c r="M329" s="73" t="n">
        <x:v>11</x:v>
      </x:c>
      <x:c r="N329" s="73" t="n">
        <x:v>1</x:v>
      </x:c>
      <x:c r="O329" s="73" t="n">
        <x:v>12</x:v>
      </x:c>
    </x:row>
    <x:row r="330" ht="15" hidden="0">
      <x:c r="A330" s="73" t="n">
        <x:v>329</x:v>
      </x:c>
      <x:c r="B330" s="73" t="n">
        <x:v>333</x:v>
      </x:c>
      <x:c r="C330" s="73" t="s">
        <x:v>1393</x:v>
      </x:c>
      <x:c r="D330" s="73" t="s">
        <x:v>1306</x:v>
      </x:c>
      <x:c r="E330" s="73" t="s">
        <x:v>1394</x:v>
      </x:c>
      <x:c r="F330" s="73" t="s">
        <x:v>1395</x:v>
      </x:c>
      <x:c r="G330" s="73" t="s">
        <x:v>1121</x:v>
      </x:c>
      <x:c r="H330" s="73" t="s">
        <x:v>1396</x:v>
      </x:c>
      <x:c r="I330" s="73" t="n">
        <x:v>20</x:v>
      </x:c>
      <x:c r="J330" s="73" t="n">
        <x:v>40</x:v>
      </x:c>
      <x:c r="K330" s="73" t="s">
        <x:v>123</x:v>
      </x:c>
      <x:c r="L330" s="73" t="n">
        <x:v>2021</x:v>
      </x:c>
      <x:c r="M330" s="73" t="n">
        <x:v>1</x:v>
      </x:c>
      <x:c r="N330" s="73" t="n">
        <x:v>15</x:v>
      </x:c>
      <x:c r="O330" s="73" t="n">
        <x:v>22</x:v>
      </x:c>
    </x:row>
    <x:row r="331" ht="15" hidden="0">
      <x:c r="A331" s="73" t="n">
        <x:v>330</x:v>
      </x:c>
      <x:c r="B331" s="73" t="n">
        <x:v>334</x:v>
      </x:c>
      <x:c r="C331" s="73" t="s">
        <x:v>1351</x:v>
      </x:c>
      <x:c r="D331" s="73" t="s">
        <x:v>1311</x:v>
      </x:c>
      <x:c r="E331" s="73" t="s">
        <x:v>1397</x:v>
      </x:c>
      <x:c r="F331" s="73" t="s">
        <x:v>1313</x:v>
      </x:c>
      <x:c r="G331" s="73" t="s">
        <x:v>31</x:v>
      </x:c>
      <x:c r="H331" s="73" t="s">
        <x:v>1354</x:v>
      </x:c>
      <x:c r="I331" s="73" t="n">
        <x:v>12</x:v>
      </x:c>
      <x:c r="J331" s="73" t="n">
        <x:v>24</x:v>
      </x:c>
      <x:c r="K331" s="73" t="s">
        <x:v>45</x:v>
      </x:c>
      <x:c r="L331" s="73" t="n">
        <x:v>2018</x:v>
      </x:c>
      <x:c r="M331" s="73" t="n">
        <x:v>8</x:v>
      </x:c>
      <x:c r="N331" s="73" t="n">
        <x:v>18</x:v>
      </x:c>
      <x:c r="O331" s="73" t="n">
        <x:v>14</x:v>
      </x:c>
    </x:row>
    <x:row r="332" ht="15" hidden="0">
      <x:c r="A332" s="73" t="n">
        <x:v>331</x:v>
      </x:c>
      <x:c r="B332" s="73" t="n">
        <x:v>335</x:v>
      </x:c>
      <x:c r="C332" s="73" t="s">
        <x:v>1315</x:v>
      </x:c>
      <x:c r="D332" s="73" t="s">
        <x:v>1301</x:v>
      </x:c>
      <x:c r="E332" s="73" t="s">
        <x:v>1316</x:v>
      </x:c>
      <x:c r="F332" s="73" t="s">
        <x:v>1317</x:v>
      </x:c>
      <x:c r="G332" s="73" t="s">
        <x:v>1121</x:v>
      </x:c>
      <x:c r="H332" s="73" t="s">
        <x:v>1318</x:v>
      </x:c>
      <x:c r="I332" s="73" t="n">
        <x:v>15</x:v>
      </x:c>
      <x:c r="J332" s="73" t="n">
        <x:v>30</x:v>
      </x:c>
      <x:c r="K332" s="73" t="s">
        <x:v>155</x:v>
      </x:c>
      <x:c r="L332" s="73" t="n">
        <x:v>2022</x:v>
      </x:c>
      <x:c r="M332" s="73" t="n">
        <x:v>1</x:v>
      </x:c>
      <x:c r="N332" s="73" t="n">
        <x:v>7</x:v>
      </x:c>
      <x:c r="O332" s="73" t="n">
        <x:v>11</x:v>
      </x:c>
    </x:row>
    <x:row r="333" ht="15" hidden="0">
      <x:c r="A333" s="73" t="n">
        <x:v>332</x:v>
      </x:c>
      <x:c r="B333" s="73" t="n">
        <x:v>336</x:v>
      </x:c>
      <x:c r="C333" s="73" t="s">
        <x:v>1319</x:v>
      </x:c>
      <x:c r="D333" s="73" t="s">
        <x:v>828</x:v>
      </x:c>
      <x:c r="E333" s="73" t="s">
        <x:v>1320</x:v>
      </x:c>
      <x:c r="F333" s="73" t="s">
        <x:v>1321</x:v>
      </x:c>
      <x:c r="G333" s="73" t="s">
        <x:v>37</x:v>
      </x:c>
      <x:c r="H333" s="73" t="s">
        <x:v>1322</x:v>
      </x:c>
      <x:c r="I333" s="73" t="n">
        <x:v>18</x:v>
      </x:c>
      <x:c r="J333" s="73" t="n">
        <x:v>36</x:v>
      </x:c>
      <x:c r="K333" s="73" t="s">
        <x:v>45</x:v>
      </x:c>
      <x:c r="L333" s="73" t="n">
        <x:v>2019</x:v>
      </x:c>
      <x:c r="M333" s="73" t="n">
        <x:v>9</x:v>
      </x:c>
      <x:c r="N333" s="73" t="n">
        <x:v>19</x:v>
      </x:c>
      <x:c r="O333" s="73" t="n">
        <x:v>3</x:v>
      </x:c>
    </x:row>
    <x:row r="334" ht="15" hidden="0">
      <x:c r="A334" s="73" t="n">
        <x:v>333</x:v>
      </x:c>
      <x:c r="B334" s="73" t="n">
        <x:v>337</x:v>
      </x:c>
      <x:c r="C334" s="73" t="s">
        <x:v>1398</x:v>
      </x:c>
      <x:c r="D334" s="73" t="s">
        <x:v>1399</x:v>
      </x:c>
      <x:c r="E334" s="73" t="s">
        <x:v>1400</x:v>
      </x:c>
      <x:c r="F334" s="73" t="s">
        <x:v>1401</x:v>
      </x:c>
      <x:c r="G334" s="73" t="s">
        <x:v>31</x:v>
      </x:c>
      <x:c r="H334" s="73" t="s">
        <x:v>1402</x:v>
      </x:c>
      <x:c r="I334" s="73" t="n">
        <x:v>28</x:v>
      </x:c>
      <x:c r="J334" s="73" t="n">
        <x:v>55</x:v>
      </x:c>
      <x:c r="K334" s="73" t="s">
        <x:v>1403</x:v>
      </x:c>
      <x:c r="L334" s="73" t="n">
        <x:v>2022</x:v>
      </x:c>
      <x:c r="M334" s="73" t="n">
        <x:v>4</x:v>
      </x:c>
      <x:c r="N334" s="73" t="n">
        <x:v>3</x:v>
      </x:c>
      <x:c r="O334" s="73" t="n">
        <x:v>6</x:v>
      </x:c>
    </x:row>
    <x:row r="335" ht="15" hidden="0">
      <x:c r="A335" s="73" t="n">
        <x:v>334</x:v>
      </x:c>
      <x:c r="B335" s="73" t="n">
        <x:v>338</x:v>
      </x:c>
      <x:c r="C335" s="73" t="s">
        <x:v>1404</x:v>
      </x:c>
      <x:c r="D335" s="73" t="s">
        <x:v>1405</x:v>
      </x:c>
      <x:c r="E335" s="73" t="s">
        <x:v>1406</x:v>
      </x:c>
      <x:c r="F335" s="73" t="s">
        <x:v>1407</x:v>
      </x:c>
      <x:c r="G335" s="73" t="s">
        <x:v>19</x:v>
      </x:c>
      <x:c r="H335" s="73" t="s">
        <x:v>1408</x:v>
      </x:c>
      <x:c r="I335" s="73" t="n">
        <x:v>15</x:v>
      </x:c>
      <x:c r="J335" s="73" t="n">
        <x:v>30</x:v>
      </x:c>
      <x:c r="K335" s="73" t="s">
        <x:v>1409</x:v>
      </x:c>
      <x:c r="L335" s="73" t="n">
        <x:v>2023</x:v>
      </x:c>
      <x:c r="M335" s="73" t="n">
        <x:v>10</x:v>
      </x:c>
      <x:c r="N335" s="73" t="n">
        <x:v>12</x:v>
      </x:c>
      <x:c r="O335" s="73" t="n">
        <x:v>10</x:v>
      </x:c>
    </x:row>
    <x:row r="336" ht="15" hidden="0">
      <x:c r="A336" s="73" t="n">
        <x:v>335</x:v>
      </x:c>
      <x:c r="B336" s="73" t="n">
        <x:v>339</x:v>
      </x:c>
      <x:c r="C336" s="73" t="s">
        <x:v>1410</x:v>
      </x:c>
      <x:c r="D336" s="73" t="s">
        <x:v>1411</x:v>
      </x:c>
      <x:c r="E336" s="73" t="s">
        <x:v>1412</x:v>
      </x:c>
      <x:c r="F336" s="73" t="s">
        <x:v>1413</x:v>
      </x:c>
      <x:c r="G336" s="73" t="s">
        <x:v>37</x:v>
      </x:c>
      <x:c r="H336" s="73" t="s">
        <x:v>1414</x:v>
      </x:c>
      <x:c r="I336" s="73" t="n">
        <x:v>22</x:v>
      </x:c>
      <x:c r="J336" s="73" t="n">
        <x:v>45</x:v>
      </x:c>
      <x:c r="K336" s="73" t="s">
        <x:v>1415</x:v>
      </x:c>
      <x:c r="L336" s="73" t="n">
        <x:v>2019</x:v>
      </x:c>
      <x:c r="M336" s="73" t="n">
        <x:v>6</x:v>
      </x:c>
      <x:c r="N336" s="73" t="n">
        <x:v>28</x:v>
      </x:c>
      <x:c r="O336" s="73" t="n">
        <x:v>19</x:v>
      </x:c>
    </x:row>
    <x:row r="337" ht="15" hidden="0">
      <x:c r="A337" s="73" t="n">
        <x:v>336</x:v>
      </x:c>
      <x:c r="B337" s="73" t="n">
        <x:v>340</x:v>
      </x:c>
      <x:c r="C337" s="73" t="s">
        <x:v>1416</x:v>
      </x:c>
      <x:c r="D337" s="73" t="s">
        <x:v>1417</x:v>
      </x:c>
      <x:c r="E337" s="73" t="s">
        <x:v>1418</x:v>
      </x:c>
      <x:c r="F337" s="73" t="s">
        <x:v>1419</x:v>
      </x:c>
      <x:c r="G337" s="73" t="s">
        <x:v>31</x:v>
      </x:c>
      <x:c r="H337" s="73" t="s">
        <x:v>1420</x:v>
      </x:c>
      <x:c r="I337" s="73" t="n">
        <x:v>40</x:v>
      </x:c>
      <x:c r="J337" s="73" t="n">
        <x:v>80</x:v>
      </x:c>
      <x:c r="K337" s="73" t="s">
        <x:v>1421</x:v>
      </x:c>
      <x:c r="L337" s="73" t="n">
        <x:v>2020</x:v>
      </x:c>
      <x:c r="M337" s="73" t="n">
        <x:v>9</x:v>
      </x:c>
      <x:c r="N337" s="73" t="n">
        <x:v>15</x:v>
      </x:c>
      <x:c r="O337" s="73" t="n">
        <x:v>14</x:v>
      </x:c>
    </x:row>
    <x:row r="338" ht="15" hidden="0">
      <x:c r="A338" s="73" t="n">
        <x:v>337</x:v>
      </x:c>
      <x:c r="B338" s="73" t="n">
        <x:v>341</x:v>
      </x:c>
      <x:c r="C338" s="73" t="s">
        <x:v>1422</x:v>
      </x:c>
      <x:c r="D338" s="73" t="s">
        <x:v>1423</x:v>
      </x:c>
      <x:c r="E338" s="73" t="s">
        <x:v>1424</x:v>
      </x:c>
      <x:c r="F338" s="73" t="s">
        <x:v>1425</x:v>
      </x:c>
      <x:c r="G338" s="73" t="s">
        <x:v>19</x:v>
      </x:c>
      <x:c r="H338" s="73" t="s">
        <x:v>1426</x:v>
      </x:c>
      <x:c r="I338" s="73" t="n">
        <x:v>18</x:v>
      </x:c>
      <x:c r="J338" s="73" t="n">
        <x:v>35</x:v>
      </x:c>
      <x:c r="K338" s="73" t="s">
        <x:v>1427</x:v>
      </x:c>
      <x:c r="L338" s="73" t="n">
        <x:v>2017</x:v>
      </x:c>
      <x:c r="M338" s="73" t="n">
        <x:v>11</x:v>
      </x:c>
      <x:c r="N338" s="73" t="n">
        <x:v>8</x:v>
      </x:c>
      <x:c r="O338" s="73" t="n">
        <x:v>21</x:v>
      </x:c>
    </x:row>
    <x:row r="339" ht="15" hidden="0">
      <x:c r="A339" s="73" t="n">
        <x:v>338</x:v>
      </x:c>
      <x:c r="B339" s="73" t="n">
        <x:v>342</x:v>
      </x:c>
      <x:c r="C339" s="73" t="s">
        <x:v>1428</x:v>
      </x:c>
      <x:c r="D339" s="73" t="s">
        <x:v>1429</x:v>
      </x:c>
      <x:c r="E339" s="73" t="s">
        <x:v>1430</x:v>
      </x:c>
      <x:c r="F339" s="73" t="s">
        <x:v>1431</x:v>
      </x:c>
      <x:c r="G339" s="73" t="s">
        <x:v>37</x:v>
      </x:c>
      <x:c r="H339" s="73" t="s">
        <x:v>1432</x:v>
      </x:c>
      <x:c r="I339" s="73" t="n">
        <x:v>25</x:v>
      </x:c>
      <x:c r="J339" s="73" t="n">
        <x:v>50</x:v>
      </x:c>
      <x:c r="K339" s="73" t="s">
        <x:v>1403</x:v>
      </x:c>
      <x:c r="L339" s="73" t="n">
        <x:v>2021</x:v>
      </x:c>
      <x:c r="M339" s="73" t="n">
        <x:v>5</x:v>
      </x:c>
      <x:c r="N339" s="73" t="n">
        <x:v>20</x:v>
      </x:c>
      <x:c r="O339" s="73" t="n">
        <x:v>17</x:v>
      </x:c>
    </x:row>
    <x:row r="340" ht="15" hidden="0">
      <x:c r="A340" s="73" t="n">
        <x:v>339</x:v>
      </x:c>
      <x:c r="B340" s="73" t="n">
        <x:v>343</x:v>
      </x:c>
      <x:c r="C340" s="73" t="s">
        <x:v>1433</x:v>
      </x:c>
      <x:c r="D340" s="73" t="s">
        <x:v>495</x:v>
      </x:c>
      <x:c r="E340" s="73" t="s">
        <x:v>1434</x:v>
      </x:c>
      <x:c r="F340" s="73" t="s">
        <x:v>359</x:v>
      </x:c>
      <x:c r="G340" s="73" t="s">
        <x:v>31</x:v>
      </x:c>
      <x:c r="H340" s="73" t="s">
        <x:v>1435</x:v>
      </x:c>
      <x:c r="I340" s="73" t="n">
        <x:v>30</x:v>
      </x:c>
      <x:c r="J340" s="73" t="n">
        <x:v>60</x:v>
      </x:c>
      <x:c r="K340" s="73" t="s">
        <x:v>1436</x:v>
      </x:c>
      <x:c r="L340" s="73" t="n">
        <x:v>2023</x:v>
      </x:c>
      <x:c r="M340" s="73" t="n">
        <x:v>1</x:v>
      </x:c>
      <x:c r="N340" s="73" t="n">
        <x:v>10</x:v>
      </x:c>
      <x:c r="O340" s="73" t="n">
        <x:v>12</x:v>
      </x:c>
    </x:row>
    <x:row r="341" ht="15" hidden="0">
      <x:c r="A341" s="73" t="n">
        <x:v>340</x:v>
      </x:c>
      <x:c r="B341" s="73" t="n">
        <x:v>344</x:v>
      </x:c>
      <x:c r="C341" s="73" t="s">
        <x:v>1437</x:v>
      </x:c>
      <x:c r="D341" s="73" t="s">
        <x:v>1438</x:v>
      </x:c>
      <x:c r="E341" s="73" t="s">
        <x:v>1439</x:v>
      </x:c>
      <x:c r="F341" s="73" t="s">
        <x:v>1440</x:v>
      </x:c>
      <x:c r="G341" s="73" t="s">
        <x:v>19</x:v>
      </x:c>
      <x:c r="H341" s="73" t="s">
        <x:v>1441</x:v>
      </x:c>
      <x:c r="I341" s="73" t="n">
        <x:v>35</x:v>
      </x:c>
      <x:c r="J341" s="73" t="n">
        <x:v>70</x:v>
      </x:c>
      <x:c r="K341" s="73" t="s">
        <x:v>1442</x:v>
      </x:c>
      <x:c r="L341" s="73" t="n">
        <x:v>2018</x:v>
      </x:c>
      <x:c r="M341" s="73" t="n">
        <x:v>12</x:v>
      </x:c>
      <x:c r="N341" s="73" t="n">
        <x:v>5</x:v>
      </x:c>
      <x:c r="O341" s="73" t="n">
        <x:v>8</x:v>
      </x:c>
    </x:row>
    <x:row r="342" ht="15" hidden="0">
      <x:c r="A342" s="73" t="n">
        <x:v>341</x:v>
      </x:c>
      <x:c r="B342" s="73" t="n">
        <x:v>345</x:v>
      </x:c>
      <x:c r="C342" s="73" t="s">
        <x:v>1443</x:v>
      </x:c>
      <x:c r="D342" s="73" t="s">
        <x:v>1444</x:v>
      </x:c>
      <x:c r="E342" s="73" t="s">
        <x:v>1445</x:v>
      </x:c>
      <x:c r="F342" s="73" t="s">
        <x:v>1446</x:v>
      </x:c>
      <x:c r="G342" s="73" t="s">
        <x:v>31</x:v>
      </x:c>
      <x:c r="H342" s="73" t="s">
        <x:v>1447</x:v>
      </x:c>
      <x:c r="I342" s="73" t="n">
        <x:v>20</x:v>
      </x:c>
      <x:c r="J342" s="73" t="n">
        <x:v>40</x:v>
      </x:c>
      <x:c r="K342" s="73" t="s">
        <x:v>1448</x:v>
      </x:c>
      <x:c r="L342" s="73" t="n">
        <x:v>2020</x:v>
      </x:c>
      <x:c r="M342" s="73" t="n">
        <x:v>3</x:v>
      </x:c>
      <x:c r="N342" s="73" t="n">
        <x:v>15</x:v>
      </x:c>
      <x:c r="O342" s="73" t="n">
        <x:v>18</x:v>
      </x:c>
    </x:row>
    <x:row r="343" ht="15" hidden="0">
      <x:c r="A343" s="73" t="n">
        <x:v>342</x:v>
      </x:c>
      <x:c r="B343" s="73" t="n">
        <x:v>346</x:v>
      </x:c>
      <x:c r="C343" s="73" t="s">
        <x:v>1449</x:v>
      </x:c>
      <x:c r="D343" s="73" t="s">
        <x:v>1450</x:v>
      </x:c>
      <x:c r="E343" s="73" t="s">
        <x:v>1451</x:v>
      </x:c>
      <x:c r="F343" s="73" t="s">
        <x:v>1452</x:v>
      </x:c>
      <x:c r="G343" s="73" t="s">
        <x:v>37</x:v>
      </x:c>
      <x:c r="H343" s="73" t="s">
        <x:v>1453</x:v>
      </x:c>
      <x:c r="I343" s="73" t="n">
        <x:v>18</x:v>
      </x:c>
      <x:c r="J343" s="73" t="n">
        <x:v>35</x:v>
      </x:c>
      <x:c r="K343" s="73" t="s">
        <x:v>1454</x:v>
      </x:c>
      <x:c r="L343" s="73" t="n">
        <x:v>2016</x:v>
      </x:c>
      <x:c r="M343" s="73" t="n">
        <x:v>8</x:v>
      </x:c>
      <x:c r="N343" s="73" t="n">
        <x:v>22</x:v>
      </x:c>
      <x:c r="O343" s="73" t="n">
        <x:v>15</x:v>
      </x:c>
    </x:row>
    <x:row r="344" ht="15" hidden="0">
      <x:c r="A344" s="73" t="n">
        <x:v>343</x:v>
      </x:c>
      <x:c r="B344" s="73" t="n">
        <x:v>347</x:v>
      </x:c>
      <x:c r="C344" s="73" t="s">
        <x:v>1455</x:v>
      </x:c>
      <x:c r="D344" s="73" t="s">
        <x:v>1456</x:v>
      </x:c>
      <x:c r="E344" s="73" t="s">
        <x:v>1457</x:v>
      </x:c>
      <x:c r="F344" s="73" t="s">
        <x:v>1458</x:v>
      </x:c>
      <x:c r="G344" s="73" t="s">
        <x:v>31</x:v>
      </x:c>
      <x:c r="H344" s="73" t="s">
        <x:v>1459</x:v>
      </x:c>
      <x:c r="I344" s="73" t="n">
        <x:v>25</x:v>
      </x:c>
      <x:c r="J344" s="73" t="n">
        <x:v>50</x:v>
      </x:c>
      <x:c r="K344" s="73" t="s">
        <x:v>1403</x:v>
      </x:c>
      <x:c r="L344" s="73" t="n">
        <x:v>2019</x:v>
      </x:c>
      <x:c r="M344" s="73" t="n">
        <x:v>8</x:v>
      </x:c>
      <x:c r="N344" s="73" t="n">
        <x:v>20</x:v>
      </x:c>
      <x:c r="O344" s="73" t="n">
        <x:v>16</x:v>
      </x:c>
    </x:row>
    <x:row r="345" ht="15" hidden="0">
      <x:c r="A345" s="73" t="n">
        <x:v>344</x:v>
      </x:c>
      <x:c r="B345" s="73" t="n">
        <x:v>348</x:v>
      </x:c>
      <x:c r="C345" s="73" t="s">
        <x:v>1460</x:v>
      </x:c>
      <x:c r="D345" s="73" t="s">
        <x:v>1461</x:v>
      </x:c>
      <x:c r="E345" s="73" t="s">
        <x:v>1462</x:v>
      </x:c>
      <x:c r="F345" s="73" t="s">
        <x:v>1463</x:v>
      </x:c>
      <x:c r="G345" s="73" t="s">
        <x:v>19</x:v>
      </x:c>
      <x:c r="H345" s="73" t="s">
        <x:v>1464</x:v>
      </x:c>
      <x:c r="I345" s="73" t="n">
        <x:v>18</x:v>
      </x:c>
      <x:c r="J345" s="73" t="n">
        <x:v>35</x:v>
      </x:c>
      <x:c r="K345" s="73" t="s">
        <x:v>1409</x:v>
      </x:c>
      <x:c r="L345" s="73" t="n">
        <x:v>2021</x:v>
      </x:c>
      <x:c r="M345" s="73" t="n">
        <x:v>12</x:v>
      </x:c>
      <x:c r="N345" s="73" t="n">
        <x:v>8</x:v>
      </x:c>
      <x:c r="O345" s="73" t="n">
        <x:v>19</x:v>
      </x:c>
    </x:row>
    <x:row r="346" ht="15" hidden="0">
      <x:c r="A346" s="73" t="n">
        <x:v>345</x:v>
      </x:c>
      <x:c r="B346" s="73" t="n">
        <x:v>349</x:v>
      </x:c>
      <x:c r="C346" s="73" t="s">
        <x:v>1465</x:v>
      </x:c>
      <x:c r="D346" s="73" t="s">
        <x:v>1466</x:v>
      </x:c>
      <x:c r="E346" s="73" t="s">
        <x:v>1467</x:v>
      </x:c>
      <x:c r="F346" s="73" t="s">
        <x:v>1468</x:v>
      </x:c>
      <x:c r="G346" s="73" t="s">
        <x:v>31</x:v>
      </x:c>
      <x:c r="H346" s="73" t="s">
        <x:v>1469</x:v>
      </x:c>
      <x:c r="I346" s="73" t="n">
        <x:v>30</x:v>
      </x:c>
      <x:c r="J346" s="73" t="n">
        <x:v>60</x:v>
      </x:c>
      <x:c r="K346" s="73" t="s">
        <x:v>1415</x:v>
      </x:c>
      <x:c r="L346" s="73" t="n">
        <x:v>2020</x:v>
      </x:c>
      <x:c r="M346" s="73" t="n">
        <x:v>6</x:v>
      </x:c>
      <x:c r="N346" s="73" t="n">
        <x:v>10</x:v>
      </x:c>
      <x:c r="O346" s="73" t="n">
        <x:v>20</x:v>
      </x:c>
    </x:row>
    <x:row r="347" ht="15" hidden="0">
      <x:c r="A347" s="73" t="n">
        <x:v>346</x:v>
      </x:c>
      <x:c r="B347" s="73" t="n">
        <x:v>350</x:v>
      </x:c>
      <x:c r="C347" s="73" t="s">
        <x:v>1470</x:v>
      </x:c>
      <x:c r="D347" s="73" t="s">
        <x:v>1471</x:v>
      </x:c>
      <x:c r="E347" s="73" t="s">
        <x:v>1472</x:v>
      </x:c>
      <x:c r="F347" s="73" t="s">
        <x:v>1473</x:v>
      </x:c>
      <x:c r="G347" s="73" t="s">
        <x:v>37</x:v>
      </x:c>
      <x:c r="H347" s="73" t="s">
        <x:v>1474</x:v>
      </x:c>
      <x:c r="I347" s="73" t="n">
        <x:v>40</x:v>
      </x:c>
      <x:c r="J347" s="73" t="n">
        <x:v>80</x:v>
      </x:c>
      <x:c r="K347" s="73" t="s">
        <x:v>1427</x:v>
      </x:c>
      <x:c r="L347" s="73" t="n">
        <x:v>2022</x:v>
      </x:c>
      <x:c r="M347" s="73" t="n">
        <x:v>2</x:v>
      </x:c>
      <x:c r="N347" s="73" t="n">
        <x:v>28</x:v>
      </x:c>
      <x:c r="O347" s="73" t="n">
        <x:v>7</x:v>
      </x:c>
    </x:row>
    <x:row r="348" ht="15" hidden="0">
      <x:c r="A348" s="73" t="n">
        <x:v>347</x:v>
      </x:c>
      <x:c r="B348" s="73" t="n">
        <x:v>351</x:v>
      </x:c>
      <x:c r="C348" s="73" t="s">
        <x:v>1475</x:v>
      </x:c>
      <x:c r="D348" s="73" t="s">
        <x:v>535</x:v>
      </x:c>
      <x:c r="E348" s="73" t="s">
        <x:v>1476</x:v>
      </x:c>
      <x:c r="F348" s="73" t="s">
        <x:v>1477</x:v>
      </x:c>
      <x:c r="G348" s="73" t="s">
        <x:v>19</x:v>
      </x:c>
      <x:c r="H348" s="73" t="s">
        <x:v>1478</x:v>
      </x:c>
      <x:c r="I348" s="73" t="n">
        <x:v>22</x:v>
      </x:c>
      <x:c r="J348" s="73" t="n">
        <x:v>45</x:v>
      </x:c>
      <x:c r="K348" s="73" t="s">
        <x:v>1479</x:v>
      </x:c>
      <x:c r="L348" s="73" t="n">
        <x:v>2017</x:v>
      </x:c>
      <x:c r="M348" s="73" t="n">
        <x:v>4</x:v>
      </x:c>
      <x:c r="N348" s="73" t="n">
        <x:v>15</x:v>
      </x:c>
      <x:c r="O348" s="73" t="n">
        <x:v>8</x:v>
      </x:c>
    </x:row>
    <x:row r="349" ht="15" hidden="0">
      <x:c r="A349" s="73" t="n">
        <x:v>348</x:v>
      </x:c>
      <x:c r="B349" s="73" t="n">
        <x:v>352</x:v>
      </x:c>
      <x:c r="C349" s="73" t="s">
        <x:v>1480</x:v>
      </x:c>
      <x:c r="D349" s="73" t="s">
        <x:v>545</x:v>
      </x:c>
      <x:c r="E349" s="73" t="s">
        <x:v>1481</x:v>
      </x:c>
      <x:c r="F349" s="73" t="s">
        <x:v>1482</x:v>
      </x:c>
      <x:c r="G349" s="73" t="s">
        <x:v>31</x:v>
      </x:c>
      <x:c r="H349" s="73" t="s">
        <x:v>1483</x:v>
      </x:c>
      <x:c r="I349" s="73" t="n">
        <x:v>35</x:v>
      </x:c>
      <x:c r="J349" s="73" t="n">
        <x:v>70</x:v>
      </x:c>
      <x:c r="K349" s="73" t="s">
        <x:v>1403</x:v>
      </x:c>
      <x:c r="L349" s="73" t="n">
        <x:v>2018</x:v>
      </x:c>
      <x:c r="M349" s="73" t="n">
        <x:v>9</x:v>
      </x:c>
      <x:c r="N349" s="73" t="n">
        <x:v>5</x:v>
      </x:c>
      <x:c r="O349" s="73" t="n">
        <x:v>14</x:v>
      </x:c>
    </x:row>
    <x:row r="350" ht="15" hidden="0">
      <x:c r="A350" s="73" t="n">
        <x:v>349</x:v>
      </x:c>
      <x:c r="B350" s="73" t="n">
        <x:v>353</x:v>
      </x:c>
      <x:c r="C350" s="73" t="s">
        <x:v>1484</x:v>
      </x:c>
      <x:c r="D350" s="73" t="s">
        <x:v>1485</x:v>
      </x:c>
      <x:c r="E350" s="73" t="s">
        <x:v>1486</x:v>
      </x:c>
      <x:c r="F350" s="73" t="s">
        <x:v>1487</x:v>
      </x:c>
      <x:c r="G350" s="73" t="s">
        <x:v>37</x:v>
      </x:c>
      <x:c r="H350" s="73" t="s">
        <x:v>1488</x:v>
      </x:c>
      <x:c r="I350" s="73" t="n">
        <x:v>15</x:v>
      </x:c>
      <x:c r="J350" s="73" t="n">
        <x:v>30</x:v>
      </x:c>
      <x:c r="K350" s="73" t="s">
        <x:v>1409</x:v>
      </x:c>
      <x:c r="L350" s="73" t="n">
        <x:v>2022</x:v>
      </x:c>
      <x:c r="M350" s="73" t="n">
        <x:v>10</x:v>
      </x:c>
      <x:c r="N350" s="73" t="n">
        <x:v>22</x:v>
      </x:c>
      <x:c r="O350" s="73" t="n">
        <x:v>12</x:v>
      </x:c>
    </x:row>
    <x:row r="351" ht="15" hidden="0">
      <x:c r="A351" s="73" t="n">
        <x:v>350</x:v>
      </x:c>
      <x:c r="B351" s="73" t="n">
        <x:v>354</x:v>
      </x:c>
      <x:c r="C351" s="73" t="s">
        <x:v>1489</x:v>
      </x:c>
      <x:c r="D351" s="73" t="s">
        <x:v>1490</x:v>
      </x:c>
      <x:c r="E351" s="73" t="s">
        <x:v>1491</x:v>
      </x:c>
      <x:c r="F351" s="73" t="s">
        <x:v>422</x:v>
      </x:c>
      <x:c r="G351" s="73" t="s">
        <x:v>19</x:v>
      </x:c>
      <x:c r="H351" s="73" t="s">
        <x:v>1492</x:v>
      </x:c>
      <x:c r="I351" s="73" t="n">
        <x:v>28</x:v>
      </x:c>
      <x:c r="J351" s="73" t="n">
        <x:v>55</x:v>
      </x:c>
      <x:c r="K351" s="73" t="s">
        <x:v>1415</x:v>
      </x:c>
      <x:c r="L351" s="73" t="n">
        <x:v>2016</x:v>
      </x:c>
      <x:c r="M351" s="73" t="n">
        <x:v>7</x:v>
      </x:c>
      <x:c r="N351" s="73" t="n">
        <x:v>2</x:v>
      </x:c>
      <x:c r="O351" s="73" t="n">
        <x:v>23</x:v>
      </x:c>
    </x:row>
    <x:row r="352" ht="15" hidden="0">
      <x:c r="A352" s="73" t="n">
        <x:v>351</x:v>
      </x:c>
      <x:c r="B352" s="73" t="n">
        <x:v>355</x:v>
      </x:c>
      <x:c r="C352" s="73" t="s">
        <x:v>1493</x:v>
      </x:c>
      <x:c r="D352" s="73" t="s">
        <x:v>1494</x:v>
      </x:c>
      <x:c r="E352" s="73" t="s">
        <x:v>1495</x:v>
      </x:c>
      <x:c r="F352" s="73" t="s">
        <x:v>1496</x:v>
      </x:c>
      <x:c r="G352" s="73" t="s">
        <x:v>31</x:v>
      </x:c>
      <x:c r="H352" s="73" t="s">
        <x:v>1497</x:v>
      </x:c>
      <x:c r="I352" s="73" t="n">
        <x:v>20</x:v>
      </x:c>
      <x:c r="J352" s="73" t="n">
        <x:v>40</x:v>
      </x:c>
      <x:c r="K352" s="73" t="s">
        <x:v>1479</x:v>
      </x:c>
      <x:c r="L352" s="73" t="n">
        <x:v>2020</x:v>
      </x:c>
      <x:c r="M352" s="73" t="n">
        <x:v>11</x:v>
      </x:c>
      <x:c r="N352" s="73" t="n">
        <x:v>18</x:v>
      </x:c>
      <x:c r="O352" s="73" t="n">
        <x:v>17</x:v>
      </x:c>
    </x:row>
    <x:row r="353" ht="15" hidden="0">
      <x:c r="A353" s="73" t="n">
        <x:v>352</x:v>
      </x:c>
      <x:c r="B353" s="73" t="n">
        <x:v>356</x:v>
      </x:c>
      <x:c r="C353" s="73" t="s">
        <x:v>1498</x:v>
      </x:c>
      <x:c r="D353" s="73" t="s">
        <x:v>1499</x:v>
      </x:c>
      <x:c r="E353" s="73" t="s">
        <x:v>1500</x:v>
      </x:c>
      <x:c r="F353" s="73" t="s">
        <x:v>1501</x:v>
      </x:c>
      <x:c r="G353" s="73" t="s">
        <x:v>37</x:v>
      </x:c>
      <x:c r="H353" s="73" t="s">
        <x:v>1502</x:v>
      </x:c>
      <x:c r="I353" s="73" t="n">
        <x:v>30</x:v>
      </x:c>
      <x:c r="J353" s="73" t="n">
        <x:v>60</x:v>
      </x:c>
      <x:c r="K353" s="73" t="s">
        <x:v>1427</x:v>
      </x:c>
      <x:c r="L353" s="73" t="n">
        <x:v>2023</x:v>
      </x:c>
      <x:c r="M353" s="73" t="n">
        <x:v>3</x:v>
      </x:c>
      <x:c r="N353" s="73" t="n">
        <x:v>5</x:v>
      </x:c>
      <x:c r="O353" s="73" t="n">
        <x:v>15</x:v>
      </x:c>
    </x:row>
    <x:row r="354" ht="15" hidden="0">
      <x:c r="A354" s="73" t="n">
        <x:v>353</x:v>
      </x:c>
      <x:c r="B354" s="73" t="n">
        <x:v>357</x:v>
      </x:c>
      <x:c r="C354" s="73" t="s">
        <x:v>1503</x:v>
      </x:c>
      <x:c r="D354" s="73" t="s">
        <x:v>1504</x:v>
      </x:c>
      <x:c r="E354" s="73" t="s">
        <x:v>1505</x:v>
      </x:c>
      <x:c r="F354" s="73" t="s">
        <x:v>735</x:v>
      </x:c>
      <x:c r="G354" s="73" t="s">
        <x:v>19</x:v>
      </x:c>
      <x:c r="H354" s="73" t="s">
        <x:v>1506</x:v>
      </x:c>
      <x:c r="I354" s="73" t="n">
        <x:v>25</x:v>
      </x:c>
      <x:c r="J354" s="73" t="n">
        <x:v>50</x:v>
      </x:c>
      <x:c r="K354" s="73" t="s">
        <x:v>1403</x:v>
      </x:c>
      <x:c r="L354" s="73" t="n">
        <x:v>2015</x:v>
      </x:c>
      <x:c r="M354" s="73" t="n">
        <x:v>12</x:v>
      </x:c>
      <x:c r="N354" s="73" t="n">
        <x:v>1</x:v>
      </x:c>
      <x:c r="O354" s="73" t="n">
        <x:v>11</x:v>
      </x:c>
    </x:row>
    <x:row r="355" ht="15" hidden="0">
      <x:c r="A355" s="73" t="n">
        <x:v>354</x:v>
      </x:c>
      <x:c r="B355" s="73" t="n">
        <x:v>358</x:v>
      </x:c>
      <x:c r="C355" s="73" t="s">
        <x:v>1507</x:v>
      </x:c>
      <x:c r="D355" s="73" t="s">
        <x:v>1508</x:v>
      </x:c>
      <x:c r="E355" s="73" t="s">
        <x:v>1509</x:v>
      </x:c>
      <x:c r="F355" s="73" t="s">
        <x:v>1510</x:v>
      </x:c>
      <x:c r="G355" s="73" t="s">
        <x:v>31</x:v>
      </x:c>
      <x:c r="H355" s="73" t="s">
        <x:v>1511</x:v>
      </x:c>
      <x:c r="I355" s="73" t="n">
        <x:v>18</x:v>
      </x:c>
      <x:c r="J355" s="73" t="n">
        <x:v>35</x:v>
      </x:c>
      <x:c r="K355" s="73" t="s">
        <x:v>1415</x:v>
      </x:c>
      <x:c r="L355" s="73" t="n">
        <x:v>2021</x:v>
      </x:c>
      <x:c r="M355" s="73" t="n">
        <x:v>9</x:v>
      </x:c>
      <x:c r="N355" s="73" t="n">
        <x:v>10</x:v>
      </x:c>
      <x:c r="O355" s="73" t="n">
        <x:v>9</x:v>
      </x:c>
    </x:row>
    <x:row r="356" ht="15" hidden="0">
      <x:c r="A356" s="73" t="n">
        <x:v>355</x:v>
      </x:c>
      <x:c r="B356" s="73" t="n">
        <x:v>359</x:v>
      </x:c>
      <x:c r="C356" s="73" t="s">
        <x:v>1512</x:v>
      </x:c>
      <x:c r="D356" s="73" t="s">
        <x:v>529</x:v>
      </x:c>
      <x:c r="E356" s="73" t="s">
        <x:v>1513</x:v>
      </x:c>
      <x:c r="F356" s="73" t="s">
        <x:v>1514</x:v>
      </x:c>
      <x:c r="G356" s="73" t="s">
        <x:v>37</x:v>
      </x:c>
      <x:c r="H356" s="73" t="s">
        <x:v>1515</x:v>
      </x:c>
      <x:c r="I356" s="73" t="n">
        <x:v>22</x:v>
      </x:c>
      <x:c r="J356" s="73" t="n">
        <x:v>45</x:v>
      </x:c>
      <x:c r="K356" s="73" t="s">
        <x:v>1409</x:v>
      </x:c>
      <x:c r="L356" s="73" t="n">
        <x:v>2018</x:v>
      </x:c>
      <x:c r="M356" s="73" t="n">
        <x:v>5</x:v>
      </x:c>
      <x:c r="N356" s="73" t="n">
        <x:v>12</x:v>
      </x:c>
      <x:c r="O356" s="73" t="n">
        <x:v>14</x:v>
      </x:c>
    </x:row>
    <x:row r="357" ht="15" hidden="0">
      <x:c r="A357" s="73" t="n">
        <x:v>356</x:v>
      </x:c>
      <x:c r="B357" s="73" t="n">
        <x:v>360</x:v>
      </x:c>
      <x:c r="C357" s="73" t="s">
        <x:v>1516</x:v>
      </x:c>
      <x:c r="D357" s="73" t="s">
        <x:v>1517</x:v>
      </x:c>
      <x:c r="E357" s="73" t="s">
        <x:v>1518</x:v>
      </x:c>
      <x:c r="F357" s="73" t="s">
        <x:v>1519</x:v>
      </x:c>
      <x:c r="G357" s="73" t="s">
        <x:v>19</x:v>
      </x:c>
      <x:c r="H357" s="73" t="s">
        <x:v>1520</x:v>
      </x:c>
      <x:c r="I357" s="73" t="n">
        <x:v>40</x:v>
      </x:c>
      <x:c r="J357" s="73" t="n">
        <x:v>80</x:v>
      </x:c>
      <x:c r="K357" s="73" t="s">
        <x:v>1479</x:v>
      </x:c>
      <x:c r="L357" s="73" t="n">
        <x:v>2022</x:v>
      </x:c>
      <x:c r="M357" s="73" t="n">
        <x:v>7</x:v>
      </x:c>
      <x:c r="N357" s="73" t="n">
        <x:v>25</x:v>
      </x:c>
      <x:c r="O357" s="73" t="n">
        <x:v>10</x:v>
      </x:c>
    </x:row>
    <x:row r="358" ht="15" hidden="0">
      <x:c r="A358" s="73" t="n">
        <x:v>357</x:v>
      </x:c>
      <x:c r="B358" s="73" t="n">
        <x:v>361</x:v>
      </x:c>
      <x:c r="C358" s="73" t="s">
        <x:v>1521</x:v>
      </x:c>
      <x:c r="D358" s="73" t="s">
        <x:v>1522</x:v>
      </x:c>
      <x:c r="E358" s="73" t="s">
        <x:v>1523</x:v>
      </x:c>
      <x:c r="F358" s="73" t="s">
        <x:v>608</x:v>
      </x:c>
      <x:c r="G358" s="73" t="s">
        <x:v>31</x:v>
      </x:c>
      <x:c r="H358" s="73" t="s">
        <x:v>1524</x:v>
      </x:c>
      <x:c r="I358" s="73" t="n">
        <x:v>35</x:v>
      </x:c>
      <x:c r="J358" s="73" t="n">
        <x:v>70</x:v>
      </x:c>
      <x:c r="K358" s="73" t="s">
        <x:v>1403</x:v>
      </x:c>
      <x:c r="L358" s="73" t="n">
        <x:v>2019</x:v>
      </x:c>
      <x:c r="M358" s="73" t="n">
        <x:v>3</x:v>
      </x:c>
      <x:c r="N358" s="73" t="n">
        <x:v>8</x:v>
      </x:c>
      <x:c r="O358" s="73" t="n">
        <x:v>18</x:v>
      </x:c>
    </x:row>
    <x:row r="359" ht="15" hidden="0">
      <x:c r="A359" s="73" t="n">
        <x:v>358</x:v>
      </x:c>
      <x:c r="B359" s="73" t="n">
        <x:v>362</x:v>
      </x:c>
      <x:c r="C359" s="73" t="s">
        <x:v>1525</x:v>
      </x:c>
      <x:c r="D359" s="73" t="s">
        <x:v>1526</x:v>
      </x:c>
      <x:c r="E359" s="73" t="s">
        <x:v>1527</x:v>
      </x:c>
      <x:c r="F359" s="73" t="s">
        <x:v>1528</x:v>
      </x:c>
      <x:c r="G359" s="73" t="s">
        <x:v>37</x:v>
      </x:c>
      <x:c r="H359" s="73" t="s">
        <x:v>1529</x:v>
      </x:c>
      <x:c r="I359" s="73" t="n">
        <x:v>20</x:v>
      </x:c>
      <x:c r="J359" s="73" t="n">
        <x:v>40</x:v>
      </x:c>
      <x:c r="K359" s="73" t="s">
        <x:v>1427</x:v>
      </x:c>
      <x:c r="L359" s="73" t="n">
        <x:v>2017</x:v>
      </x:c>
      <x:c r="M359" s="73" t="n">
        <x:v>1</x:v>
      </x:c>
      <x:c r="N359" s="73" t="n">
        <x:v>28</x:v>
      </x:c>
      <x:c r="O359" s="73" t="n">
        <x:v>21</x:v>
      </x:c>
    </x:row>
    <x:row r="360" ht="15" hidden="0">
      <x:c r="A360" s="73" t="n">
        <x:v>359</x:v>
      </x:c>
      <x:c r="B360" s="73" t="n">
        <x:v>363</x:v>
      </x:c>
      <x:c r="C360" s="73" t="s">
        <x:v>1530</x:v>
      </x:c>
      <x:c r="D360" s="73" t="s">
        <x:v>1531</x:v>
      </x:c>
      <x:c r="E360" s="73" t="s">
        <x:v>1532</x:v>
      </x:c>
      <x:c r="F360" s="73" t="s">
        <x:v>1533</x:v>
      </x:c>
      <x:c r="G360" s="73" t="s">
        <x:v>19</x:v>
      </x:c>
      <x:c r="H360" s="73" t="s">
        <x:v>1534</x:v>
      </x:c>
      <x:c r="I360" s="73" t="n">
        <x:v>28</x:v>
      </x:c>
      <x:c r="J360" s="73" t="n">
        <x:v>55</x:v>
      </x:c>
      <x:c r="K360" s="73" t="s">
        <x:v>1415</x:v>
      </x:c>
      <x:c r="L360" s="73" t="n">
        <x:v>2016</x:v>
      </x:c>
      <x:c r="M360" s="73" t="n">
        <x:v>11</x:v>
      </x:c>
      <x:c r="N360" s="73" t="n">
        <x:v>14</x:v>
      </x:c>
      <x:c r="O360" s="73" t="n">
        <x:v>13</x:v>
      </x:c>
    </x:row>
    <x:row r="361" ht="15" hidden="0">
      <x:c r="A361" s="73" t="n">
        <x:v>360</x:v>
      </x:c>
      <x:c r="B361" s="73" t="n">
        <x:v>364</x:v>
      </x:c>
      <x:c r="C361" s="73" t="s">
        <x:v>1535</x:v>
      </x:c>
      <x:c r="D361" s="73" t="s">
        <x:v>1536</x:v>
      </x:c>
      <x:c r="E361" s="73" t="s">
        <x:v>1537</x:v>
      </x:c>
      <x:c r="F361" s="73" t="s">
        <x:v>1538</x:v>
      </x:c>
      <x:c r="G361" s="73" t="s">
        <x:v>31</x:v>
      </x:c>
      <x:c r="H361" s="73" t="s">
        <x:v>1539</x:v>
      </x:c>
      <x:c r="I361" s="73" t="n">
        <x:v>15</x:v>
      </x:c>
      <x:c r="J361" s="73" t="n">
        <x:v>30</x:v>
      </x:c>
      <x:c r="K361" s="73" t="s">
        <x:v>1403</x:v>
      </x:c>
      <x:c r="L361" s="73" t="n">
        <x:v>2020</x:v>
      </x:c>
      <x:c r="M361" s="73" t="n">
        <x:v>4</x:v>
      </x:c>
      <x:c r="N361" s="73" t="n">
        <x:v>2</x:v>
      </x:c>
      <x:c r="O361" s="73" t="n">
        <x:v>17</x:v>
      </x:c>
    </x:row>
    <x:row r="362" ht="15" hidden="0">
      <x:c r="A362" s="73" t="n">
        <x:v>361</x:v>
      </x:c>
      <x:c r="B362" s="73" t="n">
        <x:v>365</x:v>
      </x:c>
      <x:c r="C362" s="73" t="s">
        <x:v>1540</x:v>
      </x:c>
      <x:c r="D362" s="73" t="s">
        <x:v>523</x:v>
      </x:c>
      <x:c r="E362" s="73" t="s">
        <x:v>1541</x:v>
      </x:c>
      <x:c r="F362" s="73" t="s">
        <x:v>1542</x:v>
      </x:c>
      <x:c r="G362" s="73" t="s">
        <x:v>37</x:v>
      </x:c>
      <x:c r="H362" s="73" t="s">
        <x:v>1543</x:v>
      </x:c>
      <x:c r="I362" s="73" t="n">
        <x:v>25</x:v>
      </x:c>
      <x:c r="J362" s="73" t="n">
        <x:v>50</x:v>
      </x:c>
      <x:c r="K362" s="73" t="s">
        <x:v>1409</x:v>
      </x:c>
      <x:c r="L362" s="73" t="n">
        <x:v>2023</x:v>
      </x:c>
      <x:c r="M362" s="73" t="n">
        <x:v>1</x:v>
      </x:c>
      <x:c r="N362" s="73" t="n">
        <x:v>15</x:v>
      </x:c>
      <x:c r="O362" s="73" t="n">
        <x:v>19</x:v>
      </x:c>
    </x:row>
    <x:row r="363" ht="15" hidden="0">
      <x:c r="A363" s="73" t="n">
        <x:v>362</x:v>
      </x:c>
      <x:c r="B363" s="73" t="n">
        <x:v>366</x:v>
      </x:c>
      <x:c r="C363" s="73" t="s">
        <x:v>1544</x:v>
      </x:c>
      <x:c r="D363" s="73" t="s">
        <x:v>565</x:v>
      </x:c>
      <x:c r="E363" s="73" t="s">
        <x:v>1545</x:v>
      </x:c>
      <x:c r="F363" s="73" t="s">
        <x:v>1546</x:v>
      </x:c>
      <x:c r="G363" s="73" t="s">
        <x:v>19</x:v>
      </x:c>
      <x:c r="H363" s="73" t="s">
        <x:v>1547</x:v>
      </x:c>
      <x:c r="I363" s="73" t="n">
        <x:v>30</x:v>
      </x:c>
      <x:c r="J363" s="73" t="n">
        <x:v>60</x:v>
      </x:c>
      <x:c r="K363" s="73" t="s">
        <x:v>1479</x:v>
      </x:c>
      <x:c r="L363" s="73" t="n">
        <x:v>2018</x:v>
      </x:c>
      <x:c r="M363" s="73" t="n">
        <x:v>8</x:v>
      </x:c>
      <x:c r="N363" s="73" t="n">
        <x:v>7</x:v>
      </x:c>
      <x:c r="O363" s="73" t="n">
        <x:v>12</x:v>
      </x:c>
    </x:row>
    <x:row r="364" ht="15" hidden="0">
      <x:c r="A364" s="73" t="n">
        <x:v>363</x:v>
      </x:c>
      <x:c r="B364" s="73" t="n">
        <x:v>367</x:v>
      </x:c>
      <x:c r="C364" s="73" t="s">
        <x:v>1548</x:v>
      </x:c>
      <x:c r="D364" s="73" t="s">
        <x:v>1549</x:v>
      </x:c>
      <x:c r="E364" s="73" t="s">
        <x:v>1550</x:v>
      </x:c>
      <x:c r="F364" s="73" t="s">
        <x:v>1551</x:v>
      </x:c>
      <x:c r="G364" s="73" t="s">
        <x:v>31</x:v>
      </x:c>
      <x:c r="H364" s="73" t="s">
        <x:v>1552</x:v>
      </x:c>
      <x:c r="I364" s="73" t="n">
        <x:v>18</x:v>
      </x:c>
      <x:c r="J364" s="73" t="n">
        <x:v>35</x:v>
      </x:c>
      <x:c r="K364" s="73" t="s">
        <x:v>1415</x:v>
      </x:c>
      <x:c r="L364" s="73" t="n">
        <x:v>2019</x:v>
      </x:c>
      <x:c r="M364" s="73" t="n">
        <x:v>10</x:v>
      </x:c>
      <x:c r="N364" s="73" t="n">
        <x:v>18</x:v>
      </x:c>
      <x:c r="O364" s="73" t="n">
        <x:v>16</x:v>
      </x:c>
    </x:row>
    <x:row r="365" ht="15" hidden="0">
      <x:c r="A365" s="73" t="n">
        <x:v>364</x:v>
      </x:c>
      <x:c r="B365" s="73" t="n">
        <x:v>368</x:v>
      </x:c>
      <x:c r="C365" s="73" t="s">
        <x:v>1553</x:v>
      </x:c>
      <x:c r="D365" s="73" t="s">
        <x:v>1554</x:v>
      </x:c>
      <x:c r="E365" s="73" t="s">
        <x:v>1555</x:v>
      </x:c>
      <x:c r="F365" s="73" t="s">
        <x:v>628</x:v>
      </x:c>
      <x:c r="G365" s="73" t="s">
        <x:v>37</x:v>
      </x:c>
      <x:c r="H365" s="73" t="s">
        <x:v>1556</x:v>
      </x:c>
      <x:c r="I365" s="73" t="n">
        <x:v>22</x:v>
      </x:c>
      <x:c r="J365" s="73" t="n">
        <x:v>45</x:v>
      </x:c>
      <x:c r="K365" s="73" t="s">
        <x:v>1427</x:v>
      </x:c>
      <x:c r="L365" s="73" t="n">
        <x:v>2022</x:v>
      </x:c>
      <x:c r="M365" s="73" t="n">
        <x:v>6</x:v>
      </x:c>
      <x:c r="N365" s="73" t="n">
        <x:v>30</x:v>
      </x:c>
      <x:c r="O365" s="73" t="n">
        <x:v>7</x:v>
      </x:c>
    </x:row>
    <x:row r="366" ht="15" hidden="0">
      <x:c r="A366" s="73" t="n">
        <x:v>365</x:v>
      </x:c>
      <x:c r="B366" s="73" t="n">
        <x:v>369</x:v>
      </x:c>
      <x:c r="C366" s="73" t="s">
        <x:v>1557</x:v>
      </x:c>
      <x:c r="D366" s="73" t="s">
        <x:v>1558</x:v>
      </x:c>
      <x:c r="E366" s="73" t="s">
        <x:v>1559</x:v>
      </x:c>
      <x:c r="F366" s="73" t="s">
        <x:v>1560</x:v>
      </x:c>
      <x:c r="G366" s="73" t="s">
        <x:v>19</x:v>
      </x:c>
      <x:c r="H366" s="73" t="s">
        <x:v>1561</x:v>
      </x:c>
      <x:c r="I366" s="73" t="n">
        <x:v>35</x:v>
      </x:c>
      <x:c r="J366" s="73" t="n">
        <x:v>70</x:v>
      </x:c>
      <x:c r="K366" s="73" t="s">
        <x:v>1403</x:v>
      </x:c>
      <x:c r="L366" s="73" t="n">
        <x:v>2017</x:v>
      </x:c>
      <x:c r="M366" s="73" t="n">
        <x:v>6</x:v>
      </x:c>
      <x:c r="N366" s="73" t="n">
        <x:v>12</x:v>
      </x:c>
      <x:c r="O366" s="73" t="n">
        <x:v>18</x:v>
      </x:c>
    </x:row>
    <x:row r="367" ht="15" hidden="0">
      <x:c r="A367" s="73" t="n">
        <x:v>366</x:v>
      </x:c>
      <x:c r="B367" s="73" t="n">
        <x:v>370</x:v>
      </x:c>
      <x:c r="C367" s="73" t="s">
        <x:v>1562</x:v>
      </x:c>
      <x:c r="D367" s="73" t="s">
        <x:v>1563</x:v>
      </x:c>
      <x:c r="E367" s="73" t="s">
        <x:v>1564</x:v>
      </x:c>
      <x:c r="F367" s="73" t="s">
        <x:v>1565</x:v>
      </x:c>
      <x:c r="G367" s="73" t="s">
        <x:v>31</x:v>
      </x:c>
      <x:c r="H367" s="73" t="s">
        <x:v>1566</x:v>
      </x:c>
      <x:c r="I367" s="73" t="n">
        <x:v>20</x:v>
      </x:c>
      <x:c r="J367" s="73" t="n">
        <x:v>40</x:v>
      </x:c>
      <x:c r="K367" s="73" t="s">
        <x:v>1409</x:v>
      </x:c>
      <x:c r="L367" s="73" t="n">
        <x:v>2021</x:v>
      </x:c>
      <x:c r="M367" s="73" t="n">
        <x:v>7</x:v>
      </x:c>
      <x:c r="N367" s="73" t="n">
        <x:v>5</x:v>
      </x:c>
      <x:c r="O367" s="73" t="n">
        <x:v>9</x:v>
      </x:c>
    </x:row>
    <x:row r="368" ht="15" hidden="0">
      <x:c r="A368" s="73" t="n">
        <x:v>367</x:v>
      </x:c>
      <x:c r="B368" s="73" t="n">
        <x:v>371</x:v>
      </x:c>
      <x:c r="C368" s="73" t="s">
        <x:v>1567</x:v>
      </x:c>
      <x:c r="D368" s="73" t="s">
        <x:v>1568</x:v>
      </x:c>
      <x:c r="E368" s="73" t="s">
        <x:v>1569</x:v>
      </x:c>
      <x:c r="F368" s="73" t="s">
        <x:v>1570</x:v>
      </x:c>
      <x:c r="G368" s="73" t="s">
        <x:v>37</x:v>
      </x:c>
      <x:c r="H368" s="73" t="s">
        <x:v>1571</x:v>
      </x:c>
      <x:c r="I368" s="73" t="n">
        <x:v>28</x:v>
      </x:c>
      <x:c r="J368" s="73" t="n">
        <x:v>55</x:v>
      </x:c>
      <x:c r="K368" s="73" t="s">
        <x:v>1415</x:v>
      </x:c>
      <x:c r="L368" s="73" t="n">
        <x:v>2016</x:v>
      </x:c>
      <x:c r="M368" s="73" t="n">
        <x:v>4</x:v>
      </x:c>
      <x:c r="N368" s="73" t="n">
        <x:v>15</x:v>
      </x:c>
      <x:c r="O368" s="73" t="n">
        <x:v>14</x:v>
      </x:c>
    </x:row>
    <x:row r="369" ht="15" hidden="0">
      <x:c r="A369" s="73" t="n">
        <x:v>368</x:v>
      </x:c>
      <x:c r="B369" s="73" t="n">
        <x:v>372</x:v>
      </x:c>
      <x:c r="C369" s="73" t="s">
        <x:v>1572</x:v>
      </x:c>
      <x:c r="D369" s="73" t="s">
        <x:v>1573</x:v>
      </x:c>
      <x:c r="E369" s="73" t="s">
        <x:v>1574</x:v>
      </x:c>
      <x:c r="F369" s="73" t="s">
        <x:v>1575</x:v>
      </x:c>
      <x:c r="G369" s="73" t="s">
        <x:v>19</x:v>
      </x:c>
      <x:c r="H369" s="73" t="s">
        <x:v>1576</x:v>
      </x:c>
      <x:c r="I369" s="73" t="n">
        <x:v>15</x:v>
      </x:c>
      <x:c r="J369" s="73" t="n">
        <x:v>30</x:v>
      </x:c>
      <x:c r="K369" s="73" t="s">
        <x:v>1479</x:v>
      </x:c>
      <x:c r="L369" s="73" t="n">
        <x:v>2020</x:v>
      </x:c>
      <x:c r="M369" s="73" t="n">
        <x:v>2</x:v>
      </x:c>
      <x:c r="N369" s="73" t="n">
        <x:v>10</x:v>
      </x:c>
      <x:c r="O369" s="73" t="n">
        <x:v>11</x:v>
      </x:c>
    </x:row>
    <x:row r="370" ht="15" hidden="0">
      <x:c r="A370" s="73" t="n">
        <x:v>369</x:v>
      </x:c>
      <x:c r="B370" s="73" t="n">
        <x:v>373</x:v>
      </x:c>
      <x:c r="C370" s="73" t="s">
        <x:v>1577</x:v>
      </x:c>
      <x:c r="D370" s="73" t="s">
        <x:v>513</x:v>
      </x:c>
      <x:c r="E370" s="73" t="s">
        <x:v>1578</x:v>
      </x:c>
      <x:c r="F370" s="73" t="s">
        <x:v>1579</x:v>
      </x:c>
      <x:c r="G370" s="73" t="s">
        <x:v>31</x:v>
      </x:c>
      <x:c r="H370" s="73" t="s">
        <x:v>1580</x:v>
      </x:c>
      <x:c r="I370" s="73" t="n">
        <x:v>40</x:v>
      </x:c>
      <x:c r="J370" s="73" t="n">
        <x:v>80</x:v>
      </x:c>
      <x:c r="K370" s="73" t="s">
        <x:v>1403</x:v>
      </x:c>
      <x:c r="L370" s="73" t="n">
        <x:v>2018</x:v>
      </x:c>
      <x:c r="M370" s="73" t="n">
        <x:v>9</x:v>
      </x:c>
      <x:c r="N370" s="73" t="n">
        <x:v>22</x:v>
      </x:c>
      <x:c r="O370" s="73" t="n">
        <x:v>16</x:v>
      </x:c>
    </x:row>
    <x:row r="371" ht="15" hidden="0">
      <x:c r="A371" s="73" t="n">
        <x:v>370</x:v>
      </x:c>
      <x:c r="B371" s="73" t="n">
        <x:v>374</x:v>
      </x:c>
      <x:c r="C371" s="73" t="s">
        <x:v>1581</x:v>
      </x:c>
      <x:c r="D371" s="73" t="s">
        <x:v>1582</x:v>
      </x:c>
      <x:c r="E371" s="73" t="s">
        <x:v>1583</x:v>
      </x:c>
      <x:c r="F371" s="73" t="s">
        <x:v>1584</x:v>
      </x:c>
      <x:c r="G371" s="73" t="s">
        <x:v>37</x:v>
      </x:c>
      <x:c r="H371" s="73" t="s">
        <x:v>1585</x:v>
      </x:c>
      <x:c r="I371" s="73" t="n">
        <x:v>18</x:v>
      </x:c>
      <x:c r="J371" s="73" t="n">
        <x:v>35</x:v>
      </x:c>
      <x:c r="K371" s="73" t="s">
        <x:v>1427</x:v>
      </x:c>
      <x:c r="L371" s="73" t="n">
        <x:v>2015</x:v>
      </x:c>
      <x:c r="M371" s="73" t="n">
        <x:v>11</x:v>
      </x:c>
      <x:c r="N371" s="73" t="n">
        <x:v>8</x:v>
      </x:c>
      <x:c r="O371" s="73" t="n">
        <x:v>10</x:v>
      </x:c>
    </x:row>
    <x:row r="372" ht="15" hidden="0">
      <x:c r="A372" s="73" t="n">
        <x:v>371</x:v>
      </x:c>
      <x:c r="B372" s="73" t="n">
        <x:v>375</x:v>
      </x:c>
      <x:c r="C372" s="73" t="s">
        <x:v>1586</x:v>
      </x:c>
      <x:c r="D372" s="73" t="s">
        <x:v>1587</x:v>
      </x:c>
      <x:c r="E372" s="73" t="s">
        <x:v>1588</x:v>
      </x:c>
      <x:c r="F372" s="73" t="s">
        <x:v>1589</x:v>
      </x:c>
      <x:c r="G372" s="73" t="s">
        <x:v>31</x:v>
      </x:c>
      <x:c r="H372" s="73" t="s">
        <x:v>1590</x:v>
      </x:c>
      <x:c r="I372" s="73" t="n">
        <x:v>25</x:v>
      </x:c>
      <x:c r="J372" s="73" t="n">
        <x:v>50</x:v>
      </x:c>
      <x:c r="K372" s="73" t="s">
        <x:v>1591</x:v>
      </x:c>
      <x:c r="L372" s="73" t="n">
        <x:v>2022</x:v>
      </x:c>
      <x:c r="M372" s="73" t="n">
        <x:v>8</x:v>
      </x:c>
      <x:c r="N372" s="73" t="n">
        <x:v>10</x:v>
      </x:c>
      <x:c r="O372" s="73" t="n">
        <x:v>22</x:v>
      </x:c>
    </x:row>
    <x:row r="373" ht="15" hidden="0">
      <x:c r="A373" s="73" t="n">
        <x:v>372</x:v>
      </x:c>
      <x:c r="B373" s="73" t="n">
        <x:v>376</x:v>
      </x:c>
      <x:c r="C373" s="73" t="s">
        <x:v>1592</x:v>
      </x:c>
      <x:c r="D373" s="73" t="s">
        <x:v>1593</x:v>
      </x:c>
      <x:c r="E373" s="73" t="s">
        <x:v>1594</x:v>
      </x:c>
      <x:c r="F373" s="73" t="s">
        <x:v>1595</x:v>
      </x:c>
      <x:c r="G373" s="73" t="s">
        <x:v>19</x:v>
      </x:c>
      <x:c r="H373" s="73" t="s">
        <x:v>1596</x:v>
      </x:c>
      <x:c r="I373" s="73" t="n">
        <x:v>18</x:v>
      </x:c>
      <x:c r="J373" s="73" t="n">
        <x:v>35</x:v>
      </x:c>
      <x:c r="K373" s="73" t="s">
        <x:v>1597</x:v>
      </x:c>
      <x:c r="L373" s="73" t="n">
        <x:v>2019</x:v>
      </x:c>
      <x:c r="M373" s="73" t="n">
        <x:v>4</x:v>
      </x:c>
      <x:c r="N373" s="73" t="n">
        <x:v>5</x:v>
      </x:c>
      <x:c r="O373" s="73" t="n">
        <x:v>17</x:v>
      </x:c>
    </x:row>
    <x:row r="374" ht="15" hidden="0">
      <x:c r="A374" s="73" t="n">
        <x:v>373</x:v>
      </x:c>
      <x:c r="B374" s="73" t="n">
        <x:v>377</x:v>
      </x:c>
      <x:c r="C374" s="73" t="s">
        <x:v>1598</x:v>
      </x:c>
      <x:c r="D374" s="73" t="s">
        <x:v>1599</x:v>
      </x:c>
      <x:c r="E374" s="73" t="s">
        <x:v>1600</x:v>
      </x:c>
      <x:c r="F374" s="73" t="s">
        <x:v>1601</x:v>
      </x:c>
      <x:c r="G374" s="73" t="s">
        <x:v>37</x:v>
      </x:c>
      <x:c r="H374" s="73" t="s">
        <x:v>1602</x:v>
      </x:c>
      <x:c r="I374" s="73" t="n">
        <x:v>22</x:v>
      </x:c>
      <x:c r="J374" s="73" t="n">
        <x:v>45</x:v>
      </x:c>
      <x:c r="K374" s="73" t="s">
        <x:v>1603</x:v>
      </x:c>
      <x:c r="L374" s="73" t="n">
        <x:v>2020</x:v>
      </x:c>
      <x:c r="M374" s="73" t="n">
        <x:v>12</x:v>
      </x:c>
      <x:c r="N374" s="73" t="n">
        <x:v>15</x:v>
      </x:c>
      <x:c r="O374" s="73" t="n">
        <x:v>15</x:v>
      </x:c>
    </x:row>
    <x:row r="375" ht="15" hidden="0">
      <x:c r="A375" s="73" t="n">
        <x:v>374</x:v>
      </x:c>
      <x:c r="B375" s="73" t="n">
        <x:v>378</x:v>
      </x:c>
      <x:c r="C375" s="73" t="s">
        <x:v>1604</x:v>
      </x:c>
      <x:c r="D375" s="73" t="s">
        <x:v>1605</x:v>
      </x:c>
      <x:c r="E375" s="73" t="s">
        <x:v>1606</x:v>
      </x:c>
      <x:c r="F375" s="73" t="s">
        <x:v>1607</x:v>
      </x:c>
      <x:c r="G375" s="73" t="s">
        <x:v>31</x:v>
      </x:c>
      <x:c r="H375" s="73" t="s">
        <x:v>1608</x:v>
      </x:c>
      <x:c r="I375" s="73" t="n">
        <x:v>35</x:v>
      </x:c>
      <x:c r="J375" s="73" t="n">
        <x:v>70</x:v>
      </x:c>
      <x:c r="K375" s="73" t="s">
        <x:v>1609</x:v>
      </x:c>
      <x:c r="L375" s="73" t="n">
        <x:v>2017</x:v>
      </x:c>
      <x:c r="M375" s="73" t="n">
        <x:v>10</x:v>
      </x:c>
      <x:c r="N375" s="73" t="n">
        <x:v>20</x:v>
      </x:c>
      <x:c r="O375" s="73" t="n">
        <x:v>8</x:v>
      </x:c>
    </x:row>
    <x:row r="376" ht="15" hidden="0">
      <x:c r="A376" s="73" t="n">
        <x:v>375</x:v>
      </x:c>
      <x:c r="B376" s="73" t="n">
        <x:v>379</x:v>
      </x:c>
      <x:c r="C376" s="73" t="s">
        <x:v>1610</x:v>
      </x:c>
      <x:c r="D376" s="73" t="s">
        <x:v>1611</x:v>
      </x:c>
      <x:c r="E376" s="73" t="s">
        <x:v>1612</x:v>
      </x:c>
      <x:c r="F376" s="73" t="s">
        <x:v>1613</x:v>
      </x:c>
      <x:c r="G376" s="73" t="s">
        <x:v>19</x:v>
      </x:c>
      <x:c r="H376" s="73" t="s">
        <x:v>1614</x:v>
      </x:c>
      <x:c r="I376" s="73" t="n">
        <x:v>30</x:v>
      </x:c>
      <x:c r="J376" s="73" t="n">
        <x:v>60</x:v>
      </x:c>
      <x:c r="K376" s="73" t="s">
        <x:v>1615</x:v>
      </x:c>
      <x:c r="L376" s="73" t="n">
        <x:v>2021</x:v>
      </x:c>
      <x:c r="M376" s="73" t="n">
        <x:v>2</x:v>
      </x:c>
      <x:c r="N376" s="73" t="n">
        <x:v>28</x:v>
      </x:c>
      <x:c r="O376" s="73" t="n">
        <x:v>13</x:v>
      </x:c>
    </x:row>
    <x:row r="377" ht="15" hidden="0">
      <x:c r="A377" s="73" t="n">
        <x:v>376</x:v>
      </x:c>
      <x:c r="B377" s="73" t="n">
        <x:v>380</x:v>
      </x:c>
      <x:c r="C377" s="73" t="s">
        <x:v>1616</x:v>
      </x:c>
      <x:c r="D377" s="73" t="s">
        <x:v>1617</x:v>
      </x:c>
      <x:c r="E377" s="73" t="s">
        <x:v>1618</x:v>
      </x:c>
      <x:c r="F377" s="73" t="s">
        <x:v>1619</x:v>
      </x:c>
      <x:c r="G377" s="73" t="s">
        <x:v>37</x:v>
      </x:c>
      <x:c r="H377" s="73" t="s">
        <x:v>1620</x:v>
      </x:c>
      <x:c r="I377" s="73" t="n">
        <x:v>28</x:v>
      </x:c>
      <x:c r="J377" s="73" t="n">
        <x:v>55</x:v>
      </x:c>
      <x:c r="K377" s="73" t="s">
        <x:v>1621</x:v>
      </x:c>
      <x:c r="L377" s="73" t="n">
        <x:v>2018</x:v>
      </x:c>
      <x:c r="M377" s="73" t="n">
        <x:v>6</x:v>
      </x:c>
      <x:c r="N377" s="73" t="n">
        <x:v>12</x:v>
      </x:c>
      <x:c r="O377" s="73" t="n">
        <x:v>20</x:v>
      </x:c>
    </x:row>
    <x:row r="378" ht="15" hidden="0">
      <x:c r="A378" s="73" t="n">
        <x:v>377</x:v>
      </x:c>
      <x:c r="B378" s="73" t="n">
        <x:v>381</x:v>
      </x:c>
      <x:c r="C378" s="73" t="s">
        <x:v>1622</x:v>
      </x:c>
      <x:c r="D378" s="73" t="s">
        <x:v>1623</x:v>
      </x:c>
      <x:c r="E378" s="73" t="s">
        <x:v>1624</x:v>
      </x:c>
      <x:c r="F378" s="73" t="s">
        <x:v>1625</x:v>
      </x:c>
      <x:c r="G378" s="73" t="s">
        <x:v>31</x:v>
      </x:c>
      <x:c r="H378" s="73" t="s">
        <x:v>1626</x:v>
      </x:c>
      <x:c r="I378" s="73" t="n">
        <x:v>20</x:v>
      </x:c>
      <x:c r="J378" s="73" t="n">
        <x:v>40</x:v>
      </x:c>
      <x:c r="K378" s="73" t="s">
        <x:v>1627</x:v>
      </x:c>
      <x:c r="L378" s="73" t="n">
        <x:v>2016</x:v>
      </x:c>
      <x:c r="M378" s="73" t="n">
        <x:v>3</x:v>
      </x:c>
      <x:c r="N378" s="73" t="n">
        <x:v>8</x:v>
      </x:c>
      <x:c r="O378" s="73" t="n">
        <x:v>14</x:v>
      </x:c>
    </x:row>
    <x:row r="379" ht="15" hidden="0">
      <x:c r="A379" s="73" t="n">
        <x:v>378</x:v>
      </x:c>
      <x:c r="B379" s="73" t="n">
        <x:v>382</x:v>
      </x:c>
      <x:c r="C379" s="73" t="s">
        <x:v>1628</x:v>
      </x:c>
      <x:c r="D379" s="73" t="s">
        <x:v>1629</x:v>
      </x:c>
      <x:c r="E379" s="73" t="s">
        <x:v>1630</x:v>
      </x:c>
      <x:c r="F379" s="73" t="s">
        <x:v>1631</x:v>
      </x:c>
      <x:c r="G379" s="73" t="s">
        <x:v>19</x:v>
      </x:c>
      <x:c r="H379" s="73" t="s">
        <x:v>1632</x:v>
      </x:c>
      <x:c r="I379" s="73" t="n">
        <x:v>18</x:v>
      </x:c>
      <x:c r="J379" s="73" t="n">
        <x:v>35</x:v>
      </x:c>
      <x:c r="K379" s="73" t="s">
        <x:v>1633</x:v>
      </x:c>
      <x:c r="L379" s="73" t="n">
        <x:v>2023</x:v>
      </x:c>
      <x:c r="M379" s="73" t="n">
        <x:v>4</x:v>
      </x:c>
      <x:c r="N379" s="73" t="n">
        <x:v>18</x:v>
      </x:c>
      <x:c r="O379" s="73" t="n">
        <x:v>17</x:v>
      </x:c>
    </x:row>
    <x:row r="380" ht="15" hidden="0">
      <x:c r="A380" s="73" t="n">
        <x:v>379</x:v>
      </x:c>
      <x:c r="B380" s="73" t="n">
        <x:v>383</x:v>
      </x:c>
      <x:c r="C380" s="73" t="s">
        <x:v>1634</x:v>
      </x:c>
      <x:c r="D380" s="73" t="s">
        <x:v>1635</x:v>
      </x:c>
      <x:c r="E380" s="73" t="s">
        <x:v>1636</x:v>
      </x:c>
      <x:c r="F380" s="73" t="s">
        <x:v>1637</x:v>
      </x:c>
      <x:c r="G380" s="73" t="s">
        <x:v>37</x:v>
      </x:c>
      <x:c r="H380" s="73" t="s">
        <x:v>1638</x:v>
      </x:c>
      <x:c r="I380" s="73" t="n">
        <x:v>22</x:v>
      </x:c>
      <x:c r="J380" s="73" t="n">
        <x:v>45</x:v>
      </x:c>
      <x:c r="K380" s="73" t="s">
        <x:v>1639</x:v>
      </x:c>
      <x:c r="L380" s="73" t="n">
        <x:v>2020</x:v>
      </x:c>
      <x:c r="M380" s="73" t="n">
        <x:v>7</x:v>
      </x:c>
      <x:c r="N380" s="73" t="n">
        <x:v>25</x:v>
      </x:c>
      <x:c r="O380" s="73" t="n">
        <x:v>12</x:v>
      </x:c>
    </x:row>
    <x:row r="381" ht="15" hidden="0">
      <x:c r="A381" s="73" t="n">
        <x:v>380</x:v>
      </x:c>
      <x:c r="B381" s="73" t="n">
        <x:v>384</x:v>
      </x:c>
      <x:c r="C381" s="73" t="s">
        <x:v>1640</x:v>
      </x:c>
      <x:c r="D381" s="73" t="s">
        <x:v>1641</x:v>
      </x:c>
      <x:c r="E381" s="73" t="s">
        <x:v>1642</x:v>
      </x:c>
      <x:c r="F381" s="73" t="s">
        <x:v>1643</x:v>
      </x:c>
      <x:c r="G381" s="73" t="s">
        <x:v>31</x:v>
      </x:c>
      <x:c r="H381" s="73" t="s">
        <x:v>1644</x:v>
      </x:c>
      <x:c r="I381" s="73" t="n">
        <x:v>35</x:v>
      </x:c>
      <x:c r="J381" s="73" t="n">
        <x:v>70</x:v>
      </x:c>
      <x:c r="K381" s="73" t="s">
        <x:v>1645</x:v>
      </x:c>
      <x:c r="L381" s="73" t="n">
        <x:v>2019</x:v>
      </x:c>
      <x:c r="M381" s="73" t="n">
        <x:v>11</x:v>
      </x:c>
      <x:c r="N381" s="73" t="n">
        <x:v>30</x:v>
      </x:c>
      <x:c r="O381" s="73" t="n">
        <x:v>19</x:v>
      </x:c>
    </x:row>
    <x:row r="382" ht="15" hidden="0">
      <x:c r="A382" s="73" t="n">
        <x:v>381</x:v>
      </x:c>
      <x:c r="B382" s="73" t="n">
        <x:v>385</x:v>
      </x:c>
      <x:c r="C382" s="73" t="s">
        <x:v>1646</x:v>
      </x:c>
      <x:c r="D382" s="73" t="s">
        <x:v>1647</x:v>
      </x:c>
      <x:c r="E382" s="73" t="s">
        <x:v>1648</x:v>
      </x:c>
      <x:c r="F382" s="73" t="s">
        <x:v>1649</x:v>
      </x:c>
      <x:c r="G382" s="73" t="s">
        <x:v>19</x:v>
      </x:c>
      <x:c r="H382" s="73" t="s">
        <x:v>1650</x:v>
      </x:c>
      <x:c r="I382" s="73" t="n">
        <x:v>15</x:v>
      </x:c>
      <x:c r="J382" s="73" t="n">
        <x:v>30</x:v>
      </x:c>
      <x:c r="K382" s="73" t="s">
        <x:v>1651</x:v>
      </x:c>
      <x:c r="L382" s="73" t="n">
        <x:v>2015</x:v>
      </x:c>
      <x:c r="M382" s="73" t="n">
        <x:v>9</x:v>
      </x:c>
      <x:c r="N382" s="73" t="n">
        <x:v>1</x:v>
      </x:c>
      <x:c r="O382" s="73" t="n">
        <x:v>16</x:v>
      </x:c>
    </x:row>
    <x:row r="383" ht="15" hidden="0">
      <x:c r="A383" s="73" t="n">
        <x:v>382</x:v>
      </x:c>
      <x:c r="B383" s="73" t="n">
        <x:v>386</x:v>
      </x:c>
      <x:c r="C383" s="73" t="s">
        <x:v>1652</x:v>
      </x:c>
      <x:c r="D383" s="73" t="s">
        <x:v>1653</x:v>
      </x:c>
      <x:c r="E383" s="73" t="s">
        <x:v>1654</x:v>
      </x:c>
      <x:c r="F383" s="73" t="s">
        <x:v>1655</x:v>
      </x:c>
      <x:c r="G383" s="73" t="s">
        <x:v>37</x:v>
      </x:c>
      <x:c r="H383" s="73" t="s">
        <x:v>1656</x:v>
      </x:c>
      <x:c r="I383" s="73" t="n">
        <x:v>25</x:v>
      </x:c>
      <x:c r="J383" s="73" t="n">
        <x:v>50</x:v>
      </x:c>
      <x:c r="K383" s="73" t="s">
        <x:v>1657</x:v>
      </x:c>
      <x:c r="L383" s="73" t="n">
        <x:v>2022</x:v>
      </x:c>
      <x:c r="M383" s="73" t="n">
        <x:v>5</x:v>
      </x:c>
      <x:c r="N383" s="73" t="n">
        <x:v>5</x:v>
      </x:c>
      <x:c r="O383" s="73" t="n">
        <x:v>10</x:v>
      </x:c>
    </x:row>
    <x:row r="384" ht="15" hidden="0">
      <x:c r="A384" s="73" t="n">
        <x:v>383</x:v>
      </x:c>
      <x:c r="B384" s="73" t="n">
        <x:v>387</x:v>
      </x:c>
      <x:c r="C384" s="73" t="s">
        <x:v>1658</x:v>
      </x:c>
      <x:c r="D384" s="73" t="s">
        <x:v>1659</x:v>
      </x:c>
      <x:c r="E384" s="73" t="s">
        <x:v>1660</x:v>
      </x:c>
      <x:c r="F384" s="73" t="s">
        <x:v>1661</x:v>
      </x:c>
      <x:c r="G384" s="73" t="s">
        <x:v>31</x:v>
      </x:c>
      <x:c r="H384" s="73" t="s">
        <x:v>1662</x:v>
      </x:c>
      <x:c r="I384" s="73" t="n">
        <x:v>40</x:v>
      </x:c>
      <x:c r="J384" s="73" t="n">
        <x:v>80</x:v>
      </x:c>
      <x:c r="K384" s="73" t="s">
        <x:v>1663</x:v>
      </x:c>
      <x:c r="L384" s="73" t="n">
        <x:v>2018</x:v>
      </x:c>
      <x:c r="M384" s="73" t="n">
        <x:v>7</x:v>
      </x:c>
      <x:c r="N384" s="73" t="n">
        <x:v>8</x:v>
      </x:c>
      <x:c r="O384" s="73" t="n">
        <x:v>23</x:v>
      </x:c>
    </x:row>
    <x:row r="385" ht="15" hidden="0">
      <x:c r="A385" s="73" t="n">
        <x:v>384</x:v>
      </x:c>
      <x:c r="B385" s="73" t="n">
        <x:v>388</x:v>
      </x:c>
      <x:c r="C385" s="73" t="s">
        <x:v>1664</x:v>
      </x:c>
      <x:c r="D385" s="73" t="s">
        <x:v>1665</x:v>
      </x:c>
      <x:c r="E385" s="73" t="s">
        <x:v>1666</x:v>
      </x:c>
      <x:c r="F385" s="73" t="s">
        <x:v>1667</x:v>
      </x:c>
      <x:c r="G385" s="73" t="s">
        <x:v>19</x:v>
      </x:c>
      <x:c r="H385" s="73" t="s">
        <x:v>1668</x:v>
      </x:c>
      <x:c r="I385" s="73" t="n">
        <x:v>18</x:v>
      </x:c>
      <x:c r="J385" s="73" t="n">
        <x:v>35</x:v>
      </x:c>
      <x:c r="K385" s="73" t="s">
        <x:v>1669</x:v>
      </x:c>
      <x:c r="L385" s="73" t="n">
        <x:v>2021</x:v>
      </x:c>
      <x:c r="M385" s="73" t="n">
        <x:v>9</x:v>
      </x:c>
      <x:c r="N385" s="73" t="n">
        <x:v>20</x:v>
      </x:c>
      <x:c r="O385" s="73" t="n">
        <x:v>14</x:v>
      </x:c>
    </x:row>
    <x:row r="386" ht="15" hidden="0">
      <x:c r="A386" s="73" t="n">
        <x:v>385</x:v>
      </x:c>
      <x:c r="B386" s="73" t="n">
        <x:v>389</x:v>
      </x:c>
      <x:c r="C386" s="73" t="s">
        <x:v>1670</x:v>
      </x:c>
      <x:c r="D386" s="73" t="s">
        <x:v>1671</x:v>
      </x:c>
      <x:c r="E386" s="73" t="s">
        <x:v>1672</x:v>
      </x:c>
      <x:c r="F386" s="73" t="s">
        <x:v>1673</x:v>
      </x:c>
      <x:c r="G386" s="73" t="s">
        <x:v>37</x:v>
      </x:c>
      <x:c r="H386" s="73" t="s">
        <x:v>1674</x:v>
      </x:c>
      <x:c r="I386" s="73" t="n">
        <x:v>28</x:v>
      </x:c>
      <x:c r="J386" s="73" t="n">
        <x:v>55</x:v>
      </x:c>
      <x:c r="K386" s="73" t="s">
        <x:v>1675</x:v>
      </x:c>
      <x:c r="L386" s="73" t="n">
        <x:v>2016</x:v>
      </x:c>
      <x:c r="M386" s="73" t="n">
        <x:v>11</x:v>
      </x:c>
      <x:c r="N386" s="73" t="n">
        <x:v>15</x:v>
      </x:c>
      <x:c r="O386" s="73" t="n">
        <x:v>11</x:v>
      </x:c>
    </x:row>
    <x:row r="387" ht="15" hidden="0">
      <x:c r="A387" s="73" t="n">
        <x:v>386</x:v>
      </x:c>
      <x:c r="B387" s="73" t="n">
        <x:v>390</x:v>
      </x:c>
      <x:c r="C387" s="73" t="s">
        <x:v>1676</x:v>
      </x:c>
      <x:c r="D387" s="73" t="s">
        <x:v>1677</x:v>
      </x:c>
      <x:c r="E387" s="73" t="s">
        <x:v>1678</x:v>
      </x:c>
      <x:c r="F387" s="73" t="s">
        <x:v>616</x:v>
      </x:c>
      <x:c r="G387" s="73" t="s">
        <x:v>31</x:v>
      </x:c>
      <x:c r="H387" s="73" t="s">
        <x:v>1679</x:v>
      </x:c>
      <x:c r="I387" s="73" t="n">
        <x:v>30</x:v>
      </x:c>
      <x:c r="J387" s="73" t="n">
        <x:v>60</x:v>
      </x:c>
      <x:c r="K387" s="73" t="s">
        <x:v>1680</x:v>
      </x:c>
      <x:c r="L387" s="73" t="n">
        <x:v>2020</x:v>
      </x:c>
      <x:c r="M387" s="73" t="n">
        <x:v>1</x:v>
      </x:c>
      <x:c r="N387" s="73" t="n">
        <x:v>12</x:v>
      </x:c>
      <x:c r="O387" s="73" t="n">
        <x:v>18</x:v>
      </x:c>
    </x:row>
    <x:row r="388" ht="15" hidden="0">
      <x:c r="A388" s="73" t="n">
        <x:v>387</x:v>
      </x:c>
      <x:c r="B388" s="73" t="n">
        <x:v>391</x:v>
      </x:c>
      <x:c r="C388" s="73" t="s">
        <x:v>1681</x:v>
      </x:c>
      <x:c r="D388" s="73" t="s">
        <x:v>1682</x:v>
      </x:c>
      <x:c r="E388" s="73" t="s">
        <x:v>1683</x:v>
      </x:c>
      <x:c r="F388" s="73" t="s">
        <x:v>1684</x:v>
      </x:c>
      <x:c r="G388" s="73" t="s">
        <x:v>37</x:v>
      </x:c>
      <x:c r="H388" s="73" t="s">
        <x:v>1685</x:v>
      </x:c>
      <x:c r="I388" s="73" t="n">
        <x:v>22</x:v>
      </x:c>
      <x:c r="J388" s="73" t="n">
        <x:v>45</x:v>
      </x:c>
      <x:c r="K388" s="73" t="s">
        <x:v>1686</x:v>
      </x:c>
      <x:c r="L388" s="73" t="n">
        <x:v>2017</x:v>
      </x:c>
      <x:c r="M388" s="73" t="n">
        <x:v>12</x:v>
      </x:c>
      <x:c r="N388" s="73" t="n">
        <x:v>28</x:v>
      </x:c>
      <x:c r="O388" s="73" t="n">
        <x:v>19</x:v>
      </x:c>
    </x:row>
    <x:row r="389" ht="15" hidden="0">
      <x:c r="A389" s="73" t="n">
        <x:v>388</x:v>
      </x:c>
      <x:c r="B389" s="73" t="n">
        <x:v>392</x:v>
      </x:c>
      <x:c r="C389" s="73" t="s">
        <x:v>1687</x:v>
      </x:c>
      <x:c r="D389" s="73" t="s">
        <x:v>1688</x:v>
      </x:c>
      <x:c r="E389" s="73" t="s">
        <x:v>1689</x:v>
      </x:c>
      <x:c r="F389" s="73" t="s">
        <x:v>1690</x:v>
      </x:c>
      <x:c r="G389" s="73" t="s">
        <x:v>19</x:v>
      </x:c>
      <x:c r="H389" s="73" t="s">
        <x:v>1691</x:v>
      </x:c>
      <x:c r="I389" s="73" t="n">
        <x:v>35</x:v>
      </x:c>
      <x:c r="J389" s="73" t="n">
        <x:v>70</x:v>
      </x:c>
      <x:c r="K389" s="73" t="s">
        <x:v>1692</x:v>
      </x:c>
      <x:c r="L389" s="73" t="n">
        <x:v>2019</x:v>
      </x:c>
      <x:c r="M389" s="73" t="n">
        <x:v>3</x:v>
      </x:c>
      <x:c r="N389" s="73" t="n">
        <x:v>2</x:v>
      </x:c>
      <x:c r="O389" s="73" t="n">
        <x:v>20</x:v>
      </x:c>
    </x:row>
    <x:row r="390" ht="15" hidden="0">
      <x:c r="A390" s="73" t="n">
        <x:v>389</x:v>
      </x:c>
      <x:c r="B390" s="73" t="n">
        <x:v>393</x:v>
      </x:c>
      <x:c r="C390" s="73" t="s">
        <x:v>1693</x:v>
      </x:c>
      <x:c r="D390" s="73" t="s">
        <x:v>1694</x:v>
      </x:c>
      <x:c r="E390" s="73" t="s">
        <x:v>1695</x:v>
      </x:c>
      <x:c r="F390" s="73" t="s">
        <x:v>1696</x:v>
      </x:c>
      <x:c r="G390" s="73" t="s">
        <x:v>31</x:v>
      </x:c>
      <x:c r="H390" s="73" t="s">
        <x:v>1697</x:v>
      </x:c>
      <x:c r="I390" s="73" t="n">
        <x:v>20</x:v>
      </x:c>
      <x:c r="J390" s="73" t="n">
        <x:v>40</x:v>
      </x:c>
      <x:c r="K390" s="73" t="s">
        <x:v>1698</x:v>
      </x:c>
      <x:c r="L390" s="73" t="n">
        <x:v>2022</x:v>
      </x:c>
      <x:c r="M390" s="73" t="n">
        <x:v>6</x:v>
      </x:c>
      <x:c r="N390" s="73" t="n">
        <x:v>8</x:v>
      </x:c>
      <x:c r="O390" s="73" t="n">
        <x:v>15</x:v>
      </x:c>
    </x:row>
    <x:row r="391" ht="15" hidden="0">
      <x:c r="A391" s="73" t="n">
        <x:v>390</x:v>
      </x:c>
      <x:c r="B391" s="73" t="n">
        <x:v>394</x:v>
      </x:c>
      <x:c r="C391" s="73" t="s">
        <x:v>1699</x:v>
      </x:c>
      <x:c r="D391" s="73" t="s">
        <x:v>1700</x:v>
      </x:c>
      <x:c r="E391" s="73" t="s">
        <x:v>1701</x:v>
      </x:c>
      <x:c r="F391" s="73" t="s">
        <x:v>1702</x:v>
      </x:c>
      <x:c r="G391" s="73" t="s">
        <x:v>37</x:v>
      </x:c>
      <x:c r="H391" s="73" t="s">
        <x:v>1703</x:v>
      </x:c>
      <x:c r="I391" s="73" t="n">
        <x:v>18</x:v>
      </x:c>
      <x:c r="J391" s="73" t="n">
        <x:v>35</x:v>
      </x:c>
      <x:c r="K391" s="73" t="s">
        <x:v>1704</x:v>
      </x:c>
      <x:c r="L391" s="73" t="n">
        <x:v>2018</x:v>
      </x:c>
      <x:c r="M391" s="73" t="n">
        <x:v>8</x:v>
      </x:c>
      <x:c r="N391" s="73" t="n">
        <x:v>18</x:v>
      </x:c>
      <x:c r="O391" s="73" t="n">
        <x:v>14</x:v>
      </x:c>
    </x:row>
    <x:row r="392" ht="15" hidden="0">
      <x:c r="A392" s="73" t="n">
        <x:v>391</x:v>
      </x:c>
      <x:c r="B392" s="73" t="n">
        <x:v>395</x:v>
      </x:c>
      <x:c r="C392" s="73" t="s">
        <x:v>1705</x:v>
      </x:c>
      <x:c r="D392" s="73" t="s">
        <x:v>1587</x:v>
      </x:c>
      <x:c r="E392" s="73" t="s">
        <x:v>1588</x:v>
      </x:c>
      <x:c r="F392" s="73" t="s">
        <x:v>1589</x:v>
      </x:c>
      <x:c r="G392" s="73" t="s">
        <x:v>31</x:v>
      </x:c>
      <x:c r="H392" s="73" t="s">
        <x:v>1706</x:v>
      </x:c>
      <x:c r="I392" s="73" t="n">
        <x:v>25</x:v>
      </x:c>
      <x:c r="J392" s="73" t="n">
        <x:v>50</x:v>
      </x:c>
      <x:c r="K392" s="73" t="s">
        <x:v>1591</x:v>
      </x:c>
      <x:c r="L392" s="73" t="n">
        <x:v>2022</x:v>
      </x:c>
      <x:c r="M392" s="73" t="n">
        <x:v>8</x:v>
      </x:c>
      <x:c r="N392" s="73" t="n">
        <x:v>10</x:v>
      </x:c>
      <x:c r="O392" s="73" t="n">
        <x:v>22</x:v>
      </x:c>
    </x:row>
    <x:row r="393" ht="15" hidden="0">
      <x:c r="A393" s="73" t="n">
        <x:v>392</x:v>
      </x:c>
      <x:c r="B393" s="73" t="n">
        <x:v>396</x:v>
      </x:c>
      <x:c r="C393" s="73" t="s">
        <x:v>1707</x:v>
      </x:c>
      <x:c r="D393" s="73" t="s">
        <x:v>1708</x:v>
      </x:c>
      <x:c r="E393" s="73" t="s">
        <x:v>1594</x:v>
      </x:c>
      <x:c r="F393" s="73" t="s">
        <x:v>1709</x:v>
      </x:c>
      <x:c r="G393" s="73" t="s">
        <x:v>19</x:v>
      </x:c>
      <x:c r="H393" s="73" t="s">
        <x:v>1710</x:v>
      </x:c>
      <x:c r="I393" s="73" t="n">
        <x:v>18</x:v>
      </x:c>
      <x:c r="J393" s="73" t="n">
        <x:v>35</x:v>
      </x:c>
      <x:c r="K393" s="73" t="s">
        <x:v>1597</x:v>
      </x:c>
      <x:c r="L393" s="73" t="n">
        <x:v>2019</x:v>
      </x:c>
      <x:c r="M393" s="73" t="n">
        <x:v>4</x:v>
      </x:c>
      <x:c r="N393" s="73" t="n">
        <x:v>5</x:v>
      </x:c>
      <x:c r="O393" s="73" t="n">
        <x:v>17</x:v>
      </x:c>
    </x:row>
    <x:row r="394" ht="15" hidden="0">
      <x:c r="A394" s="73" t="n">
        <x:v>393</x:v>
      </x:c>
      <x:c r="B394" s="73" t="n">
        <x:v>397</x:v>
      </x:c>
      <x:c r="C394" s="73" t="s">
        <x:v>1711</x:v>
      </x:c>
      <x:c r="D394" s="73" t="s">
        <x:v>1712</x:v>
      </x:c>
      <x:c r="E394" s="73" t="s">
        <x:v>1600</x:v>
      </x:c>
      <x:c r="F394" s="73" t="s">
        <x:v>1713</x:v>
      </x:c>
      <x:c r="G394" s="73" t="s">
        <x:v>37</x:v>
      </x:c>
      <x:c r="H394" s="73" t="s">
        <x:v>1714</x:v>
      </x:c>
      <x:c r="I394" s="73" t="n">
        <x:v>22</x:v>
      </x:c>
      <x:c r="J394" s="73" t="n">
        <x:v>45</x:v>
      </x:c>
      <x:c r="K394" s="73" t="s">
        <x:v>1603</x:v>
      </x:c>
      <x:c r="L394" s="73" t="n">
        <x:v>2020</x:v>
      </x:c>
      <x:c r="M394" s="73" t="n">
        <x:v>12</x:v>
      </x:c>
      <x:c r="N394" s="73" t="n">
        <x:v>15</x:v>
      </x:c>
      <x:c r="O394" s="73" t="n">
        <x:v>15</x:v>
      </x:c>
    </x:row>
    <x:row r="395" ht="15" hidden="0">
      <x:c r="A395" s="73" t="n">
        <x:v>394</x:v>
      </x:c>
      <x:c r="B395" s="73" t="n">
        <x:v>398</x:v>
      </x:c>
      <x:c r="C395" s="73" t="s">
        <x:v>1715</x:v>
      </x:c>
      <x:c r="D395" s="73" t="s">
        <x:v>1716</x:v>
      </x:c>
      <x:c r="E395" s="73" t="s">
        <x:v>1606</x:v>
      </x:c>
      <x:c r="F395" s="73" t="s">
        <x:v>1717</x:v>
      </x:c>
      <x:c r="G395" s="73" t="s">
        <x:v>31</x:v>
      </x:c>
      <x:c r="H395" s="73" t="s">
        <x:v>1718</x:v>
      </x:c>
      <x:c r="I395" s="73" t="n">
        <x:v>35</x:v>
      </x:c>
      <x:c r="J395" s="73" t="n">
        <x:v>70</x:v>
      </x:c>
      <x:c r="K395" s="73" t="s">
        <x:v>1609</x:v>
      </x:c>
      <x:c r="L395" s="73" t="n">
        <x:v>2017</x:v>
      </x:c>
      <x:c r="M395" s="73" t="n">
        <x:v>10</x:v>
      </x:c>
      <x:c r="N395" s="73" t="n">
        <x:v>20</x:v>
      </x:c>
      <x:c r="O395" s="73" t="n">
        <x:v>8</x:v>
      </x:c>
    </x:row>
    <x:row r="396" ht="15" hidden="0">
      <x:c r="A396" s="73" t="n">
        <x:v>395</x:v>
      </x:c>
      <x:c r="B396" s="73" t="n">
        <x:v>399</x:v>
      </x:c>
      <x:c r="C396" s="73" t="s">
        <x:v>1719</x:v>
      </x:c>
      <x:c r="D396" s="73" t="s">
        <x:v>1720</x:v>
      </x:c>
      <x:c r="E396" s="73" t="s">
        <x:v>1612</x:v>
      </x:c>
      <x:c r="F396" s="73" t="s">
        <x:v>1721</x:v>
      </x:c>
      <x:c r="G396" s="73" t="s">
        <x:v>19</x:v>
      </x:c>
      <x:c r="H396" s="73" t="s">
        <x:v>1722</x:v>
      </x:c>
      <x:c r="I396" s="73" t="n">
        <x:v>30</x:v>
      </x:c>
      <x:c r="J396" s="73" t="n">
        <x:v>60</x:v>
      </x:c>
      <x:c r="K396" s="73" t="s">
        <x:v>1615</x:v>
      </x:c>
      <x:c r="L396" s="73" t="n">
        <x:v>2021</x:v>
      </x:c>
      <x:c r="M396" s="73" t="n">
        <x:v>2</x:v>
      </x:c>
      <x:c r="N396" s="73" t="n">
        <x:v>28</x:v>
      </x:c>
      <x:c r="O396" s="73" t="n">
        <x:v>13</x:v>
      </x:c>
    </x:row>
    <x:row r="397" ht="15" hidden="0">
      <x:c r="A397" s="73" t="n">
        <x:v>396</x:v>
      </x:c>
      <x:c r="B397" s="73" t="n">
        <x:v>400</x:v>
      </x:c>
      <x:c r="C397" s="73" t="s">
        <x:v>1723</x:v>
      </x:c>
      <x:c r="D397" s="73" t="s">
        <x:v>1724</x:v>
      </x:c>
      <x:c r="E397" s="73" t="s">
        <x:v>1618</x:v>
      </x:c>
      <x:c r="F397" s="73" t="s">
        <x:v>1725</x:v>
      </x:c>
      <x:c r="G397" s="73" t="s">
        <x:v>37</x:v>
      </x:c>
      <x:c r="H397" s="73" t="s">
        <x:v>1726</x:v>
      </x:c>
      <x:c r="I397" s="73" t="n">
        <x:v>28</x:v>
      </x:c>
      <x:c r="J397" s="73" t="n">
        <x:v>55</x:v>
      </x:c>
      <x:c r="K397" s="73" t="s">
        <x:v>1621</x:v>
      </x:c>
      <x:c r="L397" s="73" t="n">
        <x:v>2018</x:v>
      </x:c>
      <x:c r="M397" s="73" t="n">
        <x:v>6</x:v>
      </x:c>
      <x:c r="N397" s="73" t="n">
        <x:v>12</x:v>
      </x:c>
      <x:c r="O397" s="73" t="n">
        <x:v>20</x:v>
      </x:c>
    </x:row>
    <x:row r="398" ht="15" hidden="0">
      <x:c r="A398" s="73" t="n">
        <x:v>397</x:v>
      </x:c>
      <x:c r="B398" s="73" t="n">
        <x:v>401</x:v>
      </x:c>
      <x:c r="C398" s="73" t="s">
        <x:v>1727</x:v>
      </x:c>
      <x:c r="D398" s="73" t="s">
        <x:v>1623</x:v>
      </x:c>
      <x:c r="E398" s="73" t="s">
        <x:v>1624</x:v>
      </x:c>
      <x:c r="F398" s="73" t="s">
        <x:v>1728</x:v>
      </x:c>
      <x:c r="G398" s="73" t="s">
        <x:v>31</x:v>
      </x:c>
      <x:c r="H398" s="73" t="s">
        <x:v>1729</x:v>
      </x:c>
      <x:c r="I398" s="73" t="n">
        <x:v>20</x:v>
      </x:c>
      <x:c r="J398" s="73" t="n">
        <x:v>40</x:v>
      </x:c>
      <x:c r="K398" s="73" t="s">
        <x:v>1627</x:v>
      </x:c>
      <x:c r="L398" s="73" t="n">
        <x:v>2016</x:v>
      </x:c>
      <x:c r="M398" s="73" t="n">
        <x:v>3</x:v>
      </x:c>
      <x:c r="N398" s="73" t="n">
        <x:v>8</x:v>
      </x:c>
      <x:c r="O398" s="73" t="n">
        <x:v>14</x:v>
      </x:c>
    </x:row>
    <x:row r="399" ht="15" hidden="0">
      <x:c r="A399" s="73" t="n">
        <x:v>398</x:v>
      </x:c>
      <x:c r="B399" s="73" t="n">
        <x:v>402</x:v>
      </x:c>
      <x:c r="C399" s="73" t="s">
        <x:v>1730</x:v>
      </x:c>
      <x:c r="D399" s="73" t="s">
        <x:v>1522</x:v>
      </x:c>
      <x:c r="E399" s="73" t="s">
        <x:v>1630</x:v>
      </x:c>
      <x:c r="F399" s="73" t="s">
        <x:v>1631</x:v>
      </x:c>
      <x:c r="G399" s="73" t="s">
        <x:v>19</x:v>
      </x:c>
      <x:c r="H399" s="73" t="s">
        <x:v>1731</x:v>
      </x:c>
      <x:c r="I399" s="73" t="n">
        <x:v>18</x:v>
      </x:c>
      <x:c r="J399" s="73" t="n">
        <x:v>35</x:v>
      </x:c>
      <x:c r="K399" s="73" t="s">
        <x:v>1633</x:v>
      </x:c>
      <x:c r="L399" s="73" t="n">
        <x:v>2023</x:v>
      </x:c>
      <x:c r="M399" s="73" t="n">
        <x:v>4</x:v>
      </x:c>
      <x:c r="N399" s="73" t="n">
        <x:v>18</x:v>
      </x:c>
      <x:c r="O399" s="73" t="n">
        <x:v>17</x:v>
      </x:c>
    </x:row>
    <x:row r="400" ht="15" hidden="0">
      <x:c r="A400" s="73" t="n">
        <x:v>399</x:v>
      </x:c>
      <x:c r="B400" s="73" t="n">
        <x:v>403</x:v>
      </x:c>
      <x:c r="C400" s="73" t="s">
        <x:v>1732</x:v>
      </x:c>
      <x:c r="D400" s="73" t="s">
        <x:v>1733</x:v>
      </x:c>
      <x:c r="E400" s="73" t="s">
        <x:v>1636</x:v>
      </x:c>
      <x:c r="F400" s="73" t="s">
        <x:v>1734</x:v>
      </x:c>
      <x:c r="G400" s="73" t="s">
        <x:v>37</x:v>
      </x:c>
      <x:c r="H400" s="73" t="s">
        <x:v>1735</x:v>
      </x:c>
      <x:c r="I400" s="73" t="n">
        <x:v>22</x:v>
      </x:c>
      <x:c r="J400" s="73" t="n">
        <x:v>45</x:v>
      </x:c>
      <x:c r="K400" s="73" t="s">
        <x:v>1639</x:v>
      </x:c>
      <x:c r="L400" s="73" t="n">
        <x:v>2020</x:v>
      </x:c>
      <x:c r="M400" s="73" t="n">
        <x:v>7</x:v>
      </x:c>
      <x:c r="N400" s="73" t="n">
        <x:v>25</x:v>
      </x:c>
      <x:c r="O400" s="73" t="n">
        <x:v>12</x:v>
      </x:c>
    </x:row>
    <x:row r="401" ht="15" hidden="0">
      <x:c r="A401" s="73" t="n">
        <x:v>400</x:v>
      </x:c>
      <x:c r="B401" s="73" t="n">
        <x:v>404</x:v>
      </x:c>
      <x:c r="C401" s="73" t="s">
        <x:v>1736</x:v>
      </x:c>
      <x:c r="D401" s="73" t="s">
        <x:v>1737</x:v>
      </x:c>
      <x:c r="E401" s="73" t="s">
        <x:v>1642</x:v>
      </x:c>
      <x:c r="F401" s="73" t="s">
        <x:v>1643</x:v>
      </x:c>
      <x:c r="G401" s="73" t="s">
        <x:v>31</x:v>
      </x:c>
      <x:c r="H401" s="73" t="s">
        <x:v>1644</x:v>
      </x:c>
      <x:c r="I401" s="73" t="n">
        <x:v>35</x:v>
      </x:c>
      <x:c r="J401" s="73" t="n">
        <x:v>70</x:v>
      </x:c>
      <x:c r="K401" s="73" t="s">
        <x:v>1645</x:v>
      </x:c>
      <x:c r="L401" s="73" t="n">
        <x:v>2019</x:v>
      </x:c>
      <x:c r="M401" s="73" t="n">
        <x:v>11</x:v>
      </x:c>
      <x:c r="N401" s="73" t="n">
        <x:v>30</x:v>
      </x:c>
      <x:c r="O401" s="73" t="n">
        <x:v>19</x:v>
      </x:c>
    </x:row>
    <x:row r="402" ht="15" hidden="0">
      <x:c r="A402" s="73" t="n">
        <x:v>401</x:v>
      </x:c>
      <x:c r="B402" s="73" t="n">
        <x:v>405</x:v>
      </x:c>
      <x:c r="C402" s="73" t="s">
        <x:v>1738</x:v>
      </x:c>
      <x:c r="D402" s="73" t="s">
        <x:v>1739</x:v>
      </x:c>
      <x:c r="E402" s="73" t="s">
        <x:v>1648</x:v>
      </x:c>
      <x:c r="F402" s="73" t="s">
        <x:v>1649</x:v>
      </x:c>
      <x:c r="G402" s="73" t="s">
        <x:v>19</x:v>
      </x:c>
      <x:c r="H402" s="73" t="s">
        <x:v>1740</x:v>
      </x:c>
      <x:c r="I402" s="73" t="n">
        <x:v>15</x:v>
      </x:c>
      <x:c r="J402" s="73" t="n">
        <x:v>30</x:v>
      </x:c>
      <x:c r="K402" s="73" t="s">
        <x:v>1651</x:v>
      </x:c>
      <x:c r="L402" s="73" t="n">
        <x:v>2015</x:v>
      </x:c>
      <x:c r="M402" s="73" t="n">
        <x:v>9</x:v>
      </x:c>
      <x:c r="N402" s="73" t="n">
        <x:v>1</x:v>
      </x:c>
      <x:c r="O402" s="73" t="n">
        <x:v>16</x:v>
      </x:c>
    </x:row>
    <x:row r="403" ht="15" hidden="0">
      <x:c r="A403" s="73" t="n">
        <x:v>402</x:v>
      </x:c>
      <x:c r="B403" s="73" t="n">
        <x:v>406</x:v>
      </x:c>
      <x:c r="C403" s="73" t="s">
        <x:v>1741</x:v>
      </x:c>
      <x:c r="D403" s="73" t="s">
        <x:v>1742</x:v>
      </x:c>
      <x:c r="E403" s="73" t="s">
        <x:v>1654</x:v>
      </x:c>
      <x:c r="F403" s="73" t="s">
        <x:v>1655</x:v>
      </x:c>
      <x:c r="G403" s="73" t="s">
        <x:v>37</x:v>
      </x:c>
      <x:c r="H403" s="73" t="s">
        <x:v>1656</x:v>
      </x:c>
      <x:c r="I403" s="73" t="n">
        <x:v>25</x:v>
      </x:c>
      <x:c r="J403" s="73" t="n">
        <x:v>50</x:v>
      </x:c>
      <x:c r="K403" s="73" t="s">
        <x:v>1657</x:v>
      </x:c>
      <x:c r="L403" s="73" t="n">
        <x:v>2022</x:v>
      </x:c>
      <x:c r="M403" s="73" t="n">
        <x:v>5</x:v>
      </x:c>
      <x:c r="N403" s="73" t="n">
        <x:v>5</x:v>
      </x:c>
      <x:c r="O403" s="73" t="n">
        <x:v>10</x:v>
      </x:c>
    </x:row>
    <x:row r="404" ht="15" hidden="0">
      <x:c r="A404" s="73" t="n">
        <x:v>403</x:v>
      </x:c>
      <x:c r="B404" s="73" t="n">
        <x:v>407</x:v>
      </x:c>
      <x:c r="C404" s="73" t="s">
        <x:v>1743</x:v>
      </x:c>
      <x:c r="D404" s="73" t="s">
        <x:v>1744</x:v>
      </x:c>
      <x:c r="E404" s="73" t="s">
        <x:v>1660</x:v>
      </x:c>
      <x:c r="F404" s="73" t="s">
        <x:v>1661</x:v>
      </x:c>
      <x:c r="G404" s="73" t="s">
        <x:v>31</x:v>
      </x:c>
      <x:c r="H404" s="73" t="s">
        <x:v>1662</x:v>
      </x:c>
      <x:c r="I404" s="73" t="n">
        <x:v>40</x:v>
      </x:c>
      <x:c r="J404" s="73" t="n">
        <x:v>80</x:v>
      </x:c>
      <x:c r="K404" s="73" t="s">
        <x:v>1663</x:v>
      </x:c>
      <x:c r="L404" s="73" t="n">
        <x:v>2018</x:v>
      </x:c>
      <x:c r="M404" s="73" t="n">
        <x:v>7</x:v>
      </x:c>
      <x:c r="N404" s="73" t="n">
        <x:v>8</x:v>
      </x:c>
      <x:c r="O404" s="73" t="n">
        <x:v>23</x:v>
      </x:c>
    </x:row>
    <x:row r="405" ht="15" hidden="0">
      <x:c r="A405" s="73" t="n">
        <x:v>404</x:v>
      </x:c>
      <x:c r="B405" s="73" t="n">
        <x:v>408</x:v>
      </x:c>
      <x:c r="C405" s="73" t="s">
        <x:v>1664</x:v>
      </x:c>
      <x:c r="D405" s="73" t="s">
        <x:v>1665</x:v>
      </x:c>
      <x:c r="E405" s="73" t="s">
        <x:v>1666</x:v>
      </x:c>
      <x:c r="F405" s="73" t="s">
        <x:v>1667</x:v>
      </x:c>
      <x:c r="G405" s="73" t="s">
        <x:v>19</x:v>
      </x:c>
      <x:c r="H405" s="73" t="s">
        <x:v>1668</x:v>
      </x:c>
      <x:c r="I405" s="73" t="n">
        <x:v>18</x:v>
      </x:c>
      <x:c r="J405" s="73" t="n">
        <x:v>35</x:v>
      </x:c>
      <x:c r="K405" s="73" t="s">
        <x:v>1669</x:v>
      </x:c>
      <x:c r="L405" s="73" t="n">
        <x:v>2021</x:v>
      </x:c>
      <x:c r="M405" s="73" t="n">
        <x:v>9</x:v>
      </x:c>
      <x:c r="N405" s="73" t="n">
        <x:v>20</x:v>
      </x:c>
      <x:c r="O405" s="73" t="n">
        <x:v>14</x:v>
      </x:c>
    </x:row>
    <x:row r="406" ht="15" hidden="0">
      <x:c r="A406" s="73" t="n">
        <x:v>405</x:v>
      </x:c>
      <x:c r="B406" s="73" t="n">
        <x:v>409</x:v>
      </x:c>
      <x:c r="C406" s="73" t="s">
        <x:v>1670</x:v>
      </x:c>
      <x:c r="D406" s="73" t="s">
        <x:v>1745</x:v>
      </x:c>
      <x:c r="E406" s="73" t="s">
        <x:v>1672</x:v>
      </x:c>
      <x:c r="F406" s="73" t="s">
        <x:v>1673</x:v>
      </x:c>
      <x:c r="G406" s="73" t="s">
        <x:v>37</x:v>
      </x:c>
      <x:c r="H406" s="73" t="s">
        <x:v>1674</x:v>
      </x:c>
      <x:c r="I406" s="73" t="n">
        <x:v>28</x:v>
      </x:c>
      <x:c r="J406" s="73" t="n">
        <x:v>55</x:v>
      </x:c>
      <x:c r="K406" s="73" t="s">
        <x:v>1675</x:v>
      </x:c>
      <x:c r="L406" s="73" t="n">
        <x:v>2016</x:v>
      </x:c>
      <x:c r="M406" s="73" t="n">
        <x:v>11</x:v>
      </x:c>
      <x:c r="N406" s="73" t="n">
        <x:v>15</x:v>
      </x:c>
      <x:c r="O406" s="73" t="n">
        <x:v>11</x:v>
      </x:c>
    </x:row>
    <x:row r="407" ht="15" hidden="0">
      <x:c r="A407" s="73" t="n">
        <x:v>406</x:v>
      </x:c>
      <x:c r="B407" s="73" t="n">
        <x:v>410</x:v>
      </x:c>
      <x:c r="C407" s="73" t="s">
        <x:v>1676</x:v>
      </x:c>
      <x:c r="D407" s="73" t="s">
        <x:v>1677</x:v>
      </x:c>
      <x:c r="E407" s="73" t="s">
        <x:v>1678</x:v>
      </x:c>
      <x:c r="F407" s="73" t="s">
        <x:v>616</x:v>
      </x:c>
      <x:c r="G407" s="73" t="s">
        <x:v>31</x:v>
      </x:c>
      <x:c r="H407" s="73" t="s">
        <x:v>1679</x:v>
      </x:c>
      <x:c r="I407" s="73" t="n">
        <x:v>30</x:v>
      </x:c>
      <x:c r="J407" s="73" t="n">
        <x:v>60</x:v>
      </x:c>
      <x:c r="K407" s="73" t="s">
        <x:v>1680</x:v>
      </x:c>
      <x:c r="L407" s="73" t="n">
        <x:v>2020</x:v>
      </x:c>
      <x:c r="M407" s="73" t="n">
        <x:v>1</x:v>
      </x:c>
      <x:c r="N407" s="73" t="n">
        <x:v>12</x:v>
      </x:c>
      <x:c r="O407" s="73" t="n">
        <x:v>18</x:v>
      </x:c>
    </x:row>
    <x:row r="408" ht="15" hidden="0">
      <x:c r="A408" s="73" t="n">
        <x:v>407</x:v>
      </x:c>
      <x:c r="B408" s="73" t="n">
        <x:v>411</x:v>
      </x:c>
      <x:c r="C408" s="73" t="s">
        <x:v>1681</x:v>
      </x:c>
      <x:c r="D408" s="73" t="s">
        <x:v>1682</x:v>
      </x:c>
      <x:c r="E408" s="73" t="s">
        <x:v>1683</x:v>
      </x:c>
      <x:c r="F408" s="73" t="s">
        <x:v>1684</x:v>
      </x:c>
      <x:c r="G408" s="73" t="s">
        <x:v>37</x:v>
      </x:c>
      <x:c r="H408" s="73" t="s">
        <x:v>1685</x:v>
      </x:c>
      <x:c r="I408" s="73" t="n">
        <x:v>22</x:v>
      </x:c>
      <x:c r="J408" s="73" t="n">
        <x:v>45</x:v>
      </x:c>
      <x:c r="K408" s="73" t="s">
        <x:v>1686</x:v>
      </x:c>
      <x:c r="L408" s="73" t="n">
        <x:v>2017</x:v>
      </x:c>
      <x:c r="M408" s="73" t="n">
        <x:v>12</x:v>
      </x:c>
      <x:c r="N408" s="73" t="n">
        <x:v>28</x:v>
      </x:c>
      <x:c r="O408" s="73" t="n">
        <x:v>19</x:v>
      </x:c>
    </x:row>
    <x:row r="409" ht="15" hidden="0">
      <x:c r="A409" s="73" t="n">
        <x:v>408</x:v>
      </x:c>
      <x:c r="B409" s="73" t="n">
        <x:v>412</x:v>
      </x:c>
      <x:c r="C409" s="73" t="s">
        <x:v>1746</x:v>
      </x:c>
      <x:c r="D409" s="73" t="s">
        <x:v>1747</x:v>
      </x:c>
      <x:c r="E409" s="73" t="s">
        <x:v>1689</x:v>
      </x:c>
      <x:c r="F409" s="73" t="s">
        <x:v>1690</x:v>
      </x:c>
      <x:c r="G409" s="73" t="s">
        <x:v>19</x:v>
      </x:c>
      <x:c r="H409" s="73" t="s">
        <x:v>1748</x:v>
      </x:c>
      <x:c r="I409" s="73" t="n">
        <x:v>35</x:v>
      </x:c>
      <x:c r="J409" s="73" t="n">
        <x:v>70</x:v>
      </x:c>
      <x:c r="K409" s="73" t="s">
        <x:v>1692</x:v>
      </x:c>
      <x:c r="L409" s="73" t="n">
        <x:v>2019</x:v>
      </x:c>
      <x:c r="M409" s="73" t="n">
        <x:v>3</x:v>
      </x:c>
      <x:c r="N409" s="73" t="n">
        <x:v>2</x:v>
      </x:c>
      <x:c r="O409" s="73" t="n">
        <x:v>20</x:v>
      </x:c>
    </x:row>
    <x:row r="410" ht="15" hidden="0">
      <x:c r="A410" s="73" t="n">
        <x:v>409</x:v>
      </x:c>
      <x:c r="B410" s="73" t="n">
        <x:v>413</x:v>
      </x:c>
      <x:c r="C410" s="73" t="s">
        <x:v>1749</x:v>
      </x:c>
      <x:c r="D410" s="73" t="s">
        <x:v>1750</x:v>
      </x:c>
      <x:c r="E410" s="73" t="s">
        <x:v>1695</x:v>
      </x:c>
      <x:c r="F410" s="73" t="s">
        <x:v>1696</x:v>
      </x:c>
      <x:c r="G410" s="73" t="s">
        <x:v>31</x:v>
      </x:c>
      <x:c r="H410" s="73" t="s">
        <x:v>1751</x:v>
      </x:c>
      <x:c r="I410" s="73" t="n">
        <x:v>20</x:v>
      </x:c>
      <x:c r="J410" s="73" t="n">
        <x:v>40</x:v>
      </x:c>
      <x:c r="K410" s="73" t="s">
        <x:v>1698</x:v>
      </x:c>
      <x:c r="L410" s="73" t="n">
        <x:v>2022</x:v>
      </x:c>
      <x:c r="M410" s="73" t="n">
        <x:v>6</x:v>
      </x:c>
      <x:c r="N410" s="73" t="n">
        <x:v>8</x:v>
      </x:c>
      <x:c r="O410" s="73" t="n">
        <x:v>15</x:v>
      </x:c>
    </x:row>
    <x:row r="411" ht="15" hidden="0">
      <x:c r="A411" s="73" t="n">
        <x:v>410</x:v>
      </x:c>
      <x:c r="B411" s="73" t="n">
        <x:v>414</x:v>
      </x:c>
      <x:c r="C411" s="73" t="s">
        <x:v>1752</x:v>
      </x:c>
      <x:c r="D411" s="73" t="s">
        <x:v>1700</x:v>
      </x:c>
      <x:c r="E411" s="73" t="s">
        <x:v>1701</x:v>
      </x:c>
      <x:c r="F411" s="73" t="s">
        <x:v>1702</x:v>
      </x:c>
      <x:c r="G411" s="73" t="s">
        <x:v>37</x:v>
      </x:c>
      <x:c r="H411" s="73" t="s">
        <x:v>1703</x:v>
      </x:c>
      <x:c r="I411" s="73" t="n">
        <x:v>18</x:v>
      </x:c>
      <x:c r="J411" s="73" t="n">
        <x:v>35</x:v>
      </x:c>
      <x:c r="K411" s="73" t="s">
        <x:v>1704</x:v>
      </x:c>
      <x:c r="L411" s="73" t="n">
        <x:v>2018</x:v>
      </x:c>
      <x:c r="M411" s="73" t="n">
        <x:v>8</x:v>
      </x:c>
      <x:c r="N411" s="73" t="n">
        <x:v>18</x:v>
      </x:c>
      <x:c r="O411" s="73" t="n">
        <x:v>14</x:v>
      </x:c>
    </x:row>
    <x:row r="412" ht="15" hidden="0">
      <x:c r="A412" s="73" t="n">
        <x:v>411</x:v>
      </x:c>
      <x:c r="B412" s="73" t="n">
        <x:v>415</x:v>
      </x:c>
      <x:c r="C412" s="73" t="s">
        <x:v>1753</x:v>
      </x:c>
      <x:c r="D412" s="73" t="s">
        <x:v>1754</x:v>
      </x:c>
      <x:c r="E412" s="73" t="s">
        <x:v>1583</x:v>
      </x:c>
      <x:c r="F412" s="73" t="s">
        <x:v>1584</x:v>
      </x:c>
      <x:c r="G412" s="73" t="s">
        <x:v>31</x:v>
      </x:c>
      <x:c r="H412" s="73" t="s">
        <x:v>1755</x:v>
      </x:c>
      <x:c r="I412" s="73" t="n">
        <x:v>18</x:v>
      </x:c>
      <x:c r="J412" s="73" t="n">
        <x:v>35</x:v>
      </x:c>
      <x:c r="K412" s="73" t="s">
        <x:v>45</x:v>
      </x:c>
      <x:c r="L412" s="73" t="n">
        <x:v>2015</x:v>
      </x:c>
      <x:c r="M412" s="73" t="n">
        <x:v>11</x:v>
      </x:c>
      <x:c r="N412" s="73" t="n">
        <x:v>8</x:v>
      </x:c>
      <x:c r="O412" s="73" t="n">
        <x:v>10</x:v>
      </x:c>
    </x:row>
    <x:row r="413" ht="15" hidden="0">
      <x:c r="A413" s="73" t="n">
        <x:v>412</x:v>
      </x:c>
      <x:c r="B413" s="73" t="n">
        <x:v>416</x:v>
      </x:c>
      <x:c r="C413" s="73" t="s">
        <x:v>1756</x:v>
      </x:c>
      <x:c r="D413" s="73" t="s">
        <x:v>357</x:v>
      </x:c>
      <x:c r="E413" s="73" t="s">
        <x:v>1757</x:v>
      </x:c>
      <x:c r="F413" s="73" t="s">
        <x:v>1758</x:v>
      </x:c>
      <x:c r="G413" s="73" t="s">
        <x:v>19</x:v>
      </x:c>
      <x:c r="H413" s="73" t="s">
        <x:v>1759</x:v>
      </x:c>
      <x:c r="I413" s="73" t="n">
        <x:v>22</x:v>
      </x:c>
      <x:c r="J413" s="73" t="n">
        <x:v>45</x:v>
      </x:c>
      <x:c r="K413" s="73" t="s">
        <x:v>1760</x:v>
      </x:c>
      <x:c r="L413" s="73" t="n">
        <x:v>2020</x:v>
      </x:c>
      <x:c r="M413" s="73" t="n">
        <x:v>12</x:v>
      </x:c>
      <x:c r="N413" s="73" t="n">
        <x:v>2</x:v>
      </x:c>
      <x:c r="O413" s="73" t="n">
        <x:v>17</x:v>
      </x:c>
    </x:row>
    <x:row r="414" ht="15" hidden="0">
      <x:c r="A414" s="73" t="n">
        <x:v>413</x:v>
      </x:c>
      <x:c r="B414" s="73" t="n">
        <x:v>417</x:v>
      </x:c>
      <x:c r="C414" s="73" t="s">
        <x:v>1761</x:v>
      </x:c>
      <x:c r="D414" s="73" t="s">
        <x:v>1124</x:v>
      </x:c>
      <x:c r="E414" s="73" t="s">
        <x:v>1762</x:v>
      </x:c>
      <x:c r="F414" s="73" t="s">
        <x:v>1763</x:v>
      </x:c>
      <x:c r="G414" s="73" t="s">
        <x:v>31</x:v>
      </x:c>
      <x:c r="H414" s="73" t="s">
        <x:v>1764</x:v>
      </x:c>
      <x:c r="I414" s="73" t="n">
        <x:v>28</x:v>
      </x:c>
      <x:c r="J414" s="73" t="n">
        <x:v>55</x:v>
      </x:c>
      <x:c r="K414" s="73" t="s">
        <x:v>1765</x:v>
      </x:c>
      <x:c r="L414" s="73" t="n">
        <x:v>2017</x:v>
      </x:c>
      <x:c r="M414" s="73" t="n">
        <x:v>6</x:v>
      </x:c>
      <x:c r="N414" s="73" t="n">
        <x:v>10</x:v>
      </x:c>
      <x:c r="O414" s="73" t="n">
        <x:v>12</x:v>
      </x:c>
    </x:row>
    <x:row r="415" ht="15" hidden="0">
      <x:c r="A415" s="73" t="n">
        <x:v>414</x:v>
      </x:c>
      <x:c r="B415" s="73" t="n">
        <x:v>418</x:v>
      </x:c>
      <x:c r="C415" s="73" t="s">
        <x:v>1766</x:v>
      </x:c>
      <x:c r="D415" s="73" t="s">
        <x:v>1767</x:v>
      </x:c>
      <x:c r="E415" s="73" t="s">
        <x:v>1768</x:v>
      </x:c>
      <x:c r="F415" s="73" t="s">
        <x:v>1769</x:v>
      </x:c>
      <x:c r="G415" s="73" t="s">
        <x:v>37</x:v>
      </x:c>
      <x:c r="H415" s="73" t="s">
        <x:v>1770</x:v>
      </x:c>
      <x:c r="I415" s="73" t="n">
        <x:v>35</x:v>
      </x:c>
      <x:c r="J415" s="73" t="n">
        <x:v>70</x:v>
      </x:c>
      <x:c r="K415" s="73" t="s">
        <x:v>1627</x:v>
      </x:c>
      <x:c r="L415" s="73" t="n">
        <x:v>2021</x:v>
      </x:c>
      <x:c r="M415" s="73" t="n">
        <x:v>4</x:v>
      </x:c>
      <x:c r="N415" s="73" t="n">
        <x:v>15</x:v>
      </x:c>
      <x:c r="O415" s="73" t="n">
        <x:v>14</x:v>
      </x:c>
    </x:row>
    <x:row r="416" ht="15" hidden="0">
      <x:c r="A416" s="73" t="n">
        <x:v>415</x:v>
      </x:c>
      <x:c r="B416" s="73" t="n">
        <x:v>419</x:v>
      </x:c>
      <x:c r="C416" s="73" t="s">
        <x:v>1771</x:v>
      </x:c>
      <x:c r="D416" s="73" t="s">
        <x:v>1772</x:v>
      </x:c>
      <x:c r="E416" s="73" t="s">
        <x:v>1773</x:v>
      </x:c>
      <x:c r="F416" s="73" t="s">
        <x:v>1774</x:v>
      </x:c>
      <x:c r="G416" s="73" t="s">
        <x:v>19</x:v>
      </x:c>
      <x:c r="H416" s="73" t="s">
        <x:v>1775</x:v>
      </x:c>
      <x:c r="I416" s="73" t="n">
        <x:v>20</x:v>
      </x:c>
      <x:c r="J416" s="73" t="n">
        <x:v>40</x:v>
      </x:c>
      <x:c r="K416" s="73" t="s">
        <x:v>1776</x:v>
      </x:c>
      <x:c r="L416" s="73" t="n">
        <x:v>2019</x:v>
      </x:c>
      <x:c r="M416" s="73" t="n">
        <x:v>9</x:v>
      </x:c>
      <x:c r="N416" s="73" t="n">
        <x:v>28</x:v>
      </x:c>
      <x:c r="O416" s="73" t="n">
        <x:v>19</x:v>
      </x:c>
    </x:row>
    <x:row r="417" ht="15" hidden="0">
      <x:c r="A417" s="73" t="n">
        <x:v>416</x:v>
      </x:c>
      <x:c r="B417" s="73" t="n">
        <x:v>420</x:v>
      </x:c>
      <x:c r="C417" s="73" t="s">
        <x:v>1777</x:v>
      </x:c>
      <x:c r="D417" s="73" t="s">
        <x:v>1778</x:v>
      </x:c>
      <x:c r="E417" s="73" t="s">
        <x:v>1779</x:v>
      </x:c>
      <x:c r="F417" s="73" t="s">
        <x:v>1780</x:v>
      </x:c>
      <x:c r="G417" s="73" t="s">
        <x:v>31</x:v>
      </x:c>
      <x:c r="H417" s="73" t="s">
        <x:v>1781</x:v>
      </x:c>
      <x:c r="I417" s="73" t="n">
        <x:v>25</x:v>
      </x:c>
      <x:c r="J417" s="73" t="n">
        <x:v>50</x:v>
      </x:c>
      <x:c r="K417" s="73" t="s">
        <x:v>1782</x:v>
      </x:c>
      <x:c r="L417" s="73" t="n">
        <x:v>2016</x:v>
      </x:c>
      <x:c r="M417" s="73" t="n">
        <x:v>12</x:v>
      </x:c>
      <x:c r="N417" s="73" t="n">
        <x:v>5</x:v>
      </x:c>
      <x:c r="O417" s="73" t="n">
        <x:v>21</x:v>
      </x:c>
    </x:row>
    <x:row r="418" ht="15" hidden="0">
      <x:c r="A418" s="73" t="n">
        <x:v>417</x:v>
      </x:c>
      <x:c r="B418" s="73" t="n">
        <x:v>421</x:v>
      </x:c>
      <x:c r="C418" s="73" t="s">
        <x:v>1783</x:v>
      </x:c>
      <x:c r="D418" s="73" t="s">
        <x:v>1784</x:v>
      </x:c>
      <x:c r="E418" s="73" t="s">
        <x:v>1785</x:v>
      </x:c>
      <x:c r="F418" s="73" t="s">
        <x:v>1786</x:v>
      </x:c>
      <x:c r="G418" s="73" t="s">
        <x:v>37</x:v>
      </x:c>
      <x:c r="H418" s="73" t="s">
        <x:v>1787</x:v>
      </x:c>
      <x:c r="I418" s="73" t="n">
        <x:v>30</x:v>
      </x:c>
      <x:c r="J418" s="73" t="n">
        <x:v>60</x:v>
      </x:c>
      <x:c r="K418" s="73" t="s">
        <x:v>1788</x:v>
      </x:c>
      <x:c r="L418" s="73" t="n">
        <x:v>2018</x:v>
      </x:c>
      <x:c r="M418" s="73" t="n">
        <x:v>2</x:v>
      </x:c>
      <x:c r="N418" s="73" t="n">
        <x:v>10</x:v>
      </x:c>
      <x:c r="O418" s="73" t="n">
        <x:v>23</x:v>
      </x:c>
    </x:row>
    <x:row r="419" ht="15" hidden="0">
      <x:c r="A419" s="73" t="n">
        <x:v>418</x:v>
      </x:c>
      <x:c r="B419" s="73" t="n">
        <x:v>422</x:v>
      </x:c>
      <x:c r="C419" s="73" t="s">
        <x:v>1789</x:v>
      </x:c>
      <x:c r="D419" s="73" t="s">
        <x:v>1790</x:v>
      </x:c>
      <x:c r="E419" s="73" t="s">
        <x:v>1791</x:v>
      </x:c>
      <x:c r="F419" s="73" t="s">
        <x:v>1792</x:v>
      </x:c>
      <x:c r="G419" s="73" t="s">
        <x:v>19</x:v>
      </x:c>
      <x:c r="H419" s="73" t="s">
        <x:v>1793</x:v>
      </x:c>
      <x:c r="I419" s="73" t="n">
        <x:v>18</x:v>
      </x:c>
      <x:c r="J419" s="73" t="n">
        <x:v>35</x:v>
      </x:c>
      <x:c r="K419" s="73" t="s">
        <x:v>1794</x:v>
      </x:c>
      <x:c r="L419" s="73" t="n">
        <x:v>2023</x:v>
      </x:c>
      <x:c r="M419" s="73" t="n">
        <x:v>2</x:v>
      </x:c>
      <x:c r="N419" s="73" t="n">
        <x:v>15</x:v>
      </x:c>
      <x:c r="O419" s="73" t="n">
        <x:v>8</x:v>
      </x:c>
    </x:row>
    <x:row r="420" ht="15" hidden="0">
      <x:c r="A420" s="73" t="n">
        <x:v>419</x:v>
      </x:c>
      <x:c r="B420" s="73" t="n">
        <x:v>423</x:v>
      </x:c>
      <x:c r="C420" s="73" t="s">
        <x:v>1795</x:v>
      </x:c>
      <x:c r="D420" s="73" t="s">
        <x:v>1796</x:v>
      </x:c>
      <x:c r="E420" s="73" t="s">
        <x:v>1797</x:v>
      </x:c>
      <x:c r="F420" s="73" t="s">
        <x:v>1798</x:v>
      </x:c>
      <x:c r="G420" s="73" t="s">
        <x:v>31</x:v>
      </x:c>
      <x:c r="H420" s="73" t="s">
        <x:v>1799</x:v>
      </x:c>
      <x:c r="I420" s="73" t="n">
        <x:v>22</x:v>
      </x:c>
      <x:c r="J420" s="73" t="n">
        <x:v>45</x:v>
      </x:c>
      <x:c r="K420" s="73" t="s">
        <x:v>1800</x:v>
      </x:c>
      <x:c r="L420" s="73" t="n">
        <x:v>2015</x:v>
      </x:c>
      <x:c r="M420" s="73" t="n">
        <x:v>8</x:v>
      </x:c>
      <x:c r="N420" s="73" t="n">
        <x:v>22</x:v>
      </x:c>
      <x:c r="O420" s="73" t="n">
        <x:v>15</x:v>
      </x:c>
    </x:row>
    <x:row r="421" ht="15" hidden="0">
      <x:c r="A421" s="73" t="n">
        <x:v>420</x:v>
      </x:c>
      <x:c r="B421" s="73" t="n">
        <x:v>424</x:v>
      </x:c>
      <x:c r="C421" s="73" t="s">
        <x:v>1801</x:v>
      </x:c>
      <x:c r="D421" s="73" t="s">
        <x:v>1802</x:v>
      </x:c>
      <x:c r="E421" s="73" t="s">
        <x:v>1803</x:v>
      </x:c>
      <x:c r="F421" s="73" t="s">
        <x:v>1804</x:v>
      </x:c>
      <x:c r="G421" s="73" t="s">
        <x:v>37</x:v>
      </x:c>
      <x:c r="H421" s="73" t="s">
        <x:v>1805</x:v>
      </x:c>
      <x:c r="I421" s="73" t="n">
        <x:v>28</x:v>
      </x:c>
      <x:c r="J421" s="73" t="n">
        <x:v>55</x:v>
      </x:c>
      <x:c r="K421" s="73" t="s">
        <x:v>1806</x:v>
      </x:c>
      <x:c r="L421" s="73" t="n">
        <x:v>2020</x:v>
      </x:c>
      <x:c r="M421" s="73" t="n">
        <x:v>11</x:v>
      </x:c>
      <x:c r="N421" s="73" t="n">
        <x:v>20</x:v>
      </x:c>
      <x:c r="O421" s="73" t="n">
        <x:v>18</x:v>
      </x:c>
    </x:row>
    <x:row r="422" ht="15" hidden="0">
      <x:c r="A422" s="73" t="n">
        <x:v>421</x:v>
      </x:c>
      <x:c r="B422" s="73" t="n">
        <x:v>425</x:v>
      </x:c>
      <x:c r="C422" s="73" t="s">
        <x:v>1807</x:v>
      </x:c>
      <x:c r="D422" s="73" t="s">
        <x:v>1808</x:v>
      </x:c>
      <x:c r="E422" s="73" t="s">
        <x:v>1809</x:v>
      </x:c>
      <x:c r="F422" s="73" t="s">
        <x:v>1810</x:v>
      </x:c>
      <x:c r="G422" s="73" t="s">
        <x:v>31</x:v>
      </x:c>
      <x:c r="H422" s="73" t="s">
        <x:v>1811</x:v>
      </x:c>
      <x:c r="I422" s="73" t="n">
        <x:v>15</x:v>
      </x:c>
      <x:c r="J422" s="73" t="n">
        <x:v>30</x:v>
      </x:c>
      <x:c r="K422" s="73" t="s">
        <x:v>1627</x:v>
      </x:c>
      <x:c r="L422" s="73" t="n">
        <x:v>2019</x:v>
      </x:c>
      <x:c r="M422" s="73" t="n">
        <x:v>8</x:v>
      </x:c>
      <x:c r="N422" s="73" t="n">
        <x:v>5</x:v>
      </x:c>
      <x:c r="O422" s="73" t="n">
        <x:v>21</x:v>
      </x:c>
    </x:row>
    <x:row r="423" ht="15" hidden="0">
      <x:c r="A423" s="73" t="n">
        <x:v>422</x:v>
      </x:c>
      <x:c r="B423" s="73" t="n">
        <x:v>426</x:v>
      </x:c>
      <x:c r="C423" s="73" t="s">
        <x:v>1812</x:v>
      </x:c>
      <x:c r="D423" s="73" t="s">
        <x:v>1813</x:v>
      </x:c>
      <x:c r="E423" s="73" t="s">
        <x:v>1814</x:v>
      </x:c>
      <x:c r="F423" s="73" t="s">
        <x:v>1815</x:v>
      </x:c>
      <x:c r="G423" s="73" t="s">
        <x:v>19</x:v>
      </x:c>
      <x:c r="H423" s="73" t="s">
        <x:v>1816</x:v>
      </x:c>
      <x:c r="I423" s="73" t="n">
        <x:v>18</x:v>
      </x:c>
      <x:c r="J423" s="73" t="n">
        <x:v>35</x:v>
      </x:c>
      <x:c r="K423" s="73" t="s">
        <x:v>759</x:v>
      </x:c>
      <x:c r="L423" s="73" t="n">
        <x:v>2021</x:v>
      </x:c>
      <x:c r="M423" s="73" t="n">
        <x:v>2</x:v>
      </x:c>
      <x:c r="N423" s="73" t="n">
        <x:v>12</x:v>
      </x:c>
      <x:c r="O423" s="73" t="n">
        <x:v>16</x:v>
      </x:c>
    </x:row>
    <x:row r="424" ht="15" hidden="0">
      <x:c r="A424" s="73" t="n">
        <x:v>423</x:v>
      </x:c>
      <x:c r="B424" s="73" t="n">
        <x:v>427</x:v>
      </x:c>
      <x:c r="C424" s="73" t="s">
        <x:v>1817</x:v>
      </x:c>
      <x:c r="D424" s="73" t="s">
        <x:v>1818</x:v>
      </x:c>
      <x:c r="E424" s="73" t="s">
        <x:v>1819</x:v>
      </x:c>
      <x:c r="F424" s="73" t="s">
        <x:v>1820</x:v>
      </x:c>
      <x:c r="G424" s="73" t="s">
        <x:v>37</x:v>
      </x:c>
      <x:c r="H424" s="73" t="s">
        <x:v>1821</x:v>
      </x:c>
      <x:c r="I424" s="73" t="n">
        <x:v>22</x:v>
      </x:c>
      <x:c r="J424" s="73" t="n">
        <x:v>45</x:v>
      </x:c>
      <x:c r="K424" s="73" t="s">
        <x:v>1776</x:v>
      </x:c>
      <x:c r="L424" s="73" t="n">
        <x:v>2020</x:v>
      </x:c>
      <x:c r="M424" s="73" t="n">
        <x:v>11</x:v>
      </x:c>
      <x:c r="N424" s="73" t="n">
        <x:v>28</x:v>
      </x:c>
      <x:c r="O424" s="73" t="n">
        <x:v>14</x:v>
      </x:c>
    </x:row>
    <x:row r="425" ht="15" hidden="0">
      <x:c r="A425" s="73" t="n">
        <x:v>424</x:v>
      </x:c>
      <x:c r="B425" s="73" t="n">
        <x:v>428</x:v>
      </x:c>
      <x:c r="C425" s="73" t="s">
        <x:v>1822</x:v>
      </x:c>
      <x:c r="D425" s="73" t="s">
        <x:v>1823</x:v>
      </x:c>
      <x:c r="E425" s="73" t="s">
        <x:v>1824</x:v>
      </x:c>
      <x:c r="F425" s="73" t="s">
        <x:v>1825</x:v>
      </x:c>
      <x:c r="G425" s="73" t="s">
        <x:v>31</x:v>
      </x:c>
      <x:c r="H425" s="73" t="s">
        <x:v>1826</x:v>
      </x:c>
      <x:c r="I425" s="73" t="n">
        <x:v>28</x:v>
      </x:c>
      <x:c r="J425" s="73" t="n">
        <x:v>55</x:v>
      </x:c>
      <x:c r="K425" s="73" t="s">
        <x:v>1827</x:v>
      </x:c>
      <x:c r="L425" s="73" t="n">
        <x:v>2016</x:v>
      </x:c>
      <x:c r="M425" s="73" t="n">
        <x:v>5</x:v>
      </x:c>
      <x:c r="N425" s="73" t="n">
        <x:v>15</x:v>
      </x:c>
      <x:c r="O425" s="73" t="n">
        <x:v>22</x:v>
      </x:c>
    </x:row>
    <x:row r="426" ht="15" hidden="0">
      <x:c r="A426" s="73" t="n">
        <x:v>425</x:v>
      </x:c>
      <x:c r="B426" s="73" t="n">
        <x:v>429</x:v>
      </x:c>
      <x:c r="C426" s="73" t="s">
        <x:v>1828</x:v>
      </x:c>
      <x:c r="D426" s="73" t="s">
        <x:v>1829</x:v>
      </x:c>
      <x:c r="E426" s="73" t="s">
        <x:v>1830</x:v>
      </x:c>
      <x:c r="F426" s="73" t="s">
        <x:v>1831</x:v>
      </x:c>
      <x:c r="G426" s="73" t="s">
        <x:v>19</x:v>
      </x:c>
      <x:c r="H426" s="73" t="s">
        <x:v>1832</x:v>
      </x:c>
      <x:c r="I426" s="73" t="n">
        <x:v>22</x:v>
      </x:c>
      <x:c r="J426" s="73" t="n">
        <x:v>45</x:v>
      </x:c>
      <x:c r="K426" s="73" t="s">
        <x:v>1639</x:v>
      </x:c>
      <x:c r="L426" s="73" t="n">
        <x:v>2018</x:v>
      </x:c>
      <x:c r="M426" s="73" t="n">
        <x:v>9</x:v>
      </x:c>
      <x:c r="N426" s="73" t="n">
        <x:v>10</x:v>
      </x:c>
      <x:c r="O426" s="73" t="n">
        <x:v>13</x:v>
      </x:c>
    </x:row>
    <x:row r="427" ht="15" hidden="0">
      <x:c r="A427" s="73" t="n">
        <x:v>426</x:v>
      </x:c>
      <x:c r="B427" s="73" t="n">
        <x:v>430</x:v>
      </x:c>
      <x:c r="C427" s="73" t="s">
        <x:v>1833</x:v>
      </x:c>
      <x:c r="D427" s="73" t="s">
        <x:v>1834</x:v>
      </x:c>
      <x:c r="E427" s="73" t="s">
        <x:v>1835</x:v>
      </x:c>
      <x:c r="F427" s="73" t="s">
        <x:v>1836</x:v>
      </x:c>
      <x:c r="G427" s="73" t="s">
        <x:v>37</x:v>
      </x:c>
      <x:c r="H427" s="73" t="s">
        <x:v>1837</x:v>
      </x:c>
      <x:c r="I427" s="73" t="n">
        <x:v>25</x:v>
      </x:c>
      <x:c r="J427" s="73" t="n">
        <x:v>50</x:v>
      </x:c>
      <x:c r="K427" s="73" t="s">
        <x:v>1800</x:v>
      </x:c>
      <x:c r="L427" s="73" t="n">
        <x:v>2022</x:v>
      </x:c>
      <x:c r="M427" s="73" t="n">
        <x:v>3</x:v>
      </x:c>
      <x:c r="N427" s="73" t="n">
        <x:v>20</x:v>
      </x:c>
      <x:c r="O427" s="73" t="n">
        <x:v>19</x:v>
      </x:c>
    </x:row>
    <x:row r="428" ht="15" hidden="0">
      <x:c r="A428" s="73" t="n">
        <x:v>427</x:v>
      </x:c>
      <x:c r="B428" s="73" t="n">
        <x:v>431</x:v>
      </x:c>
      <x:c r="C428" s="73" t="s">
        <x:v>1838</x:v>
      </x:c>
      <x:c r="D428" s="73" t="s">
        <x:v>1839</x:v>
      </x:c>
      <x:c r="E428" s="73" t="s">
        <x:v>1840</x:v>
      </x:c>
      <x:c r="F428" s="73" t="s">
        <x:v>1841</x:v>
      </x:c>
      <x:c r="G428" s="73" t="s">
        <x:v>31</x:v>
      </x:c>
      <x:c r="H428" s="73" t="s">
        <x:v>1842</x:v>
      </x:c>
      <x:c r="I428" s="73" t="n">
        <x:v>30</x:v>
      </x:c>
      <x:c r="J428" s="73" t="n">
        <x:v>60</x:v>
      </x:c>
      <x:c r="K428" s="73" t="s">
        <x:v>1782</x:v>
      </x:c>
      <x:c r="L428" s="73" t="n">
        <x:v>2017</x:v>
      </x:c>
      <x:c r="M428" s="73" t="n">
        <x:v>7</x:v>
      </x:c>
      <x:c r="N428" s="73" t="n">
        <x:v>18</x:v>
      </x:c>
      <x:c r="O428" s="73" t="n">
        <x:v>17</x:v>
      </x:c>
    </x:row>
    <x:row r="429" ht="15" hidden="0">
      <x:c r="A429" s="73" t="n">
        <x:v>428</x:v>
      </x:c>
      <x:c r="B429" s="73" t="n">
        <x:v>432</x:v>
      </x:c>
      <x:c r="C429" s="73" t="s">
        <x:v>1843</x:v>
      </x:c>
      <x:c r="D429" s="73" t="s">
        <x:v>1844</x:v>
      </x:c>
      <x:c r="E429" s="73" t="s">
        <x:v>1845</x:v>
      </x:c>
      <x:c r="F429" s="73" t="s">
        <x:v>1846</x:v>
      </x:c>
      <x:c r="G429" s="73" t="s">
        <x:v>19</x:v>
      </x:c>
      <x:c r="H429" s="73" t="s">
        <x:v>1847</x:v>
      </x:c>
      <x:c r="I429" s="73" t="n">
        <x:v>18</x:v>
      </x:c>
      <x:c r="J429" s="73" t="n">
        <x:v>35</x:v>
      </x:c>
      <x:c r="K429" s="73" t="s">
        <x:v>1848</x:v>
      </x:c>
      <x:c r="L429" s="73" t="n">
        <x:v>2018</x:v>
      </x:c>
      <x:c r="M429" s="73" t="n">
        <x:v>12</x:v>
      </x:c>
      <x:c r="N429" s="73" t="n">
        <x:v>15</x:v>
      </x:c>
      <x:c r="O429" s="73" t="n">
        <x:v>10</x:v>
      </x:c>
    </x:row>
    <x:row r="430" ht="15" hidden="0">
      <x:c r="A430" s="73" t="n">
        <x:v>429</x:v>
      </x:c>
      <x:c r="B430" s="73" t="n">
        <x:v>433</x:v>
      </x:c>
      <x:c r="C430" s="73" t="s">
        <x:v>1849</x:v>
      </x:c>
      <x:c r="D430" s="73" t="s">
        <x:v>1818</x:v>
      </x:c>
      <x:c r="E430" s="73" t="s">
        <x:v>1850</x:v>
      </x:c>
      <x:c r="F430" s="73" t="s">
        <x:v>1851</x:v>
      </x:c>
      <x:c r="G430" s="73" t="s">
        <x:v>37</x:v>
      </x:c>
      <x:c r="H430" s="73" t="s">
        <x:v>1852</x:v>
      </x:c>
      <x:c r="I430" s="73" t="n">
        <x:v>28</x:v>
      </x:c>
      <x:c r="J430" s="73" t="n">
        <x:v>55</x:v>
      </x:c>
      <x:c r="K430" s="73" t="s">
        <x:v>1853</x:v>
      </x:c>
      <x:c r="L430" s="73" t="n">
        <x:v>2015</x:v>
      </x:c>
      <x:c r="M430" s="73" t="n">
        <x:v>6</x:v>
      </x:c>
      <x:c r="N430" s="73" t="n">
        <x:v>28</x:v>
      </x:c>
      <x:c r="O430" s="73" t="n">
        <x:v>21</x:v>
      </x:c>
    </x:row>
    <x:row r="431" ht="15" hidden="0">
      <x:c r="A431" s="73" t="n">
        <x:v>430</x:v>
      </x:c>
      <x:c r="B431" s="73" t="n">
        <x:v>434</x:v>
      </x:c>
      <x:c r="C431" s="73" t="s">
        <x:v>1854</x:v>
      </x:c>
      <x:c r="D431" s="73" t="s">
        <x:v>1855</x:v>
      </x:c>
      <x:c r="E431" s="73" t="s">
        <x:v>1856</x:v>
      </x:c>
      <x:c r="F431" s="73" t="s">
        <x:v>1857</x:v>
      </x:c>
      <x:c r="G431" s="73" t="s">
        <x:v>31</x:v>
      </x:c>
      <x:c r="H431" s="73" t="s">
        <x:v>1858</x:v>
      </x:c>
      <x:c r="I431" s="73" t="n">
        <x:v>35</x:v>
      </x:c>
      <x:c r="J431" s="73" t="n">
        <x:v>70</x:v>
      </x:c>
      <x:c r="K431" s="73" t="s">
        <x:v>1859</x:v>
      </x:c>
      <x:c r="L431" s="73" t="n">
        <x:v>2020</x:v>
      </x:c>
      <x:c r="M431" s="73" t="n">
        <x:v>4</x:v>
      </x:c>
      <x:c r="N431" s="73" t="n">
        <x:v>2</x:v>
      </x:c>
      <x:c r="O431" s="73" t="n">
        <x:v>14</x:v>
      </x:c>
    </x:row>
    <x:row r="432" ht="15" hidden="0">
      <x:c r="A432" s="73" t="n">
        <x:v>431</x:v>
      </x:c>
      <x:c r="B432" s="73" t="n">
        <x:v>435</x:v>
      </x:c>
      <x:c r="C432" s="73" t="s">
        <x:v>1860</x:v>
      </x:c>
      <x:c r="D432" s="73" t="s">
        <x:v>1861</x:v>
      </x:c>
      <x:c r="E432" s="73" t="s">
        <x:v>1862</x:v>
      </x:c>
      <x:c r="F432" s="73" t="s">
        <x:v>1863</x:v>
      </x:c>
      <x:c r="G432" s="73" t="s">
        <x:v>19</x:v>
      </x:c>
      <x:c r="H432" s="73" t="s">
        <x:v>1864</x:v>
      </x:c>
      <x:c r="I432" s="73" t="n">
        <x:v>20</x:v>
      </x:c>
      <x:c r="J432" s="73" t="n">
        <x:v>40</x:v>
      </x:c>
      <x:c r="K432" s="73" t="s">
        <x:v>1865</x:v>
      </x:c>
      <x:c r="L432" s="73" t="n">
        <x:v>2019</x:v>
      </x:c>
      <x:c r="M432" s="73" t="n">
        <x:v>10</x:v>
      </x:c>
      <x:c r="N432" s="73" t="n">
        <x:v>8</x:v>
      </x:c>
      <x:c r="O432" s="73" t="n">
        <x:v>18</x:v>
      </x:c>
    </x:row>
    <x:row r="433" ht="15" hidden="0">
      <x:c r="A433" s="73" t="n">
        <x:v>432</x:v>
      </x:c>
      <x:c r="B433" s="73" t="n">
        <x:v>436</x:v>
      </x:c>
      <x:c r="C433" s="73" t="s">
        <x:v>1866</x:v>
      </x:c>
      <x:c r="D433" s="73" t="s">
        <x:v>1867</x:v>
      </x:c>
      <x:c r="E433" s="73" t="s">
        <x:v>1868</x:v>
      </x:c>
      <x:c r="F433" s="73" t="s">
        <x:v>1869</x:v>
      </x:c>
      <x:c r="G433" s="73" t="s">
        <x:v>37</x:v>
      </x:c>
      <x:c r="H433" s="73" t="s">
        <x:v>1870</x:v>
      </x:c>
      <x:c r="I433" s="73" t="n">
        <x:v>22</x:v>
      </x:c>
      <x:c r="J433" s="73" t="n">
        <x:v>45</x:v>
      </x:c>
      <x:c r="K433" s="73" t="s">
        <x:v>1871</x:v>
      </x:c>
      <x:c r="L433" s="73" t="n">
        <x:v>2016</x:v>
      </x:c>
      <x:c r="M433" s="73" t="n">
        <x:v>11</x:v>
      </x:c>
      <x:c r="N433" s="73" t="n">
        <x:v>22</x:v>
      </x:c>
      <x:c r="O433" s="73" t="n">
        <x:v>9</x:v>
      </x:c>
    </x:row>
    <x:row r="434" ht="15" hidden="0">
      <x:c r="A434" s="73" t="n">
        <x:v>433</x:v>
      </x:c>
      <x:c r="B434" s="73" t="n">
        <x:v>437</x:v>
      </x:c>
      <x:c r="C434" s="73" t="s">
        <x:v>1872</x:v>
      </x:c>
      <x:c r="D434" s="73" t="s">
        <x:v>1823</x:v>
      </x:c>
      <x:c r="E434" s="73" t="s">
        <x:v>1873</x:v>
      </x:c>
      <x:c r="F434" s="73" t="s">
        <x:v>1874</x:v>
      </x:c>
      <x:c r="G434" s="73" t="s">
        <x:v>31</x:v>
      </x:c>
      <x:c r="H434" s="73" t="s">
        <x:v>1875</x:v>
      </x:c>
      <x:c r="I434" s="73" t="n">
        <x:v>40</x:v>
      </x:c>
      <x:c r="J434" s="73" t="n">
        <x:v>80</x:v>
      </x:c>
      <x:c r="K434" s="73" t="s">
        <x:v>1876</x:v>
      </x:c>
      <x:c r="L434" s="73" t="n">
        <x:v>2022</x:v>
      </x:c>
      <x:c r="M434" s="73" t="n">
        <x:v>8</x:v>
      </x:c>
      <x:c r="N434" s="73" t="n">
        <x:v>18</x:v>
      </x:c>
      <x:c r="O434" s="73" t="n">
        <x:v>22</x:v>
      </x:c>
    </x:row>
    <x:row r="435" ht="15" hidden="0">
      <x:c r="A435" s="73" t="n">
        <x:v>434</x:v>
      </x:c>
      <x:c r="B435" s="73" t="n">
        <x:v>438</x:v>
      </x:c>
      <x:c r="C435" s="73" t="s">
        <x:v>1877</x:v>
      </x:c>
      <x:c r="D435" s="73" t="s">
        <x:v>1878</x:v>
      </x:c>
      <x:c r="E435" s="73" t="s">
        <x:v>1879</x:v>
      </x:c>
      <x:c r="F435" s="73" t="s">
        <x:v>1880</x:v>
      </x:c>
      <x:c r="G435" s="73" t="s">
        <x:v>1121</x:v>
      </x:c>
      <x:c r="H435" s="73" t="s">
        <x:v>1881</x:v>
      </x:c>
      <x:c r="I435" s="73" t="n">
        <x:v>18</x:v>
      </x:c>
      <x:c r="J435" s="73" t="n">
        <x:v>35</x:v>
      </x:c>
      <x:c r="K435" s="73" t="s">
        <x:v>243</x:v>
      </x:c>
      <x:c r="L435" s="73" t="n">
        <x:v>2017</x:v>
      </x:c>
      <x:c r="M435" s="73" t="n">
        <x:v>3</x:v>
      </x:c>
      <x:c r="N435" s="73" t="n">
        <x:v>12</x:v>
      </x:c>
      <x:c r="O435" s="73" t="n">
        <x:v>23</x:v>
      </x:c>
    </x:row>
    <x:row r="436" ht="15" hidden="0">
      <x:c r="A436" s="73" t="n">
        <x:v>435</x:v>
      </x:c>
      <x:c r="B436" s="73" t="n">
        <x:v>439</x:v>
      </x:c>
      <x:c r="C436" s="73" t="s">
        <x:v>1882</x:v>
      </x:c>
      <x:c r="D436" s="73" t="s">
        <x:v>1262</x:v>
      </x:c>
      <x:c r="E436" s="73" t="s">
        <x:v>1883</x:v>
      </x:c>
      <x:c r="F436" s="73" t="s">
        <x:v>1884</x:v>
      </x:c>
      <x:c r="G436" s="73" t="s">
        <x:v>37</x:v>
      </x:c>
      <x:c r="H436" s="73" t="s">
        <x:v>1885</x:v>
      </x:c>
      <x:c r="I436" s="73" t="n">
        <x:v>25</x:v>
      </x:c>
      <x:c r="J436" s="73" t="n">
        <x:v>50</x:v>
      </x:c>
      <x:c r="K436" s="73" t="s">
        <x:v>315</x:v>
      </x:c>
      <x:c r="L436" s="73" t="n">
        <x:v>2015</x:v>
      </x:c>
      <x:c r="M436" s="73" t="n">
        <x:v>12</x:v>
      </x:c>
      <x:c r="N436" s="73" t="n">
        <x:v>15</x:v>
      </x:c>
      <x:c r="O436" s="73" t="n">
        <x:v>16</x:v>
      </x:c>
    </x:row>
    <x:row r="437" ht="15" hidden="0">
      <x:c r="A437" s="73" t="n">
        <x:v>436</x:v>
      </x:c>
      <x:c r="B437" s="73" t="n">
        <x:v>440</x:v>
      </x:c>
      <x:c r="C437" s="73" t="s">
        <x:v>1886</x:v>
      </x:c>
      <x:c r="D437" s="73" t="s">
        <x:v>1887</x:v>
      </x:c>
      <x:c r="E437" s="73" t="s">
        <x:v>1888</x:v>
      </x:c>
      <x:c r="F437" s="73" t="s">
        <x:v>1889</x:v>
      </x:c>
      <x:c r="G437" s="73" t="s">
        <x:v>31</x:v>
      </x:c>
      <x:c r="H437" s="73" t="s">
        <x:v>1890</x:v>
      </x:c>
      <x:c r="I437" s="73" t="n">
        <x:v>35</x:v>
      </x:c>
      <x:c r="J437" s="73" t="n">
        <x:v>70</x:v>
      </x:c>
      <x:c r="K437" s="73" t="s">
        <x:v>254</x:v>
      </x:c>
      <x:c r="L437" s="73" t="n">
        <x:v>2021</x:v>
      </x:c>
      <x:c r="M437" s="73" t="n">
        <x:v>9</x:v>
      </x:c>
      <x:c r="N437" s="73" t="n">
        <x:v>5</x:v>
      </x:c>
      <x:c r="O437" s="73" t="n">
        <x:v>13</x:v>
      </x:c>
    </x:row>
    <x:row r="438" ht="15" hidden="0">
      <x:c r="A438" s="73" t="n">
        <x:v>437</x:v>
      </x:c>
      <x:c r="B438" s="73" t="n">
        <x:v>441</x:v>
      </x:c>
      <x:c r="C438" s="73" t="s">
        <x:v>1891</x:v>
      </x:c>
      <x:c r="D438" s="73" t="s">
        <x:v>1892</x:v>
      </x:c>
      <x:c r="E438" s="73" t="s">
        <x:v>1893</x:v>
      </x:c>
      <x:c r="F438" s="73" t="s">
        <x:v>1894</x:v>
      </x:c>
      <x:c r="G438" s="73" t="s">
        <x:v>19</x:v>
      </x:c>
      <x:c r="H438" s="73" t="s">
        <x:v>1895</x:v>
      </x:c>
      <x:c r="I438" s="73" t="n">
        <x:v>18</x:v>
      </x:c>
      <x:c r="J438" s="73" t="n">
        <x:v>35</x:v>
      </x:c>
      <x:c r="K438" s="73" t="s">
        <x:v>1896</x:v>
      </x:c>
      <x:c r="L438" s="73" t="n">
        <x:v>2018</x:v>
      </x:c>
      <x:c r="M438" s="73" t="n">
        <x:v>5</x:v>
      </x:c>
      <x:c r="N438" s="73" t="n">
        <x:v>22</x:v>
      </x:c>
      <x:c r="O438" s="73" t="n">
        <x:v>20</x:v>
      </x:c>
    </x:row>
    <x:row r="439" ht="15" hidden="0">
      <x:c r="A439" s="73" t="n">
        <x:v>438</x:v>
      </x:c>
      <x:c r="B439" s="73" t="n">
        <x:v>442</x:v>
      </x:c>
      <x:c r="C439" s="73" t="s">
        <x:v>1897</x:v>
      </x:c>
      <x:c r="D439" s="73" t="s">
        <x:v>1898</x:v>
      </x:c>
      <x:c r="E439" s="73" t="s">
        <x:v>1899</x:v>
      </x:c>
      <x:c r="F439" s="73" t="s">
        <x:v>1900</x:v>
      </x:c>
      <x:c r="G439" s="73" t="s">
        <x:v>37</x:v>
      </x:c>
      <x:c r="H439" s="73" t="s">
        <x:v>1901</x:v>
      </x:c>
      <x:c r="I439" s="73" t="n">
        <x:v>28</x:v>
      </x:c>
      <x:c r="J439" s="73" t="n">
        <x:v>55</x:v>
      </x:c>
      <x:c r="K439" s="73" t="s">
        <x:v>1902</x:v>
      </x:c>
      <x:c r="L439" s="73" t="n">
        <x:v>2016</x:v>
      </x:c>
      <x:c r="M439" s="73" t="n">
        <x:v>7</x:v>
      </x:c>
      <x:c r="N439" s="73" t="n">
        <x:v>10</x:v>
      </x:c>
      <x:c r="O439" s="73" t="n">
        <x:v>18</x:v>
      </x:c>
    </x:row>
    <x:row r="440" ht="15" hidden="0">
      <x:c r="A440" s="73" t="n">
        <x:v>439</x:v>
      </x:c>
      <x:c r="B440" s="73" t="n">
        <x:v>443</x:v>
      </x:c>
      <x:c r="C440" s="73" t="s">
        <x:v>1903</x:v>
      </x:c>
      <x:c r="D440" s="73" t="s">
        <x:v>1904</x:v>
      </x:c>
      <x:c r="E440" s="73" t="s">
        <x:v>1905</x:v>
      </x:c>
      <x:c r="F440" s="73" t="s">
        <x:v>1906</x:v>
      </x:c>
      <x:c r="G440" s="73" t="s">
        <x:v>31</x:v>
      </x:c>
      <x:c r="H440" s="73" t="s">
        <x:v>1907</x:v>
      </x:c>
      <x:c r="I440" s="73" t="n">
        <x:v>22</x:v>
      </x:c>
      <x:c r="J440" s="73" t="n">
        <x:v>45</x:v>
      </x:c>
      <x:c r="K440" s="73" t="s">
        <x:v>1908</x:v>
      </x:c>
      <x:c r="L440" s="73" t="n">
        <x:v>2019</x:v>
      </x:c>
      <x:c r="M440" s="73" t="n">
        <x:v>4</x:v>
      </x:c>
      <x:c r="N440" s="73" t="n">
        <x:v>30</x:v>
      </x:c>
      <x:c r="O440" s="73" t="n">
        <x:v>14</x:v>
      </x:c>
    </x:row>
    <x:row r="441" ht="15" hidden="0">
      <x:c r="A441" s="73" t="n">
        <x:v>440</x:v>
      </x:c>
      <x:c r="B441" s="73" t="n">
        <x:v>444</x:v>
      </x:c>
      <x:c r="C441" s="73" t="s">
        <x:v>1909</x:v>
      </x:c>
      <x:c r="D441" s="73" t="s">
        <x:v>1910</x:v>
      </x:c>
      <x:c r="E441" s="73" t="s">
        <x:v>1911</x:v>
      </x:c>
      <x:c r="F441" s="73" t="s">
        <x:v>1912</x:v>
      </x:c>
      <x:c r="G441" s="73" t="s">
        <x:v>19</x:v>
      </x:c>
      <x:c r="H441" s="73" t="s">
        <x:v>1913</x:v>
      </x:c>
      <x:c r="I441" s="73" t="n">
        <x:v>20</x:v>
      </x:c>
      <x:c r="J441" s="73" t="n">
        <x:v>40</x:v>
      </x:c>
      <x:c r="K441" s="73" t="s">
        <x:v>1914</x:v>
      </x:c>
      <x:c r="L441" s="73" t="n">
        <x:v>2022</x:v>
      </x:c>
      <x:c r="M441" s="73" t="n">
        <x:v>1</x:v>
      </x:c>
      <x:c r="N441" s="73" t="n">
        <x:v>8</x:v>
      </x:c>
      <x:c r="O441" s="73" t="n">
        <x:v>11</x:v>
      </x:c>
    </x:row>
    <x:row r="442" ht="15" hidden="0">
      <x:c r="A442" s="73" t="n">
        <x:v>441</x:v>
      </x:c>
      <x:c r="B442" s="73" t="n">
        <x:v>445</x:v>
      </x:c>
      <x:c r="C442" s="73" t="s">
        <x:v>1915</x:v>
      </x:c>
      <x:c r="D442" s="73" t="s">
        <x:v>1916</x:v>
      </x:c>
      <x:c r="E442" s="73" t="s">
        <x:v>1917</x:v>
      </x:c>
      <x:c r="F442" s="73" t="s">
        <x:v>1918</x:v>
      </x:c>
      <x:c r="G442" s="73" t="s">
        <x:v>1121</x:v>
      </x:c>
      <x:c r="H442" s="73" t="s">
        <x:v>1919</x:v>
      </x:c>
      <x:c r="I442" s="73" t="n">
        <x:v>20</x:v>
      </x:c>
      <x:c r="J442" s="73" t="n">
        <x:v>40</x:v>
      </x:c>
      <x:c r="K442" s="73" t="s">
        <x:v>45</x:v>
      </x:c>
      <x:c r="L442" s="73" t="n">
        <x:v>2017</x:v>
      </x:c>
      <x:c r="M442" s="73" t="n">
        <x:v>9</x:v>
      </x:c>
      <x:c r="N442" s="73" t="n">
        <x:v>10</x:v>
      </x:c>
      <x:c r="O442" s="73" t="n">
        <x:v>19</x:v>
      </x:c>
    </x:row>
    <x:row r="443" ht="15" hidden="0">
      <x:c r="A443" s="73" t="n">
        <x:v>442</x:v>
      </x:c>
      <x:c r="B443" s="73" t="n">
        <x:v>446</x:v>
      </x:c>
      <x:c r="C443" s="73" t="s">
        <x:v>1920</x:v>
      </x:c>
      <x:c r="D443" s="73" t="s">
        <x:v>1921</x:v>
      </x:c>
      <x:c r="E443" s="73" t="s">
        <x:v>1922</x:v>
      </x:c>
      <x:c r="F443" s="73" t="s">
        <x:v>1923</x:v>
      </x:c>
      <x:c r="G443" s="73" t="s">
        <x:v>31</x:v>
      </x:c>
      <x:c r="H443" s="73" t="s">
        <x:v>1924</x:v>
      </x:c>
      <x:c r="I443" s="73" t="n">
        <x:v>25</x:v>
      </x:c>
      <x:c r="J443" s="73" t="n">
        <x:v>50</x:v>
      </x:c>
      <x:c r="K443" s="73" t="s">
        <x:v>155</x:v>
      </x:c>
      <x:c r="L443" s="73" t="n">
        <x:v>2022</x:v>
      </x:c>
      <x:c r="M443" s="73" t="n">
        <x:v>4</x:v>
      </x:c>
      <x:c r="N443" s="73" t="n">
        <x:v>18</x:v>
      </x:c>
      <x:c r="O443" s="73" t="n">
        <x:v>11</x:v>
      </x:c>
    </x:row>
    <x:row r="444" ht="15" hidden="0">
      <x:c r="A444" s="73" t="n">
        <x:v>443</x:v>
      </x:c>
      <x:c r="B444" s="73" t="n">
        <x:v>447</x:v>
      </x:c>
      <x:c r="C444" s="73" t="s">
        <x:v>1925</x:v>
      </x:c>
      <x:c r="D444" s="73" t="s">
        <x:v>1926</x:v>
      </x:c>
      <x:c r="E444" s="73" t="s">
        <x:v>1927</x:v>
      </x:c>
      <x:c r="F444" s="73" t="s">
        <x:v>1928</x:v>
      </x:c>
      <x:c r="G444" s="73" t="s">
        <x:v>37</x:v>
      </x:c>
      <x:c r="H444" s="73" t="s">
        <x:v>1929</x:v>
      </x:c>
      <x:c r="I444" s="73" t="n">
        <x:v>18</x:v>
      </x:c>
      <x:c r="J444" s="73" t="n">
        <x:v>35</x:v>
      </x:c>
      <x:c r="K444" s="73" t="s">
        <x:v>123</x:v>
      </x:c>
      <x:c r="L444" s="73" t="n">
        <x:v>2018</x:v>
      </x:c>
      <x:c r="M444" s="73" t="n">
        <x:v>12</x:v>
      </x:c>
      <x:c r="N444" s="73" t="n">
        <x:v>5</x:v>
      </x:c>
      <x:c r="O444" s="73" t="n">
        <x:v>21</x:v>
      </x:c>
    </x:row>
    <x:row r="445" ht="15" hidden="0">
      <x:c r="A445" s="73" t="n">
        <x:v>444</x:v>
      </x:c>
      <x:c r="B445" s="73" t="n">
        <x:v>448</x:v>
      </x:c>
      <x:c r="C445" s="73" t="s">
        <x:v>1930</x:v>
      </x:c>
      <x:c r="D445" s="73" t="s">
        <x:v>828</x:v>
      </x:c>
      <x:c r="E445" s="73" t="s">
        <x:v>1931</x:v>
      </x:c>
      <x:c r="F445" s="73" t="s">
        <x:v>1932</x:v>
      </x:c>
      <x:c r="G445" s="73" t="s">
        <x:v>1121</x:v>
      </x:c>
      <x:c r="H445" s="73" t="s">
        <x:v>1933</x:v>
      </x:c>
      <x:c r="I445" s="73" t="n">
        <x:v>22</x:v>
      </x:c>
      <x:c r="J445" s="73" t="n">
        <x:v>45</x:v>
      </x:c>
      <x:c r="K445" s="73" t="s">
        <x:v>137</x:v>
      </x:c>
      <x:c r="L445" s="73" t="n">
        <x:v>2016</x:v>
      </x:c>
      <x:c r="M445" s="73" t="n">
        <x:v>6</x:v>
      </x:c>
      <x:c r="N445" s="73" t="n">
        <x:v>28</x:v>
      </x:c>
      <x:c r="O445" s="73" t="n">
        <x:v>14</x:v>
      </x:c>
    </x:row>
    <x:row r="446" ht="15" hidden="0">
      <x:c r="A446" s="73" t="n">
        <x:v>445</x:v>
      </x:c>
      <x:c r="B446" s="73" t="n">
        <x:v>449</x:v>
      </x:c>
      <x:c r="C446" s="73" t="s">
        <x:v>1934</x:v>
      </x:c>
      <x:c r="D446" s="73" t="s">
        <x:v>1262</x:v>
      </x:c>
      <x:c r="E446" s="73" t="s">
        <x:v>1935</x:v>
      </x:c>
      <x:c r="F446" s="73" t="s">
        <x:v>1936</x:v>
      </x:c>
      <x:c r="G446" s="73" t="s">
        <x:v>31</x:v>
      </x:c>
      <x:c r="H446" s="73" t="s">
        <x:v>1937</x:v>
      </x:c>
      <x:c r="I446" s="73" t="n">
        <x:v>15</x:v>
      </x:c>
      <x:c r="J446" s="73" t="n">
        <x:v>30</x:v>
      </x:c>
      <x:c r="K446" s="73" t="s">
        <x:v>1938</x:v>
      </x:c>
      <x:c r="L446" s="73" t="n">
        <x:v>2019</x:v>
      </x:c>
      <x:c r="M446" s="73" t="n">
        <x:v>10</x:v>
      </x:c>
      <x:c r="N446" s="73" t="n">
        <x:v>22</x:v>
      </x:c>
      <x:c r="O446" s="73" t="n">
        <x:v>17</x:v>
      </x:c>
    </x:row>
    <x:row r="447" ht="15" hidden="0">
      <x:c r="A447" s="73" t="n">
        <x:v>446</x:v>
      </x:c>
      <x:c r="B447" s="73" t="n">
        <x:v>450</x:v>
      </x:c>
      <x:c r="C447" s="73" t="s">
        <x:v>1939</x:v>
      </x:c>
      <x:c r="D447" s="73" t="s">
        <x:v>1916</x:v>
      </x:c>
      <x:c r="E447" s="73" t="s">
        <x:v>1940</x:v>
      </x:c>
      <x:c r="F447" s="73" t="s">
        <x:v>1941</x:v>
      </x:c>
      <x:c r="G447" s="73" t="s">
        <x:v>37</x:v>
      </x:c>
      <x:c r="H447" s="73" t="s">
        <x:v>1942</x:v>
      </x:c>
      <x:c r="I447" s="73" t="n">
        <x:v>28</x:v>
      </x:c>
      <x:c r="J447" s="73" t="n">
        <x:v>55</x:v>
      </x:c>
      <x:c r="K447" s="73" t="s">
        <x:v>1943</x:v>
      </x:c>
      <x:c r="L447" s="73" t="n">
        <x:v>2021</x:v>
      </x:c>
      <x:c r="M447" s="73" t="n">
        <x:v>3</x:v>
      </x:c>
      <x:c r="N447" s="73" t="n">
        <x:v>15</x:v>
      </x:c>
      <x:c r="O447" s="73" t="n">
        <x:v>22</x:v>
      </x:c>
    </x:row>
    <x:row r="448" ht="15" hidden="0">
      <x:c r="A448" s="73" t="n">
        <x:v>447</x:v>
      </x:c>
      <x:c r="B448" s="73" t="n">
        <x:v>451</x:v>
      </x:c>
      <x:c r="C448" s="73" t="s">
        <x:v>1944</x:v>
      </x:c>
      <x:c r="D448" s="73" t="s">
        <x:v>1945</x:v>
      </x:c>
      <x:c r="E448" s="73" t="s">
        <x:v>1946</x:v>
      </x:c>
      <x:c r="F448" s="73" t="s">
        <x:v>1947</x:v>
      </x:c>
      <x:c r="G448" s="73" t="s">
        <x:v>1121</x:v>
      </x:c>
      <x:c r="H448" s="73" t="s">
        <x:v>1948</x:v>
      </x:c>
      <x:c r="I448" s="73" t="n">
        <x:v>22</x:v>
      </x:c>
      <x:c r="J448" s="73" t="n">
        <x:v>45</x:v>
      </x:c>
      <x:c r="K448" s="73" t="s">
        <x:v>1949</x:v>
      </x:c>
      <x:c r="L448" s="73" t="n">
        <x:v>2017</x:v>
      </x:c>
      <x:c r="M448" s="73" t="n">
        <x:v>8</x:v>
      </x:c>
      <x:c r="N448" s="73" t="n">
        <x:v>10</x:v>
      </x:c>
      <x:c r="O448" s="73" t="n">
        <x:v>19</x:v>
      </x:c>
    </x:row>
    <x:row r="449" ht="15" hidden="0">
      <x:c r="A449" s="73" t="n">
        <x:v>448</x:v>
      </x:c>
      <x:c r="B449" s="73" t="n">
        <x:v>452</x:v>
      </x:c>
      <x:c r="C449" s="73" t="s">
        <x:v>1950</x:v>
      </x:c>
      <x:c r="D449" s="73" t="s">
        <x:v>1926</x:v>
      </x:c>
      <x:c r="E449" s="73" t="s">
        <x:v>1951</x:v>
      </x:c>
      <x:c r="F449" s="73" t="s">
        <x:v>1952</x:v>
      </x:c>
      <x:c r="G449" s="73" t="s">
        <x:v>31</x:v>
      </x:c>
      <x:c r="H449" s="73" t="s">
        <x:v>1953</x:v>
      </x:c>
      <x:c r="I449" s="73" t="n">
        <x:v>30</x:v>
      </x:c>
      <x:c r="J449" s="73" t="n">
        <x:v>60</x:v>
      </x:c>
      <x:c r="K449" s="73" t="s">
        <x:v>209</x:v>
      </x:c>
      <x:c r="L449" s="73" t="n">
        <x:v>2023</x:v>
      </x:c>
      <x:c r="M449" s="73" t="n">
        <x:v>1</x:v>
      </x:c>
      <x:c r="N449" s="73" t="n">
        <x:v>28</x:v>
      </x:c>
      <x:c r="O449" s="73" t="n">
        <x:v>14</x:v>
      </x:c>
    </x:row>
    <x:row r="450" ht="15" hidden="0">
      <x:c r="A450" s="73" t="n">
        <x:v>449</x:v>
      </x:c>
      <x:c r="B450" s="73" t="n">
        <x:v>453</x:v>
      </x:c>
      <x:c r="C450" s="73" t="s">
        <x:v>1954</x:v>
      </x:c>
      <x:c r="D450" s="73" t="s">
        <x:v>1955</x:v>
      </x:c>
      <x:c r="E450" s="73" t="s">
        <x:v>1956</x:v>
      </x:c>
      <x:c r="F450" s="73" t="s">
        <x:v>1957</x:v>
      </x:c>
      <x:c r="G450" s="73" t="s">
        <x:v>37</x:v>
      </x:c>
      <x:c r="H450" s="73" t="s">
        <x:v>1958</x:v>
      </x:c>
      <x:c r="I450" s="73" t="n">
        <x:v>25</x:v>
      </x:c>
      <x:c r="J450" s="73" t="n">
        <x:v>50</x:v>
      </x:c>
      <x:c r="K450" s="73" t="s">
        <x:v>1959</x:v>
      </x:c>
      <x:c r="L450" s="73" t="n">
        <x:v>2016</x:v>
      </x:c>
      <x:c r="M450" s="73" t="n">
        <x:v>12</x:v>
      </x:c>
      <x:c r="N450" s="73" t="n">
        <x:v>12</x:v>
      </x:c>
      <x:c r="O450" s="73" t="n">
        <x:v>10</x:v>
      </x:c>
    </x:row>
    <x:row r="451" ht="15" hidden="0">
      <x:c r="A451" s="73" t="n">
        <x:v>450</x:v>
      </x:c>
      <x:c r="B451" s="73" t="n">
        <x:v>454</x:v>
      </x:c>
      <x:c r="C451" s="73" t="s">
        <x:v>1960</x:v>
      </x:c>
      <x:c r="D451" s="73" t="s">
        <x:v>1961</x:v>
      </x:c>
      <x:c r="E451" s="73" t="s">
        <x:v>1962</x:v>
      </x:c>
      <x:c r="F451" s="73" t="s">
        <x:v>1963</x:v>
      </x:c>
      <x:c r="G451" s="73" t="s">
        <x:v>1121</x:v>
      </x:c>
      <x:c r="H451" s="73" t="s">
        <x:v>1964</x:v>
      </x:c>
      <x:c r="I451" s="73" t="n">
        <x:v>35</x:v>
      </x:c>
      <x:c r="J451" s="73" t="n">
        <x:v>70</x:v>
      </x:c>
      <x:c r="K451" s="73" t="s">
        <x:v>1965</x:v>
      </x:c>
      <x:c r="L451" s="73" t="n">
        <x:v>2020</x:v>
      </x:c>
      <x:c r="M451" s="73" t="n">
        <x:v>7</x:v>
      </x:c>
      <x:c r="N451" s="73" t="n">
        <x:v>18</x:v>
      </x:c>
      <x:c r="O451" s="73" t="n">
        <x:v>15</x:v>
      </x:c>
    </x:row>
    <x:row r="452" ht="15" hidden="0">
      <x:c r="A452" s="73" t="n">
        <x:v>451</x:v>
      </x:c>
      <x:c r="B452" s="73" t="n">
        <x:v>455</x:v>
      </x:c>
      <x:c r="C452" s="73" t="s">
        <x:v>1966</x:v>
      </x:c>
      <x:c r="D452" s="73" t="s">
        <x:v>1855</x:v>
      </x:c>
      <x:c r="E452" s="73" t="s">
        <x:v>1967</x:v>
      </x:c>
      <x:c r="F452" s="73" t="s">
        <x:v>1968</x:v>
      </x:c>
      <x:c r="G452" s="73" t="s">
        <x:v>31</x:v>
      </x:c>
      <x:c r="H452" s="73" t="s">
        <x:v>1969</x:v>
      </x:c>
      <x:c r="I452" s="73" t="n">
        <x:v>30</x:v>
      </x:c>
      <x:c r="J452" s="73" t="n">
        <x:v>60</x:v>
      </x:c>
      <x:c r="K452" s="73" t="s">
        <x:v>1876</x:v>
      </x:c>
      <x:c r="L452" s="73" t="n">
        <x:v>2022</x:v>
      </x:c>
      <x:c r="M452" s="73" t="n">
        <x:v>5</x:v>
      </x:c>
      <x:c r="N452" s="73" t="n">
        <x:v>20</x:v>
      </x:c>
      <x:c r="O452" s="73" t="n">
        <x:v>20</x:v>
      </x:c>
    </x:row>
    <x:row r="453" ht="15" hidden="0">
      <x:c r="A453" s="73" t="n">
        <x:v>452</x:v>
      </x:c>
      <x:c r="B453" s="73" t="n">
        <x:v>456</x:v>
      </x:c>
      <x:c r="C453" s="73" t="s">
        <x:v>1970</x:v>
      </x:c>
      <x:c r="D453" s="73" t="s">
        <x:v>1921</x:v>
      </x:c>
      <x:c r="E453" s="73" t="s">
        <x:v>1971</x:v>
      </x:c>
      <x:c r="F453" s="73" t="s">
        <x:v>1972</x:v>
      </x:c>
      <x:c r="G453" s="73" t="s">
        <x:v>1121</x:v>
      </x:c>
      <x:c r="H453" s="73" t="s">
        <x:v>1973</x:v>
      </x:c>
      <x:c r="I453" s="73" t="n">
        <x:v>18</x:v>
      </x:c>
      <x:c r="J453" s="73" t="n">
        <x:v>35</x:v>
      </x:c>
      <x:c r="K453" s="73" t="s">
        <x:v>1974</x:v>
      </x:c>
      <x:c r="L453" s="73" t="n">
        <x:v>2019</x:v>
      </x:c>
      <x:c r="M453" s="73" t="n">
        <x:v>11</x:v>
      </x:c>
      <x:c r="N453" s="73" t="n">
        <x:v>8</x:v>
      </x:c>
      <x:c r="O453" s="73" t="n">
        <x:v>14</x:v>
      </x:c>
    </x:row>
    <x:row r="454" ht="15" hidden="0">
      <x:c r="A454" s="73" t="n">
        <x:v>453</x:v>
      </x:c>
      <x:c r="B454" s="73" t="n">
        <x:v>457</x:v>
      </x:c>
      <x:c r="C454" s="73" t="s">
        <x:v>1975</x:v>
      </x:c>
      <x:c r="D454" s="73" t="s">
        <x:v>1257</x:v>
      </x:c>
      <x:c r="E454" s="73" t="s">
        <x:v>1976</x:v>
      </x:c>
      <x:c r="F454" s="73" t="s">
        <x:v>1977</x:v>
      </x:c>
      <x:c r="G454" s="73" t="s">
        <x:v>37</x:v>
      </x:c>
      <x:c r="H454" s="73" t="s">
        <x:v>1978</x:v>
      </x:c>
      <x:c r="I454" s="73" t="n">
        <x:v>28</x:v>
      </x:c>
      <x:c r="J454" s="73" t="n">
        <x:v>55</x:v>
      </x:c>
      <x:c r="K454" s="73" t="s">
        <x:v>45</x:v>
      </x:c>
      <x:c r="L454" s="73" t="n">
        <x:v>2017</x:v>
      </x:c>
      <x:c r="M454" s="73" t="n">
        <x:v>3</x:v>
      </x:c>
      <x:c r="N454" s="73" t="n">
        <x:v>28</x:v>
      </x:c>
      <x:c r="O454" s="73" t="n">
        <x:v>22</x:v>
      </x:c>
    </x:row>
    <x:row r="455" ht="15" hidden="0">
      <x:c r="A455" s="73" t="n">
        <x:v>454</x:v>
      </x:c>
      <x:c r="B455" s="73" t="n">
        <x:v>458</x:v>
      </x:c>
      <x:c r="C455" s="73" t="s">
        <x:v>1979</x:v>
      </x:c>
      <x:c r="D455" s="73" t="s">
        <x:v>1980</x:v>
      </x:c>
      <x:c r="E455" s="73" t="s">
        <x:v>1981</x:v>
      </x:c>
      <x:c r="F455" s="73" t="s">
        <x:v>1982</x:v>
      </x:c>
      <x:c r="G455" s="73" t="s">
        <x:v>31</x:v>
      </x:c>
      <x:c r="H455" s="73" t="s">
        <x:v>1983</x:v>
      </x:c>
      <x:c r="I455" s="73" t="n">
        <x:v>22</x:v>
      </x:c>
      <x:c r="J455" s="73" t="n">
        <x:v>45</x:v>
      </x:c>
      <x:c r="K455" s="73" t="s">
        <x:v>155</x:v>
      </x:c>
      <x:c r="L455" s="73" t="n">
        <x:v>2020</x:v>
      </x:c>
      <x:c r="M455" s="73" t="n">
        <x:v>9</x:v>
      </x:c>
      <x:c r="N455" s="73" t="n">
        <x:v>15</x:v>
      </x:c>
      <x:c r="O455" s="73" t="n">
        <x:v>18</x:v>
      </x:c>
    </x:row>
    <x:row r="456" ht="15" hidden="0">
      <x:c r="A456" s="73" t="n">
        <x:v>455</x:v>
      </x:c>
      <x:c r="B456" s="73" t="n">
        <x:v>459</x:v>
      </x:c>
      <x:c r="C456" s="73" t="s">
        <x:v>1984</x:v>
      </x:c>
      <x:c r="D456" s="73" t="s">
        <x:v>1916</x:v>
      </x:c>
      <x:c r="E456" s="73" t="s">
        <x:v>1985</x:v>
      </x:c>
      <x:c r="F456" s="73" t="s">
        <x:v>1986</x:v>
      </x:c>
      <x:c r="G456" s="73" t="s">
        <x:v>1121</x:v>
      </x:c>
      <x:c r="H456" s="73" t="s">
        <x:v>1987</x:v>
      </x:c>
      <x:c r="I456" s="73" t="n">
        <x:v>20</x:v>
      </x:c>
      <x:c r="J456" s="73" t="n">
        <x:v>40</x:v>
      </x:c>
      <x:c r="K456" s="73" t="s">
        <x:v>137</x:v>
      </x:c>
      <x:c r="L456" s="73" t="n">
        <x:v>2018</x:v>
      </x:c>
      <x:c r="M456" s="73" t="n">
        <x:v>6</x:v>
      </x:c>
      <x:c r="N456" s="73" t="n">
        <x:v>10</x:v>
      </x:c>
      <x:c r="O456" s="73" t="n">
        <x:v>13</x:v>
      </x:c>
    </x:row>
    <x:row r="457" ht="15" hidden="0">
      <x:c r="A457" s="73" t="n">
        <x:v>456</x:v>
      </x:c>
      <x:c r="B457" s="73" t="n">
        <x:v>460</x:v>
      </x:c>
      <x:c r="C457" s="73" t="s">
        <x:v>1988</x:v>
      </x:c>
      <x:c r="D457" s="73" t="s">
        <x:v>1926</x:v>
      </x:c>
      <x:c r="E457" s="73" t="s">
        <x:v>1989</x:v>
      </x:c>
      <x:c r="F457" s="73" t="s">
        <x:v>1990</x:v>
      </x:c>
      <x:c r="G457" s="73" t="s">
        <x:v>37</x:v>
      </x:c>
      <x:c r="H457" s="73" t="s">
        <x:v>1991</x:v>
      </x:c>
      <x:c r="I457" s="73" t="n">
        <x:v>25</x:v>
      </x:c>
      <x:c r="J457" s="73" t="n">
        <x:v>50</x:v>
      </x:c>
      <x:c r="K457" s="73" t="s">
        <x:v>123</x:v>
      </x:c>
      <x:c r="L457" s="73" t="n">
        <x:v>2016</x:v>
      </x:c>
      <x:c r="M457" s="73" t="n">
        <x:v>12</x:v>
      </x:c>
      <x:c r="N457" s="73" t="n">
        <x:v>22</x:v>
      </x:c>
      <x:c r="O457" s="73" t="n">
        <x:v>21</x:v>
      </x:c>
    </x:row>
    <x:row r="458" ht="15" hidden="0">
      <x:c r="A458" s="73" t="n">
        <x:v>457</x:v>
      </x:c>
      <x:c r="B458" s="73" t="n">
        <x:v>461</x:v>
      </x:c>
      <x:c r="C458" s="73" t="s">
        <x:v>1992</x:v>
      </x:c>
      <x:c r="D458" s="73" t="s">
        <x:v>1955</x:v>
      </x:c>
      <x:c r="E458" s="73" t="s">
        <x:v>1993</x:v>
      </x:c>
      <x:c r="F458" s="73" t="s">
        <x:v>1994</x:v>
      </x:c>
      <x:c r="G458" s="73" t="s">
        <x:v>31</x:v>
      </x:c>
      <x:c r="H458" s="73" t="s">
        <x:v>1995</x:v>
      </x:c>
      <x:c r="I458" s="73" t="n">
        <x:v>15</x:v>
      </x:c>
      <x:c r="J458" s="73" t="n">
        <x:v>30</x:v>
      </x:c>
      <x:c r="K458" s="73" t="s">
        <x:v>1938</x:v>
      </x:c>
      <x:c r="L458" s="73" t="n">
        <x:v>2021</x:v>
      </x:c>
      <x:c r="M458" s="73" t="n">
        <x:v>1</x:v>
      </x:c>
      <x:c r="N458" s="73" t="n">
        <x:v>5</x:v>
      </x:c>
      <x:c r="O458" s="73" t="n">
        <x:v>16</x:v>
      </x:c>
    </x:row>
    <x:row r="459" ht="15" hidden="0">
      <x:c r="A459" s="73" t="n">
        <x:v>458</x:v>
      </x:c>
      <x:c r="B459" s="73" t="n">
        <x:v>462</x:v>
      </x:c>
      <x:c r="C459" s="73" t="s">
        <x:v>1996</x:v>
      </x:c>
      <x:c r="D459" s="73" t="s">
        <x:v>1945</x:v>
      </x:c>
      <x:c r="E459" s="73" t="s">
        <x:v>1997</x:v>
      </x:c>
      <x:c r="F459" s="73" t="s">
        <x:v>1998</x:v>
      </x:c>
      <x:c r="G459" s="73" t="s">
        <x:v>1121</x:v>
      </x:c>
      <x:c r="H459" s="73" t="s">
        <x:v>1999</x:v>
      </x:c>
      <x:c r="I459" s="73" t="n">
        <x:v>22</x:v>
      </x:c>
      <x:c r="J459" s="73" t="n">
        <x:v>45</x:v>
      </x:c>
      <x:c r="K459" s="73" t="s">
        <x:v>1943</x:v>
      </x:c>
      <x:c r="L459" s="73" t="n">
        <x:v>2019</x:v>
      </x:c>
      <x:c r="M459" s="73" t="n">
        <x:v>4</x:v>
      </x:c>
      <x:c r="N459" s="73" t="n">
        <x:v>18</x:v>
      </x:c>
      <x:c r="O459" s="73" t="n">
        <x:v>11</x:v>
      </x:c>
    </x:row>
    <x:row r="460" ht="15" hidden="0">
      <x:c r="A460" s="73" t="n">
        <x:v>459</x:v>
      </x:c>
      <x:c r="B460" s="73" t="n">
        <x:v>463</x:v>
      </x:c>
      <x:c r="C460" s="73" t="s">
        <x:v>2000</x:v>
      </x:c>
      <x:c r="D460" s="73" t="s">
        <x:v>1257</x:v>
      </x:c>
      <x:c r="E460" s="73" t="s">
        <x:v>2001</x:v>
      </x:c>
      <x:c r="F460" s="73" t="s">
        <x:v>2002</x:v>
      </x:c>
      <x:c r="G460" s="73" t="s">
        <x:v>37</x:v>
      </x:c>
      <x:c r="H460" s="73" t="s">
        <x:v>2003</x:v>
      </x:c>
      <x:c r="I460" s="73" t="n">
        <x:v>18</x:v>
      </x:c>
      <x:c r="J460" s="73" t="n">
        <x:v>35</x:v>
      </x:c>
      <x:c r="K460" s="73" t="s">
        <x:v>209</x:v>
      </x:c>
      <x:c r="L460" s="73" t="n">
        <x:v>2017</x:v>
      </x:c>
      <x:c r="M460" s="73" t="n">
        <x:v>8</x:v>
      </x:c>
      <x:c r="N460" s="73" t="n">
        <x:v>28</x:v>
      </x:c>
      <x:c r="O460" s="73" t="n">
        <x:v>19</x:v>
      </x:c>
    </x:row>
    <x:row r="461" ht="15" hidden="0">
      <x:c r="A461" s="73" t="n">
        <x:v>460</x:v>
      </x:c>
      <x:c r="B461" s="73" t="n">
        <x:v>464</x:v>
      </x:c>
      <x:c r="C461" s="73" t="s">
        <x:v>2004</x:v>
      </x:c>
      <x:c r="D461" s="73" t="s">
        <x:v>2005</x:v>
      </x:c>
      <x:c r="E461" s="73" t="s">
        <x:v>2006</x:v>
      </x:c>
      <x:c r="F461" s="73" t="s">
        <x:v>2007</x:v>
      </x:c>
      <x:c r="G461" s="73" t="s">
        <x:v>31</x:v>
      </x:c>
      <x:c r="H461" s="73" t="s">
        <x:v>2008</x:v>
      </x:c>
      <x:c r="I461" s="73" t="n">
        <x:v>28</x:v>
      </x:c>
      <x:c r="J461" s="73" t="n">
        <x:v>55</x:v>
      </x:c>
      <x:c r="K461" s="73" t="s">
        <x:v>1949</x:v>
      </x:c>
      <x:c r="L461" s="73" t="n">
        <x:v>2023</x:v>
      </x:c>
      <x:c r="M461" s="73" t="n">
        <x:v>2</x:v>
      </x:c>
      <x:c r="N461" s="73" t="n">
        <x:v>10</x:v>
      </x:c>
      <x:c r="O461" s="73" t="n">
        <x:v>14</x:v>
      </x:c>
    </x:row>
    <x:row r="462" ht="15" hidden="0">
      <x:c r="A462" s="73" t="n">
        <x:v>461</x:v>
      </x:c>
      <x:c r="B462" s="73" t="n">
        <x:v>465</x:v>
      </x:c>
      <x:c r="C462" s="73" t="s">
        <x:v>2009</x:v>
      </x:c>
      <x:c r="D462" s="73" t="s">
        <x:v>2010</x:v>
      </x:c>
      <x:c r="E462" s="73" t="s">
        <x:v>2011</x:v>
      </x:c>
      <x:c r="F462" s="73" t="s">
        <x:v>2012</x:v>
      </x:c>
      <x:c r="G462" s="73" t="s">
        <x:v>31</x:v>
      </x:c>
      <x:c r="H462" s="73" t="s">
        <x:v>2013</x:v>
      </x:c>
      <x:c r="I462" s="73" t="n">
        <x:v>30</x:v>
      </x:c>
      <x:c r="J462" s="73" t="n">
        <x:v>60</x:v>
      </x:c>
      <x:c r="K462" s="73" t="s">
        <x:v>1965</x:v>
      </x:c>
      <x:c r="L462" s="73" t="n">
        <x:v>2022</x:v>
      </x:c>
      <x:c r="M462" s="73" t="n">
        <x:v>7</x:v>
      </x:c>
      <x:c r="N462" s="73" t="n">
        <x:v>10</x:v>
      </x:c>
      <x:c r="O462" s="73" t="n">
        <x:v>22</x:v>
      </x:c>
    </x:row>
    <x:row r="463" ht="15" hidden="0">
      <x:c r="A463" s="73" t="n">
        <x:v>462</x:v>
      </x:c>
      <x:c r="B463" s="73" t="n">
        <x:v>466</x:v>
      </x:c>
      <x:c r="C463" s="73" t="s">
        <x:v>2014</x:v>
      </x:c>
      <x:c r="D463" s="73" t="s">
        <x:v>1778</x:v>
      </x:c>
      <x:c r="E463" s="73" t="s">
        <x:v>2015</x:v>
      </x:c>
      <x:c r="F463" s="73" t="s">
        <x:v>2016</x:v>
      </x:c>
      <x:c r="G463" s="73" t="s">
        <x:v>1121</x:v>
      </x:c>
      <x:c r="H463" s="73" t="s">
        <x:v>2017</x:v>
      </x:c>
      <x:c r="I463" s="73" t="n">
        <x:v>18</x:v>
      </x:c>
      <x:c r="J463" s="73" t="n">
        <x:v>35</x:v>
      </x:c>
      <x:c r="K463" s="73" t="s">
        <x:v>1959</x:v>
      </x:c>
      <x:c r="L463" s="73" t="n">
        <x:v>2019</x:v>
      </x:c>
      <x:c r="M463" s="73" t="n">
        <x:v>5</x:v>
      </x:c>
      <x:c r="N463" s="73" t="n">
        <x:v>15</x:v>
      </x:c>
      <x:c r="O463" s="73" t="n">
        <x:v>21</x:v>
      </x:c>
    </x:row>
    <x:row r="464" ht="15" hidden="0">
      <x:c r="A464" s="73" t="n">
        <x:v>463</x:v>
      </x:c>
      <x:c r="B464" s="73" t="n">
        <x:v>467</x:v>
      </x:c>
      <x:c r="C464" s="73" t="s">
        <x:v>2018</x:v>
      </x:c>
      <x:c r="D464" s="73" t="s">
        <x:v>1926</x:v>
      </x:c>
      <x:c r="E464" s="73" t="s">
        <x:v>2019</x:v>
      </x:c>
      <x:c r="F464" s="73" t="s">
        <x:v>2020</x:v>
      </x:c>
      <x:c r="G464" s="73" t="s">
        <x:v>37</x:v>
      </x:c>
      <x:c r="H464" s="73" t="s">
        <x:v>2021</x:v>
      </x:c>
      <x:c r="I464" s="73" t="n">
        <x:v>22</x:v>
      </x:c>
      <x:c r="J464" s="73" t="n">
        <x:v>45</x:v>
      </x:c>
      <x:c r="K464" s="73" t="s">
        <x:v>1938</x:v>
      </x:c>
      <x:c r="L464" s="73" t="n">
        <x:v>2018</x:v>
      </x:c>
      <x:c r="M464" s="73" t="n">
        <x:v>11</x:v>
      </x:c>
      <x:c r="N464" s="73" t="n">
        <x:v>28</x:v>
      </x:c>
      <x:c r="O464" s="73" t="n">
        <x:v>14</x:v>
      </x:c>
    </x:row>
    <x:row r="465" ht="15" hidden="0">
      <x:c r="A465" s="73" t="n">
        <x:v>464</x:v>
      </x:c>
      <x:c r="B465" s="73" t="n">
        <x:v>468</x:v>
      </x:c>
      <x:c r="C465" s="73" t="s">
        <x:v>2022</x:v>
      </x:c>
      <x:c r="D465" s="73" t="s">
        <x:v>1955</x:v>
      </x:c>
      <x:c r="E465" s="73" t="s">
        <x:v>2023</x:v>
      </x:c>
      <x:c r="F465" s="73" t="s">
        <x:v>2024</x:v>
      </x:c>
      <x:c r="G465" s="73" t="s">
        <x:v>31</x:v>
      </x:c>
      <x:c r="H465" s="73" t="s">
        <x:v>2025</x:v>
      </x:c>
      <x:c r="I465" s="73" t="n">
        <x:v>25</x:v>
      </x:c>
      <x:c r="J465" s="73" t="n">
        <x:v>50</x:v>
      </x:c>
      <x:c r="K465" s="73" t="s">
        <x:v>155</x:v>
      </x:c>
      <x:c r="L465" s="73" t="n">
        <x:v>2021</x:v>
      </x:c>
      <x:c r="M465" s="73" t="n">
        <x:v>3</x:v>
      </x:c>
      <x:c r="N465" s="73" t="n">
        <x:v>2</x:v>
      </x:c>
      <x:c r="O465" s="73" t="n">
        <x:v>17</x:v>
      </x:c>
    </x:row>
    <x:row r="466" ht="15" hidden="0">
      <x:c r="A466" s="73" t="n">
        <x:v>465</x:v>
      </x:c>
      <x:c r="B466" s="73" t="n">
        <x:v>469</x:v>
      </x:c>
      <x:c r="C466" s="73" t="s">
        <x:v>2026</x:v>
      </x:c>
      <x:c r="D466" s="73" t="s">
        <x:v>1257</x:v>
      </x:c>
      <x:c r="E466" s="73" t="s">
        <x:v>2027</x:v>
      </x:c>
      <x:c r="F466" s="73" t="s">
        <x:v>2028</x:v>
      </x:c>
      <x:c r="G466" s="73" t="s">
        <x:v>1121</x:v>
      </x:c>
      <x:c r="H466" s="73" t="s">
        <x:v>2029</x:v>
      </x:c>
      <x:c r="I466" s="73" t="n">
        <x:v>20</x:v>
      </x:c>
      <x:c r="J466" s="73" t="n">
        <x:v>40</x:v>
      </x:c>
      <x:c r="K466" s="73" t="s">
        <x:v>123</x:v>
      </x:c>
      <x:c r="L466" s="73" t="n">
        <x:v>2016</x:v>
      </x:c>
      <x:c r="M466" s="73" t="n">
        <x:v>10</x:v>
      </x:c>
      <x:c r="N466" s="73" t="n">
        <x:v>18</x:v>
      </x:c>
      <x:c r="O466" s="73" t="n">
        <x:v>19</x:v>
      </x:c>
    </x:row>
    <x:row r="467" ht="15" hidden="0">
      <x:c r="A467" s="73" t="n">
        <x:v>466</x:v>
      </x:c>
      <x:c r="B467" s="73" t="n">
        <x:v>470</x:v>
      </x:c>
      <x:c r="C467" s="73" t="s">
        <x:v>2030</x:v>
      </x:c>
      <x:c r="D467" s="73" t="s">
        <x:v>1916</x:v>
      </x:c>
      <x:c r="E467" s="73" t="s">
        <x:v>2031</x:v>
      </x:c>
      <x:c r="F467" s="73" t="s">
        <x:v>2032</x:v>
      </x:c>
      <x:c r="G467" s="73" t="s">
        <x:v>37</x:v>
      </x:c>
      <x:c r="H467" s="73" t="s">
        <x:v>2033</x:v>
      </x:c>
      <x:c r="I467" s="73" t="n">
        <x:v>28</x:v>
      </x:c>
      <x:c r="J467" s="73" t="n">
        <x:v>55</x:v>
      </x:c>
      <x:c r="K467" s="73" t="s">
        <x:v>1949</x:v>
      </x:c>
      <x:c r="L467" s="73" t="n">
        <x:v>2020</x:v>
      </x:c>
      <x:c r="M467" s="73" t="n">
        <x:v>8</x:v>
      </x:c>
      <x:c r="N467" s="73" t="n">
        <x:v>15</x:v>
      </x:c>
      <x:c r="O467" s="73" t="n">
        <x:v>12</x:v>
      </x:c>
    </x:row>
    <x:row r="468" ht="15" hidden="0">
      <x:c r="A468" s="73" t="n">
        <x:v>467</x:v>
      </x:c>
      <x:c r="B468" s="73" t="n">
        <x:v>471</x:v>
      </x:c>
      <x:c r="C468" s="73" t="s">
        <x:v>2034</x:v>
      </x:c>
      <x:c r="D468" s="73" t="s">
        <x:v>1921</x:v>
      </x:c>
      <x:c r="E468" s="73" t="s">
        <x:v>2035</x:v>
      </x:c>
      <x:c r="F468" s="73" t="s">
        <x:v>2036</x:v>
      </x:c>
      <x:c r="G468" s="73" t="s">
        <x:v>31</x:v>
      </x:c>
      <x:c r="H468" s="73" t="s">
        <x:v>2037</x:v>
      </x:c>
      <x:c r="I468" s="73" t="n">
        <x:v>18</x:v>
      </x:c>
      <x:c r="J468" s="73" t="n">
        <x:v>35</x:v>
      </x:c>
      <x:c r="K468" s="73" t="s">
        <x:v>137</x:v>
      </x:c>
      <x:c r="L468" s="73" t="n">
        <x:v>2017</x:v>
      </x:c>
      <x:c r="M468" s="73" t="n">
        <x:v>4</x:v>
      </x:c>
      <x:c r="N468" s="73" t="n">
        <x:v>28</x:v>
      </x:c>
      <x:c r="O468" s="73" t="n">
        <x:v>16</x:v>
      </x:c>
    </x:row>
    <x:row r="469" ht="15" hidden="0">
      <x:c r="A469" s="73" t="n">
        <x:v>468</x:v>
      </x:c>
      <x:c r="B469" s="73" t="n">
        <x:v>472</x:v>
      </x:c>
      <x:c r="C469" s="73" t="s">
        <x:v>2038</x:v>
      </x:c>
      <x:c r="D469" s="73" t="s">
        <x:v>2005</x:v>
      </x:c>
      <x:c r="E469" s="73" t="s">
        <x:v>2039</x:v>
      </x:c>
      <x:c r="F469" s="73" t="s">
        <x:v>2040</x:v>
      </x:c>
      <x:c r="G469" s="73" t="s">
        <x:v>1121</x:v>
      </x:c>
      <x:c r="H469" s="73" t="s">
        <x:v>2041</x:v>
      </x:c>
      <x:c r="I469" s="73" t="n">
        <x:v>22</x:v>
      </x:c>
      <x:c r="J469" s="73" t="n">
        <x:v>45</x:v>
      </x:c>
      <x:c r="K469" s="73" t="s">
        <x:v>45</x:v>
      </x:c>
      <x:c r="L469" s="73" t="n">
        <x:v>2019</x:v>
      </x:c>
      <x:c r="M469" s="73" t="n">
        <x:v>9</x:v>
      </x:c>
      <x:c r="N469" s="73" t="n">
        <x:v>10</x:v>
      </x:c>
      <x:c r="O469" s="73" t="n">
        <x:v>21</x:v>
      </x:c>
    </x:row>
    <x:row r="470" ht="15" hidden="0">
      <x:c r="A470" s="73" t="n">
        <x:v>469</x:v>
      </x:c>
      <x:c r="B470" s="73" t="n">
        <x:v>473</x:v>
      </x:c>
      <x:c r="C470" s="73" t="s">
        <x:v>2042</x:v>
      </x:c>
      <x:c r="D470" s="73" t="s">
        <x:v>1955</x:v>
      </x:c>
      <x:c r="E470" s="73" t="s">
        <x:v>2043</x:v>
      </x:c>
      <x:c r="F470" s="73" t="s">
        <x:v>2044</x:v>
      </x:c>
      <x:c r="G470" s="73" t="s">
        <x:v>37</x:v>
      </x:c>
      <x:c r="H470" s="73" t="s">
        <x:v>2045</x:v>
      </x:c>
      <x:c r="I470" s="73" t="n">
        <x:v>15</x:v>
      </x:c>
      <x:c r="J470" s="73" t="n">
        <x:v>30</x:v>
      </x:c>
      <x:c r="K470" s="73" t="s">
        <x:v>1943</x:v>
      </x:c>
      <x:c r="L470" s="73" t="n">
        <x:v>2022</x:v>
      </x:c>
      <x:c r="M470" s="73" t="n">
        <x:v>1</x:v>
      </x:c>
      <x:c r="N470" s="73" t="n">
        <x:v>28</x:v>
      </x:c>
      <x:c r="O470" s="73" t="n">
        <x:v>13</x:v>
      </x:c>
    </x:row>
    <x:row r="471" ht="15" hidden="0">
      <x:c r="A471" s="73" t="n">
        <x:v>470</x:v>
      </x:c>
      <x:c r="B471" s="73" t="n">
        <x:v>474</x:v>
      </x:c>
      <x:c r="C471" s="73" t="s">
        <x:v>2046</x:v>
      </x:c>
      <x:c r="D471" s="73" t="s">
        <x:v>2047</x:v>
      </x:c>
      <x:c r="E471" s="73" t="s">
        <x:v>2048</x:v>
      </x:c>
      <x:c r="F471" s="73" t="s">
        <x:v>2049</x:v>
      </x:c>
      <x:c r="G471" s="73" t="s">
        <x:v>31</x:v>
      </x:c>
      <x:c r="H471" s="73" t="s">
        <x:v>2050</x:v>
      </x:c>
      <x:c r="I471" s="73" t="n">
        <x:v>30</x:v>
      </x:c>
      <x:c r="J471" s="73" t="n">
        <x:v>60</x:v>
      </x:c>
      <x:c r="K471" s="73" t="s">
        <x:v>1974</x:v>
      </x:c>
      <x:c r="L471" s="73" t="n">
        <x:v>2016</x:v>
      </x:c>
      <x:c r="M471" s="73" t="n">
        <x:v>6</x:v>
      </x:c>
      <x:c r="N471" s="73" t="n">
        <x:v>15</x:v>
      </x:c>
      <x:c r="O471" s="73" t="n">
        <x:v>22</x:v>
      </x:c>
    </x:row>
    <x:row r="472" ht="15" hidden="0">
      <x:c r="A472" s="73" t="n">
        <x:v>471</x:v>
      </x:c>
      <x:c r="B472" s="73" t="n">
        <x:v>475</x:v>
      </x:c>
      <x:c r="C472" s="73" t="s">
        <x:v>2051</x:v>
      </x:c>
      <x:c r="D472" s="73" t="s">
        <x:v>2052</x:v>
      </x:c>
      <x:c r="E472" s="73" t="s">
        <x:v>2053</x:v>
      </x:c>
      <x:c r="F472" s="73" t="s">
        <x:v>2054</x:v>
      </x:c>
      <x:c r="G472" s="73" t="s">
        <x:v>31</x:v>
      </x:c>
      <x:c r="H472" s="73" t="s">
        <x:v>2055</x:v>
      </x:c>
      <x:c r="I472" s="73" t="n">
        <x:v>40</x:v>
      </x:c>
      <x:c r="J472" s="73" t="n">
        <x:v>80</x:v>
      </x:c>
      <x:c r="K472" s="73" t="s">
        <x:v>123</x:v>
      </x:c>
      <x:c r="L472" s="73" t="n">
        <x:v>2021</x:v>
      </x:c>
      <x:c r="M472" s="73" t="n">
        <x:v>8</x:v>
      </x:c>
      <x:c r="N472" s="73" t="n">
        <x:v>20</x:v>
      </x:c>
      <x:c r="O472" s="73" t="n">
        <x:v>15</x:v>
      </x:c>
    </x:row>
    <x:row r="473" ht="15" hidden="0">
      <x:c r="A473" s="73" t="n">
        <x:v>472</x:v>
      </x:c>
      <x:c r="B473" s="73" t="n">
        <x:v>476</x:v>
      </x:c>
      <x:c r="C473" s="73" t="s">
        <x:v>2056</x:v>
      </x:c>
      <x:c r="D473" s="73" t="s">
        <x:v>2057</x:v>
      </x:c>
      <x:c r="E473" s="73" t="s">
        <x:v>2058</x:v>
      </x:c>
      <x:c r="F473" s="73" t="s">
        <x:v>1968</x:v>
      </x:c>
      <x:c r="G473" s="73" t="s">
        <x:v>1121</x:v>
      </x:c>
      <x:c r="H473" s="73" t="s">
        <x:v>2059</x:v>
      </x:c>
      <x:c r="I473" s="73" t="n">
        <x:v>35</x:v>
      </x:c>
      <x:c r="J473" s="73" t="n">
        <x:v>70</x:v>
      </x:c>
      <x:c r="K473" s="73" t="s">
        <x:v>155</x:v>
      </x:c>
      <x:c r="L473" s="73" t="n">
        <x:v>2018</x:v>
      </x:c>
      <x:c r="M473" s="73" t="n">
        <x:v>4</x:v>
      </x:c>
      <x:c r="N473" s="73" t="n">
        <x:v>12</x:v>
      </x:c>
      <x:c r="O473" s="73" t="n">
        <x:v>18</x:v>
      </x:c>
    </x:row>
    <x:row r="474" ht="15" hidden="0">
      <x:c r="A474" s="73" t="n">
        <x:v>473</x:v>
      </x:c>
      <x:c r="B474" s="73" t="n">
        <x:v>477</x:v>
      </x:c>
      <x:c r="C474" s="73" t="s">
        <x:v>2060</x:v>
      </x:c>
      <x:c r="D474" s="73" t="s">
        <x:v>1124</x:v>
      </x:c>
      <x:c r="E474" s="73" t="s">
        <x:v>2061</x:v>
      </x:c>
      <x:c r="F474" s="73" t="s">
        <x:v>2062</x:v>
      </x:c>
      <x:c r="G474" s="73" t="s">
        <x:v>37</x:v>
      </x:c>
      <x:c r="H474" s="73" t="s">
        <x:v>2063</x:v>
      </x:c>
      <x:c r="I474" s="73" t="n">
        <x:v>25</x:v>
      </x:c>
      <x:c r="J474" s="73" t="n">
        <x:v>50</x:v>
      </x:c>
      <x:c r="K474" s="73" t="s">
        <x:v>137</x:v>
      </x:c>
      <x:c r="L474" s="73" t="n">
        <x:v>2022</x:v>
      </x:c>
      <x:c r="M474" s="73" t="n">
        <x:v>2</x:v>
      </x:c>
      <x:c r="N474" s="73" t="n">
        <x:v>15</x:v>
      </x:c>
      <x:c r="O474" s="73" t="n">
        <x:v>12</x:v>
      </x:c>
    </x:row>
    <x:row r="475" ht="15" hidden="0">
      <x:c r="A475" s="73" t="n">
        <x:v>474</x:v>
      </x:c>
      <x:c r="B475" s="73" t="n">
        <x:v>478</x:v>
      </x:c>
      <x:c r="C475" s="73" t="s">
        <x:v>2064</x:v>
      </x:c>
      <x:c r="D475" s="73" t="s">
        <x:v>2065</x:v>
      </x:c>
      <x:c r="E475" s="73" t="s">
        <x:v>2066</x:v>
      </x:c>
      <x:c r="F475" s="73" t="s">
        <x:v>2067</x:v>
      </x:c>
      <x:c r="G475" s="73" t="s">
        <x:v>31</x:v>
      </x:c>
      <x:c r="H475" s="73" t="s">
        <x:v>2068</x:v>
      </x:c>
      <x:c r="I475" s="73" t="n">
        <x:v>30</x:v>
      </x:c>
      <x:c r="J475" s="73" t="n">
        <x:v>60</x:v>
      </x:c>
      <x:c r="K475" s="73" t="s">
        <x:v>45</x:v>
      </x:c>
      <x:c r="L475" s="73" t="n">
        <x:v>2019</x:v>
      </x:c>
      <x:c r="M475" s="73" t="n">
        <x:v>10</x:v>
      </x:c>
      <x:c r="N475" s="73" t="n">
        <x:v>28</x:v>
      </x:c>
      <x:c r="O475" s="73" t="n">
        <x:v>14</x:v>
      </x:c>
    </x:row>
    <x:row r="476" ht="15" hidden="0">
      <x:c r="A476" s="73" t="n">
        <x:v>475</x:v>
      </x:c>
      <x:c r="B476" s="73" t="n">
        <x:v>479</x:v>
      </x:c>
      <x:c r="C476" s="73" t="s">
        <x:v>2069</x:v>
      </x:c>
      <x:c r="D476" s="73" t="s">
        <x:v>2070</x:v>
      </x:c>
      <x:c r="E476" s="73" t="s">
        <x:v>2071</x:v>
      </x:c>
      <x:c r="F476" s="73" t="s">
        <x:v>2072</x:v>
      </x:c>
      <x:c r="G476" s="73" t="s">
        <x:v>1121</x:v>
      </x:c>
      <x:c r="H476" s="73" t="s">
        <x:v>2073</x:v>
      </x:c>
      <x:c r="I476" s="73" t="n">
        <x:v>22</x:v>
      </x:c>
      <x:c r="J476" s="73" t="n">
        <x:v>45</x:v>
      </x:c>
      <x:c r="K476" s="73" t="s">
        <x:v>209</x:v>
      </x:c>
      <x:c r="L476" s="73" t="n">
        <x:v>2017</x:v>
      </x:c>
      <x:c r="M476" s="73" t="n">
        <x:v>12</x:v>
      </x:c>
      <x:c r="N476" s="73" t="n">
        <x:v>22</x:v>
      </x:c>
      <x:c r="O476" s="73" t="n">
        <x:v>21</x:v>
      </x:c>
    </x:row>
    <x:row r="477" ht="15" hidden="0">
      <x:c r="A477" s="73" t="n">
        <x:v>476</x:v>
      </x:c>
      <x:c r="B477" s="73" t="n">
        <x:v>480</x:v>
      </x:c>
      <x:c r="C477" s="73" t="s">
        <x:v>2074</x:v>
      </x:c>
      <x:c r="D477" s="73" t="s">
        <x:v>1554</x:v>
      </x:c>
      <x:c r="E477" s="73" t="s">
        <x:v>2075</x:v>
      </x:c>
      <x:c r="F477" s="73" t="s">
        <x:v>2076</x:v>
      </x:c>
      <x:c r="G477" s="73" t="s">
        <x:v>37</x:v>
      </x:c>
      <x:c r="H477" s="73" t="s">
        <x:v>2077</x:v>
      </x:c>
      <x:c r="I477" s="73" t="n">
        <x:v>28</x:v>
      </x:c>
      <x:c r="J477" s="73" t="n">
        <x:v>55</x:v>
      </x:c>
      <x:c r="K477" s="73" t="s">
        <x:v>1938</x:v>
      </x:c>
      <x:c r="L477" s="73" t="n">
        <x:v>2020</x:v>
      </x:c>
      <x:c r="M477" s="73" t="n">
        <x:v>6</x:v>
      </x:c>
      <x:c r="N477" s="73" t="n">
        <x:v>10</x:v>
      </x:c>
      <x:c r="O477" s="73" t="n">
        <x:v>17</x:v>
      </x:c>
    </x:row>
    <x:row r="478" ht="15" hidden="0">
      <x:c r="A478" s="73" t="n">
        <x:v>477</x:v>
      </x:c>
      <x:c r="B478" s="73" t="n">
        <x:v>481</x:v>
      </x:c>
      <x:c r="C478" s="73" t="s">
        <x:v>2078</x:v>
      </x:c>
      <x:c r="D478" s="73" t="s">
        <x:v>2079</x:v>
      </x:c>
      <x:c r="E478" s="73" t="s">
        <x:v>2080</x:v>
      </x:c>
      <x:c r="F478" s="73" t="s">
        <x:v>2081</x:v>
      </x:c>
      <x:c r="G478" s="73" t="s">
        <x:v>31</x:v>
      </x:c>
      <x:c r="H478" s="73" t="s">
        <x:v>2082</x:v>
      </x:c>
      <x:c r="I478" s="73" t="n">
        <x:v>18</x:v>
      </x:c>
      <x:c r="J478" s="73" t="n">
        <x:v>35</x:v>
      </x:c>
      <x:c r="K478" s="73" t="s">
        <x:v>1949</x:v>
      </x:c>
      <x:c r="L478" s="73" t="n">
        <x:v>2016</x:v>
      </x:c>
      <x:c r="M478" s="73" t="n">
        <x:v>9</x:v>
      </x:c>
      <x:c r="N478" s="73" t="n">
        <x:v>18</x:v>
      </x:c>
      <x:c r="O478" s="73" t="n">
        <x:v>19</x:v>
      </x:c>
    </x:row>
    <x:row r="479" ht="15" hidden="0">
      <x:c r="A479" s="73" t="n">
        <x:v>478</x:v>
      </x:c>
      <x:c r="B479" s="73" t="n">
        <x:v>482</x:v>
      </x:c>
      <x:c r="C479" s="73" t="s">
        <x:v>2083</x:v>
      </x:c>
      <x:c r="D479" s="73" t="s">
        <x:v>2052</x:v>
      </x:c>
      <x:c r="E479" s="73" t="s">
        <x:v>2084</x:v>
      </x:c>
      <x:c r="F479" s="73" t="s">
        <x:v>2085</x:v>
      </x:c>
      <x:c r="G479" s="73" t="s">
        <x:v>1121</x:v>
      </x:c>
      <x:c r="H479" s="73" t="s">
        <x:v>2086</x:v>
      </x:c>
      <x:c r="I479" s="73" t="n">
        <x:v>20</x:v>
      </x:c>
      <x:c r="J479" s="73" t="n">
        <x:v>40</x:v>
      </x:c>
      <x:c r="K479" s="73" t="s">
        <x:v>1965</x:v>
      </x:c>
      <x:c r="L479" s="73" t="n">
        <x:v>2023</x:v>
      </x:c>
      <x:c r="M479" s="73" t="n">
        <x:v>3</x:v>
      </x:c>
      <x:c r="N479" s="73" t="n">
        <x:v>10</x:v>
      </x:c>
      <x:c r="O479" s="73" t="n">
        <x:v>14</x:v>
      </x:c>
    </x:row>
    <x:row r="480" ht="15" hidden="0">
      <x:c r="A480" s="73" t="n">
        <x:v>479</x:v>
      </x:c>
      <x:c r="B480" s="73" t="n">
        <x:v>483</x:v>
      </x:c>
      <x:c r="C480" s="73" t="s">
        <x:v>2087</x:v>
      </x:c>
      <x:c r="D480" s="73" t="s">
        <x:v>2088</x:v>
      </x:c>
      <x:c r="E480" s="73" t="s">
        <x:v>2089</x:v>
      </x:c>
      <x:c r="F480" s="73" t="s">
        <x:v>2090</x:v>
      </x:c>
      <x:c r="G480" s="73" t="s">
        <x:v>37</x:v>
      </x:c>
      <x:c r="H480" s="73" t="s">
        <x:v>2091</x:v>
      </x:c>
      <x:c r="I480" s="73" t="n">
        <x:v>25</x:v>
      </x:c>
      <x:c r="J480" s="73" t="n">
        <x:v>50</x:v>
      </x:c>
      <x:c r="K480" s="73" t="s">
        <x:v>1943</x:v>
      </x:c>
      <x:c r="L480" s="73" t="n">
        <x:v>2019</x:v>
      </x:c>
      <x:c r="M480" s="73" t="n">
        <x:v>5</x:v>
      </x:c>
      <x:c r="N480" s="73" t="n">
        <x:v>5</x:v>
      </x:c>
      <x:c r="O480" s="73" t="n">
        <x:v>12</x:v>
      </x:c>
    </x:row>
    <x:row r="481" ht="15" hidden="0">
      <x:c r="A481" s="73" t="n">
        <x:v>480</x:v>
      </x:c>
      <x:c r="B481" s="73" t="n">
        <x:v>484</x:v>
      </x:c>
      <x:c r="C481" s="73" t="s">
        <x:v>2092</x:v>
      </x:c>
      <x:c r="D481" s="73" t="s">
        <x:v>2093</x:v>
      </x:c>
      <x:c r="E481" s="73" t="s">
        <x:v>2094</x:v>
      </x:c>
      <x:c r="F481" s="73" t="s">
        <x:v>2095</x:v>
      </x:c>
      <x:c r="G481" s="73" t="s">
        <x:v>31</x:v>
      </x:c>
      <x:c r="H481" s="73" t="s">
        <x:v>2096</x:v>
      </x:c>
      <x:c r="I481" s="73" t="n">
        <x:v>30</x:v>
      </x:c>
      <x:c r="J481" s="73" t="n">
        <x:v>60</x:v>
      </x:c>
      <x:c r="K481" s="73" t="s">
        <x:v>1876</x:v>
      </x:c>
      <x:c r="L481" s="73" t="n">
        <x:v>2018</x:v>
      </x:c>
      <x:c r="M481" s="73" t="n">
        <x:v>8</x:v>
      </x:c>
      <x:c r="N481" s="73" t="n">
        <x:v>28</x:v>
      </x:c>
      <x:c r="O481" s="73" t="n">
        <x:v>16</x:v>
      </x:c>
    </x:row>
    <x:row r="482" ht="15" hidden="0">
      <x:c r="A482" s="73" t="n">
        <x:v>481</x:v>
      </x:c>
      <x:c r="B482" s="73" t="n">
        <x:v>485</x:v>
      </x:c>
      <x:c r="C482" s="73" t="s">
        <x:v>2097</x:v>
      </x:c>
      <x:c r="D482" s="73" t="s">
        <x:v>2098</x:v>
      </x:c>
      <x:c r="E482" s="73" t="s">
        <x:v>2099</x:v>
      </x:c>
      <x:c r="F482" s="73" t="s">
        <x:v>2100</x:v>
      </x:c>
      <x:c r="G482" s="73" t="s">
        <x:v>1121</x:v>
      </x:c>
      <x:c r="H482" s="73" t="s">
        <x:v>2101</x:v>
      </x:c>
      <x:c r="I482" s="73" t="n">
        <x:v>35</x:v>
      </x:c>
      <x:c r="J482" s="73" t="n">
        <x:v>70</x:v>
      </x:c>
      <x:c r="K482" s="73" t="s">
        <x:v>123</x:v>
      </x:c>
      <x:c r="L482" s="73" t="n">
        <x:v>2022</x:v>
      </x:c>
      <x:c r="M482" s="73" t="n">
        <x:v>11</x:v>
      </x:c>
      <x:c r="N482" s="73" t="n">
        <x:v>15</x:v>
      </x:c>
      <x:c r="O482" s="73" t="n">
        <x:v>20</x:v>
      </x:c>
    </x:row>
    <x:row r="483" ht="15" hidden="0">
      <x:c r="A483" s="73" t="n">
        <x:v>482</x:v>
      </x:c>
      <x:c r="B483" s="73" t="n">
        <x:v>486</x:v>
      </x:c>
      <x:c r="C483" s="73" t="s">
        <x:v>2102</x:v>
      </x:c>
      <x:c r="D483" s="73" t="s">
        <x:v>2052</x:v>
      </x:c>
      <x:c r="E483" s="73" t="s">
        <x:v>2103</x:v>
      </x:c>
      <x:c r="F483" s="73" t="s">
        <x:v>2104</x:v>
      </x:c>
      <x:c r="G483" s="73" t="s">
        <x:v>31</x:v>
      </x:c>
      <x:c r="H483" s="73" t="s">
        <x:v>2105</x:v>
      </x:c>
      <x:c r="I483" s="73" t="n">
        <x:v>40</x:v>
      </x:c>
      <x:c r="J483" s="73" t="n">
        <x:v>80</x:v>
      </x:c>
      <x:c r="K483" s="73" t="s">
        <x:v>155</x:v>
      </x:c>
      <x:c r="L483" s="73" t="n">
        <x:v>2019</x:v>
      </x:c>
      <x:c r="M483" s="73" t="n">
        <x:v>7</x:v>
      </x:c>
      <x:c r="N483" s="73" t="n">
        <x:v>2</x:v>
      </x:c>
      <x:c r="O483" s="73" t="n">
        <x:v>17</x:v>
      </x:c>
    </x:row>
    <x:row r="484" ht="15" hidden="0">
      <x:c r="A484" s="73" t="n">
        <x:v>483</x:v>
      </x:c>
      <x:c r="B484" s="73" t="n">
        <x:v>487</x:v>
      </x:c>
      <x:c r="C484" s="73" t="s">
        <x:v>2106</x:v>
      </x:c>
      <x:c r="D484" s="73" t="s">
        <x:v>495</x:v>
      </x:c>
      <x:c r="E484" s="73" t="s">
        <x:v>2107</x:v>
      </x:c>
      <x:c r="F484" s="73" t="s">
        <x:v>2108</x:v>
      </x:c>
      <x:c r="G484" s="73" t="s">
        <x:v>37</x:v>
      </x:c>
      <x:c r="H484" s="73" t="s">
        <x:v>2109</x:v>
      </x:c>
      <x:c r="I484" s="73" t="n">
        <x:v>30</x:v>
      </x:c>
      <x:c r="J484" s="73" t="n">
        <x:v>60</x:v>
      </x:c>
      <x:c r="K484" s="73" t="s">
        <x:v>137</x:v>
      </x:c>
      <x:c r="L484" s="73" t="n">
        <x:v>2021</x:v>
      </x:c>
      <x:c r="M484" s="73" t="n">
        <x:v>4</x:v>
      </x:c>
      <x:c r="N484" s="73" t="n">
        <x:v>18</x:v>
      </x:c>
      <x:c r="O484" s="73" t="n">
        <x:v>14</x:v>
      </x:c>
    </x:row>
    <x:row r="485" ht="15" hidden="0">
      <x:c r="A485" s="73" t="n">
        <x:v>484</x:v>
      </x:c>
      <x:c r="B485" s="73" t="n">
        <x:v>488</x:v>
      </x:c>
      <x:c r="C485" s="73" t="s">
        <x:v>2110</x:v>
      </x:c>
      <x:c r="D485" s="73" t="s">
        <x:v>2111</x:v>
      </x:c>
      <x:c r="E485" s="73" t="s">
        <x:v>2112</x:v>
      </x:c>
      <x:c r="F485" s="73" t="s">
        <x:v>2113</x:v>
      </x:c>
      <x:c r="G485" s="73" t="s">
        <x:v>1121</x:v>
      </x:c>
      <x:c r="H485" s="73" t="s">
        <x:v>2114</x:v>
      </x:c>
      <x:c r="I485" s="73" t="n">
        <x:v>25</x:v>
      </x:c>
      <x:c r="J485" s="73" t="n">
        <x:v>50</x:v>
      </x:c>
      <x:c r="K485" s="73" t="s">
        <x:v>45</x:v>
      </x:c>
      <x:c r="L485" s="73" t="n">
        <x:v>2023</x:v>
      </x:c>
      <x:c r="M485" s="73" t="n">
        <x:v>2</x:v>
      </x:c>
      <x:c r="N485" s="73" t="n">
        <x:v>5</x:v>
      </x:c>
      <x:c r="O485" s="73" t="n">
        <x:v>19</x:v>
      </x:c>
    </x:row>
    <x:row r="486" ht="15" hidden="0">
      <x:c r="A486" s="73" t="n">
        <x:v>485</x:v>
      </x:c>
      <x:c r="B486" s="73" t="n">
        <x:v>489</x:v>
      </x:c>
      <x:c r="C486" s="73" t="s">
        <x:v>2115</x:v>
      </x:c>
      <x:c r="D486" s="73" t="s">
        <x:v>1183</x:v>
      </x:c>
      <x:c r="E486" s="73" t="s">
        <x:v>2116</x:v>
      </x:c>
      <x:c r="F486" s="73" t="s">
        <x:v>2117</x:v>
      </x:c>
      <x:c r="G486" s="73" t="s">
        <x:v>31</x:v>
      </x:c>
      <x:c r="H486" s="73" t="s">
        <x:v>2118</x:v>
      </x:c>
      <x:c r="I486" s="73" t="n">
        <x:v>22</x:v>
      </x:c>
      <x:c r="J486" s="73" t="n">
        <x:v>45</x:v>
      </x:c>
      <x:c r="K486" s="73" t="s">
        <x:v>209</x:v>
      </x:c>
      <x:c r="L486" s="73" t="n">
        <x:v>2018</x:v>
      </x:c>
      <x:c r="M486" s="73" t="n">
        <x:v>9</x:v>
      </x:c>
      <x:c r="N486" s="73" t="n">
        <x:v>22</x:v>
      </x:c>
      <x:c r="O486" s="73" t="n">
        <x:v>12</x:v>
      </x:c>
    </x:row>
    <x:row r="487" ht="15" hidden="0">
      <x:c r="A487" s="73" t="n">
        <x:v>486</x:v>
      </x:c>
      <x:c r="B487" s="73" t="n">
        <x:v>490</x:v>
      </x:c>
      <x:c r="C487" s="73" t="s">
        <x:v>2119</x:v>
      </x:c>
      <x:c r="D487" s="73" t="s">
        <x:v>2070</x:v>
      </x:c>
      <x:c r="E487" s="73" t="s">
        <x:v>2120</x:v>
      </x:c>
      <x:c r="F487" s="73" t="s">
        <x:v>2121</x:v>
      </x:c>
      <x:c r="G487" s="73" t="s">
        <x:v>37</x:v>
      </x:c>
      <x:c r="H487" s="73" t="s">
        <x:v>2122</x:v>
      </x:c>
      <x:c r="I487" s="73" t="n">
        <x:v>28</x:v>
      </x:c>
      <x:c r="J487" s="73" t="n">
        <x:v>55</x:v>
      </x:c>
      <x:c r="K487" s="73" t="s">
        <x:v>1938</x:v>
      </x:c>
      <x:c r="L487" s="73" t="n">
        <x:v>2016</x:v>
      </x:c>
      <x:c r="M487" s="73" t="n">
        <x:v>12</x:v>
      </x:c>
      <x:c r="N487" s="73" t="n">
        <x:v>10</x:v>
      </x:c>
      <x:c r="O487" s="73" t="n">
        <x:v>21</x:v>
      </x:c>
    </x:row>
    <x:row r="488" ht="15" hidden="0">
      <x:c r="A488" s="73" t="n">
        <x:v>487</x:v>
      </x:c>
      <x:c r="B488" s="73" t="n">
        <x:v>491</x:v>
      </x:c>
      <x:c r="C488" s="73" t="s">
        <x:v>2123</x:v>
      </x:c>
      <x:c r="D488" s="73" t="s">
        <x:v>1671</x:v>
      </x:c>
      <x:c r="E488" s="73" t="s">
        <x:v>2124</x:v>
      </x:c>
      <x:c r="F488" s="73" t="s">
        <x:v>2125</x:v>
      </x:c>
      <x:c r="G488" s="73" t="s">
        <x:v>1121</x:v>
      </x:c>
      <x:c r="H488" s="73" t="s">
        <x:v>2126</x:v>
      </x:c>
      <x:c r="I488" s="73" t="n">
        <x:v>18</x:v>
      </x:c>
      <x:c r="J488" s="73" t="n">
        <x:v>35</x:v>
      </x:c>
      <x:c r="K488" s="73" t="s">
        <x:v>1949</x:v>
      </x:c>
      <x:c r="L488" s="73" t="n">
        <x:v>2020</x:v>
      </x:c>
      <x:c r="M488" s="73" t="n">
        <x:v>5</x:v>
      </x:c>
      <x:c r="N488" s="73" t="n">
        <x:v>28</x:v>
      </x:c>
      <x:c r="O488" s="73" t="n">
        <x:v>16</x:v>
      </x:c>
    </x:row>
    <x:row r="489" ht="15" hidden="0">
      <x:c r="A489" s="73" t="n">
        <x:v>488</x:v>
      </x:c>
      <x:c r="B489" s="73" t="n">
        <x:v>492</x:v>
      </x:c>
      <x:c r="C489" s="73" t="s">
        <x:v>2127</x:v>
      </x:c>
      <x:c r="D489" s="73" t="s">
        <x:v>2128</x:v>
      </x:c>
      <x:c r="E489" s="73" t="s">
        <x:v>2129</x:v>
      </x:c>
      <x:c r="F489" s="73" t="s">
        <x:v>2130</x:v>
      </x:c>
      <x:c r="G489" s="73" t="s">
        <x:v>31</x:v>
      </x:c>
      <x:c r="H489" s="73" t="s">
        <x:v>2131</x:v>
      </x:c>
      <x:c r="I489" s="73" t="n">
        <x:v>22</x:v>
      </x:c>
      <x:c r="J489" s="73" t="n">
        <x:v>45</x:v>
      </x:c>
      <x:c r="K489" s="73" t="s">
        <x:v>1965</x:v>
      </x:c>
      <x:c r="L489" s="73" t="n">
        <x:v>2017</x:v>
      </x:c>
      <x:c r="M489" s="73" t="n">
        <x:v>11</x:v>
      </x:c>
      <x:c r="N489" s="73" t="n">
        <x:v>15</x:v>
      </x:c>
      <x:c r="O489" s="73" t="n">
        <x:v>22</x:v>
      </x:c>
    </x:row>
    <x:row r="490" ht="15" hidden="0">
      <x:c r="A490" s="73" t="n">
        <x:v>489</x:v>
      </x:c>
      <x:c r="B490" s="73" t="n">
        <x:v>493</x:v>
      </x:c>
      <x:c r="C490" s="73" t="s">
        <x:v>2132</x:v>
      </x:c>
      <x:c r="D490" s="73" t="s">
        <x:v>2057</x:v>
      </x:c>
      <x:c r="E490" s="73" t="s">
        <x:v>2133</x:v>
      </x:c>
      <x:c r="F490" s="73" t="s">
        <x:v>2134</x:v>
      </x:c>
      <x:c r="G490" s="73" t="s">
        <x:v>37</x:v>
      </x:c>
      <x:c r="H490" s="73" t="s">
        <x:v>2135</x:v>
      </x:c>
      <x:c r="I490" s="73" t="n">
        <x:v>30</x:v>
      </x:c>
      <x:c r="J490" s="73" t="n">
        <x:v>60</x:v>
      </x:c>
      <x:c r="K490" s="73" t="s">
        <x:v>1943</x:v>
      </x:c>
      <x:c r="L490" s="73" t="n">
        <x:v>2021</x:v>
      </x:c>
      <x:c r="M490" s="73" t="n">
        <x:v>8</x:v>
      </x:c>
      <x:c r="N490" s="73" t="n">
        <x:v>2</x:v>
      </x:c>
      <x:c r="O490" s="73" t="n">
        <x:v>19</x:v>
      </x:c>
    </x:row>
    <x:row r="491" ht="15" hidden="0">
      <x:c r="A491" s="73" t="n">
        <x:v>490</x:v>
      </x:c>
      <x:c r="B491" s="73" t="n">
        <x:v>494</x:v>
      </x:c>
      <x:c r="C491" s="73" t="s">
        <x:v>2136</x:v>
      </x:c>
      <x:c r="D491" s="73" t="s">
        <x:v>2137</x:v>
      </x:c>
      <x:c r="E491" s="73" t="s">
        <x:v>2138</x:v>
      </x:c>
      <x:c r="F491" s="73" t="s">
        <x:v>2139</x:v>
      </x:c>
      <x:c r="G491" s="73" t="s">
        <x:v>31</x:v>
      </x:c>
      <x:c r="H491" s="73" t="s">
        <x:v>2140</x:v>
      </x:c>
      <x:c r="I491" s="73" t="n">
        <x:v>35</x:v>
      </x:c>
      <x:c r="J491" s="73" t="n">
        <x:v>70</x:v>
      </x:c>
      <x:c r="K491" s="73" t="s">
        <x:v>1876</x:v>
      </x:c>
      <x:c r="L491" s="73" t="n">
        <x:v>2019</x:v>
      </x:c>
      <x:c r="M491" s="73" t="n">
        <x:v>3</x:v>
      </x:c>
      <x:c r="N491" s="73" t="n">
        <x:v>28</x:v>
      </x:c>
      <x:c r="O491" s="73" t="n">
        <x:v>15</x:v>
      </x:c>
    </x:row>
    <x:row r="492" ht="15" hidden="0">
      <x:c r="A492" s="73" t="n">
        <x:v>491</x:v>
      </x:c>
      <x:c r="B492" s="73" t="n">
        <x:v>495</x:v>
      </x:c>
      <x:c r="C492" s="73" t="s">
        <x:v>2141</x:v>
      </x:c>
      <x:c r="D492" s="73" t="s">
        <x:v>2142</x:v>
      </x:c>
      <x:c r="E492" s="73" t="s">
        <x:v>2143</x:v>
      </x:c>
      <x:c r="F492" s="73" t="s">
        <x:v>2144</x:v>
      </x:c>
      <x:c r="G492" s="73" t="s">
        <x:v>1121</x:v>
      </x:c>
      <x:c r="H492" s="73" t="s">
        <x:v>2145</x:v>
      </x:c>
      <x:c r="I492" s="73" t="n">
        <x:v>28</x:v>
      </x:c>
      <x:c r="J492" s="73" t="n">
        <x:v>55</x:v>
      </x:c>
      <x:c r="K492" s="73" t="s">
        <x:v>1949</x:v>
      </x:c>
      <x:c r="L492" s="73" t="n">
        <x:v>2018</x:v>
      </x:c>
      <x:c r="M492" s="73" t="n">
        <x:v>5</x:v>
      </x:c>
      <x:c r="N492" s="73" t="n">
        <x:v>12</x:v>
      </x:c>
      <x:c r="O492" s="73" t="n">
        <x:v>17</x:v>
      </x:c>
    </x:row>
    <x:row r="493" ht="15" hidden="0">
      <x:c r="A493" s="73" t="n">
        <x:v>492</x:v>
      </x:c>
      <x:c r="B493" s="73" t="n">
        <x:v>496</x:v>
      </x:c>
      <x:c r="C493" s="73" t="s">
        <x:v>2146</x:v>
      </x:c>
      <x:c r="D493" s="73" t="s">
        <x:v>2147</x:v>
      </x:c>
      <x:c r="E493" s="73" t="s">
        <x:v>2148</x:v>
      </x:c>
      <x:c r="F493" s="73" t="s">
        <x:v>2149</x:v>
      </x:c>
      <x:c r="G493" s="73" t="s">
        <x:v>31</x:v>
      </x:c>
      <x:c r="H493" s="73" t="s">
        <x:v>2150</x:v>
      </x:c>
      <x:c r="I493" s="73" t="n">
        <x:v>30</x:v>
      </x:c>
      <x:c r="J493" s="73" t="n">
        <x:v>60</x:v>
      </x:c>
      <x:c r="K493" s="73" t="s">
        <x:v>123</x:v>
      </x:c>
      <x:c r="L493" s="73" t="n">
        <x:v>2022</x:v>
      </x:c>
      <x:c r="M493" s="73" t="n">
        <x:v>9</x:v>
      </x:c>
      <x:c r="N493" s="73" t="n">
        <x:v>28</x:v>
      </x:c>
      <x:c r="O493" s="73" t="n">
        <x:v>15</x:v>
      </x:c>
    </x:row>
    <x:row r="494" ht="15" hidden="0">
      <x:c r="A494" s="73" t="n">
        <x:v>493</x:v>
      </x:c>
      <x:c r="B494" s="73" t="n">
        <x:v>497</x:v>
      </x:c>
      <x:c r="C494" s="73" t="s">
        <x:v>2151</x:v>
      </x:c>
      <x:c r="D494" s="73" t="s">
        <x:v>495</x:v>
      </x:c>
      <x:c r="E494" s="73" t="s">
        <x:v>2152</x:v>
      </x:c>
      <x:c r="F494" s="73" t="s">
        <x:v>2153</x:v>
      </x:c>
      <x:c r="G494" s="73" t="s">
        <x:v>37</x:v>
      </x:c>
      <x:c r="H494" s="73" t="s">
        <x:v>2154</x:v>
      </x:c>
      <x:c r="I494" s="73" t="n">
        <x:v>22</x:v>
      </x:c>
      <x:c r="J494" s="73" t="n">
        <x:v>45</x:v>
      </x:c>
      <x:c r="K494" s="73" t="s">
        <x:v>1959</x:v>
      </x:c>
      <x:c r="L494" s="73" t="n">
        <x:v>2019</x:v>
      </x:c>
      <x:c r="M494" s="73" t="n">
        <x:v>11</x:v>
      </x:c>
      <x:c r="N494" s="73" t="n">
        <x:v>10</x:v>
      </x:c>
      <x:c r="O494" s="73" t="n">
        <x:v>14</x:v>
      </x:c>
    </x:row>
    <x:row r="495" ht="15" hidden="0">
      <x:c r="A495" s="73" t="n">
        <x:v>494</x:v>
      </x:c>
      <x:c r="B495" s="73" t="n">
        <x:v>498</x:v>
      </x:c>
      <x:c r="C495" s="73" t="s">
        <x:v>2155</x:v>
      </x:c>
      <x:c r="D495" s="73" t="s">
        <x:v>2052</x:v>
      </x:c>
      <x:c r="E495" s="73" t="s">
        <x:v>2156</x:v>
      </x:c>
      <x:c r="F495" s="73" t="s">
        <x:v>2157</x:v>
      </x:c>
      <x:c r="G495" s="73" t="s">
        <x:v>31</x:v>
      </x:c>
      <x:c r="H495" s="73" t="s">
        <x:v>2158</x:v>
      </x:c>
      <x:c r="I495" s="73" t="n">
        <x:v>35</x:v>
      </x:c>
      <x:c r="J495" s="73" t="n">
        <x:v>70</x:v>
      </x:c>
      <x:c r="K495" s="73" t="s">
        <x:v>2159</x:v>
      </x:c>
      <x:c r="L495" s="73" t="n">
        <x:v>2021</x:v>
      </x:c>
      <x:c r="M495" s="73" t="n">
        <x:v>4</x:v>
      </x:c>
      <x:c r="N495" s="73" t="n">
        <x:v>2</x:v>
      </x:c>
      <x:c r="O495" s="73" t="n">
        <x:v>18</x:v>
      </x:c>
    </x:row>
    <x:row r="496" ht="15" hidden="0">
      <x:c r="A496" s="73" t="n">
        <x:v>495</x:v>
      </x:c>
      <x:c r="B496" s="73" t="n">
        <x:v>499</x:v>
      </x:c>
      <x:c r="C496" s="73" t="s">
        <x:v>2160</x:v>
      </x:c>
      <x:c r="D496" s="73" t="s">
        <x:v>2161</x:v>
      </x:c>
      <x:c r="E496" s="73" t="s">
        <x:v>2162</x:v>
      </x:c>
      <x:c r="F496" s="73" t="s">
        <x:v>2163</x:v>
      </x:c>
      <x:c r="G496" s="73" t="s">
        <x:v>1121</x:v>
      </x:c>
      <x:c r="H496" s="73" t="s">
        <x:v>2164</x:v>
      </x:c>
      <x:c r="I496" s="73" t="n">
        <x:v>18</x:v>
      </x:c>
      <x:c r="J496" s="73" t="n">
        <x:v>35</x:v>
      </x:c>
      <x:c r="K496" s="73" t="s">
        <x:v>1965</x:v>
      </x:c>
      <x:c r="L496" s="73" t="n">
        <x:v>2017</x:v>
      </x:c>
      <x:c r="M496" s="73" t="n">
        <x:v>8</x:v>
      </x:c>
      <x:c r="N496" s="73" t="n">
        <x:v>22</x:v>
      </x:c>
      <x:c r="O496" s="73" t="n">
        <x:v>21</x:v>
      </x:c>
    </x:row>
    <x:row r="497" ht="15" hidden="0">
      <x:c r="A497" s="73" t="n">
        <x:v>496</x:v>
      </x:c>
      <x:c r="B497" s="73" t="n">
        <x:v>500</x:v>
      </x:c>
      <x:c r="C497" s="73" t="s">
        <x:v>2165</x:v>
      </x:c>
      <x:c r="D497" s="73" t="s">
        <x:v>2166</x:v>
      </x:c>
      <x:c r="E497" s="73" t="s">
        <x:v>2167</x:v>
      </x:c>
      <x:c r="F497" s="73" t="s">
        <x:v>2168</x:v>
      </x:c>
      <x:c r="G497" s="73" t="s">
        <x:v>31</x:v>
      </x:c>
      <x:c r="H497" s="73" t="s">
        <x:v>2169</x:v>
      </x:c>
      <x:c r="I497" s="73" t="n">
        <x:v>25</x:v>
      </x:c>
      <x:c r="J497" s="73" t="n">
        <x:v>50</x:v>
      </x:c>
      <x:c r="K497" s="73" t="s">
        <x:v>123</x:v>
      </x:c>
      <x:c r="L497" s="73" t="n">
        <x:v>2020</x:v>
      </x:c>
      <x:c r="M497" s="73" t="n">
        <x:v>6</x:v>
      </x:c>
      <x:c r="N497" s="73" t="n">
        <x:v>15</x:v>
      </x:c>
      <x:c r="O497" s="73" t="n">
        <x:v>16</x:v>
      </x:c>
    </x:row>
    <x:row r="498" ht="15" hidden="0">
      <x:c r="A498" s="73" t="n">
        <x:v>497</x:v>
      </x:c>
      <x:c r="B498" s="73" t="n">
        <x:v>501</x:v>
      </x:c>
      <x:c r="C498" s="73" t="s">
        <x:v>2170</x:v>
      </x:c>
      <x:c r="D498" s="73" t="s">
        <x:v>1178</x:v>
      </x:c>
      <x:c r="E498" s="73" t="s">
        <x:v>2171</x:v>
      </x:c>
      <x:c r="F498" s="73" t="s">
        <x:v>2172</x:v>
      </x:c>
      <x:c r="G498" s="73" t="s">
        <x:v>37</x:v>
      </x:c>
      <x:c r="H498" s="73" t="s">
        <x:v>2173</x:v>
      </x:c>
      <x:c r="I498" s="73" t="n">
        <x:v>22</x:v>
      </x:c>
      <x:c r="J498" s="73" t="n">
        <x:v>45</x:v>
      </x:c>
      <x:c r="K498" s="73" t="s">
        <x:v>2174</x:v>
      </x:c>
      <x:c r="L498" s="73" t="n">
        <x:v>2016</x:v>
      </x:c>
      <x:c r="M498" s="73" t="n">
        <x:v>9</x:v>
      </x:c>
      <x:c r="N498" s="73" t="n">
        <x:v>10</x:v>
      </x:c>
      <x:c r="O498" s="73" t="n">
        <x:v>19</x:v>
      </x:c>
    </x:row>
    <x:row r="499" ht="15" hidden="0">
      <x:c r="A499" s="73" t="n">
        <x:v>498</x:v>
      </x:c>
      <x:c r="B499" s="73" t="n">
        <x:v>502</x:v>
      </x:c>
      <x:c r="C499" s="73" t="s">
        <x:v>2175</x:v>
      </x:c>
      <x:c r="D499" s="73" t="s">
        <x:v>2176</x:v>
      </x:c>
      <x:c r="E499" s="73" t="s">
        <x:v>2177</x:v>
      </x:c>
      <x:c r="F499" s="73" t="s">
        <x:v>2178</x:v>
      </x:c>
      <x:c r="G499" s="73" t="s">
        <x:v>1121</x:v>
      </x:c>
      <x:c r="H499" s="73" t="s">
        <x:v>2179</x:v>
      </x:c>
      <x:c r="I499" s="73" t="n">
        <x:v>30</x:v>
      </x:c>
      <x:c r="J499" s="73" t="n">
        <x:v>60</x:v>
      </x:c>
      <x:c r="K499" s="73" t="s">
        <x:v>2180</x:v>
      </x:c>
      <x:c r="L499" s="73" t="n">
        <x:v>2023</x:v>
      </x:c>
      <x:c r="M499" s="73" t="n">
        <x:v>1</x:v>
      </x:c>
      <x:c r="N499" s="73" t="n">
        <x:v>28</x:v>
      </x:c>
      <x:c r="O499" s="73" t="n">
        <x:v>13</x:v>
      </x:c>
    </x:row>
    <x:row r="500" ht="15" hidden="0">
      <x:c r="A500" s="73" t="n">
        <x:v>499</x:v>
      </x:c>
      <x:c r="B500" s="73" t="n">
        <x:v>503</x:v>
      </x:c>
      <x:c r="C500" s="73" t="s">
        <x:v>2181</x:v>
      </x:c>
      <x:c r="D500" s="73" t="s">
        <x:v>2182</x:v>
      </x:c>
      <x:c r="E500" s="73" t="s">
        <x:v>2183</x:v>
      </x:c>
      <x:c r="F500" s="73" t="s">
        <x:v>2184</x:v>
      </x:c>
      <x:c r="G500" s="73" t="s">
        <x:v>31</x:v>
      </x:c>
      <x:c r="H500" s="73" t="s">
        <x:v>2185</x:v>
      </x:c>
      <x:c r="I500" s="73" t="n">
        <x:v>20</x:v>
      </x:c>
      <x:c r="J500" s="73" t="n">
        <x:v>40</x:v>
      </x:c>
      <x:c r="K500" s="73" t="s">
        <x:v>1959</x:v>
      </x:c>
      <x:c r="L500" s="73" t="n">
        <x:v>2019</x:v>
      </x:c>
      <x:c r="M500" s="73" t="n">
        <x:v>4</x:v>
      </x:c>
      <x:c r="N500" s="73" t="n">
        <x:v>18</x:v>
      </x:c>
      <x:c r="O500" s="73" t="n">
        <x:v>16</x:v>
      </x:c>
    </x:row>
    <x:row r="501" ht="15" hidden="0">
      <x:c r="A501" s="73" t="n">
        <x:v>500</x:v>
      </x:c>
      <x:c r="B501" s="73" t="n">
        <x:v>504</x:v>
      </x:c>
      <x:c r="C501" s="73" t="s">
        <x:v>2186</x:v>
      </x:c>
      <x:c r="D501" s="73" t="s">
        <x:v>2166</x:v>
      </x:c>
      <x:c r="E501" s="73" t="s">
        <x:v>2187</x:v>
      </x:c>
      <x:c r="F501" s="73" t="s">
        <x:v>2188</x:v>
      </x:c>
      <x:c r="G501" s="73" t="s">
        <x:v>37</x:v>
      </x:c>
      <x:c r="H501" s="73" t="s">
        <x:v>2189</x:v>
      </x:c>
      <x:c r="I501" s="73" t="n">
        <x:v>28</x:v>
      </x:c>
      <x:c r="J501" s="73" t="n">
        <x:v>55</x:v>
      </x:c>
      <x:c r="K501" s="73" t="s">
        <x:v>2190</x:v>
      </x:c>
      <x:c r="L501" s="73" t="n">
        <x:v>2017</x:v>
      </x:c>
      <x:c r="M501" s="73" t="n">
        <x:v>11</x:v>
      </x:c>
      <x:c r="N501" s="73" t="n">
        <x:v>5</x:v>
      </x:c>
      <x:c r="O501" s="73" t="n">
        <x:v>22</x:v>
      </x:c>
    </x:row>
    <x:row r="502" ht="15" hidden="0">
      <x:c r="A502" s="73" t="n">
        <x:v>501</x:v>
      </x:c>
      <x:c r="B502" s="73" t="n">
        <x:v>505</x:v>
      </x:c>
      <x:c r="C502" s="73" t="s">
        <x:v>2191</x:v>
      </x:c>
      <x:c r="D502" s="73" t="s">
        <x:v>495</x:v>
      </x:c>
      <x:c r="E502" s="73" t="s">
        <x:v>2192</x:v>
      </x:c>
      <x:c r="F502" s="73" t="s">
        <x:v>2193</x:v>
      </x:c>
      <x:c r="G502" s="73" t="s">
        <x:v>31</x:v>
      </x:c>
      <x:c r="H502" s="73" t="s">
        <x:v>2194</x:v>
      </x:c>
      <x:c r="I502" s="73" t="n">
        <x:v>35</x:v>
      </x:c>
      <x:c r="J502" s="73" t="n">
        <x:v>70</x:v>
      </x:c>
      <x:c r="K502" s="73" t="s">
        <x:v>123</x:v>
      </x:c>
      <x:c r="L502" s="73" t="n">
        <x:v>2022</x:v>
      </x:c>
      <x:c r="M502" s="73" t="n">
        <x:v>7</x:v>
      </x:c>
      <x:c r="N502" s="73" t="n">
        <x:v>20</x:v>
      </x:c>
      <x:c r="O502" s="73" t="n">
        <x:v>21</x:v>
      </x:c>
    </x:row>
    <x:row r="503" ht="15" hidden="0">
      <x:c r="A503" s="73" t="n">
        <x:v>502</x:v>
      </x:c>
      <x:c r="B503" s="73" t="n">
        <x:v>506</x:v>
      </x:c>
      <x:c r="C503" s="73" t="s">
        <x:v>2195</x:v>
      </x:c>
      <x:c r="D503" s="73" t="s">
        <x:v>2196</x:v>
      </x:c>
      <x:c r="E503" s="73" t="s">
        <x:v>2197</x:v>
      </x:c>
      <x:c r="F503" s="73" t="s">
        <x:v>2198</x:v>
      </x:c>
      <x:c r="G503" s="73" t="s">
        <x:v>1121</x:v>
      </x:c>
      <x:c r="H503" s="73" t="s">
        <x:v>2199</x:v>
      </x:c>
      <x:c r="I503" s="73" t="n">
        <x:v>25</x:v>
      </x:c>
      <x:c r="J503" s="73" t="n">
        <x:v>50</x:v>
      </x:c>
      <x:c r="K503" s="73" t="s">
        <x:v>1959</x:v>
      </x:c>
      <x:c r="L503" s="73" t="n">
        <x:v>2018</x:v>
      </x:c>
      <x:c r="M503" s="73" t="n">
        <x:v>3</x:v>
      </x:c>
      <x:c r="N503" s="73" t="n">
        <x:v>15</x:v>
      </x:c>
      <x:c r="O503" s="73" t="n">
        <x:v>17</x:v>
      </x:c>
    </x:row>
    <x:row r="504" ht="15" hidden="0">
      <x:c r="A504" s="73" t="n">
        <x:v>503</x:v>
      </x:c>
      <x:c r="B504" s="73" t="n">
        <x:v>507</x:v>
      </x:c>
      <x:c r="C504" s="73" t="s">
        <x:v>2200</x:v>
      </x:c>
      <x:c r="D504" s="73" t="s">
        <x:v>1178</x:v>
      </x:c>
      <x:c r="E504" s="73" t="s">
        <x:v>2066</x:v>
      </x:c>
      <x:c r="F504" s="73" t="s">
        <x:v>2201</x:v>
      </x:c>
      <x:c r="G504" s="73" t="s">
        <x:v>37</x:v>
      </x:c>
      <x:c r="H504" s="73" t="s">
        <x:v>2202</x:v>
      </x:c>
      <x:c r="I504" s="73" t="n">
        <x:v>22</x:v>
      </x:c>
      <x:c r="J504" s="73" t="n">
        <x:v>45</x:v>
      </x:c>
      <x:c r="K504" s="73" t="s">
        <x:v>2203</x:v>
      </x:c>
      <x:c r="L504" s="73" t="n">
        <x:v>2019</x:v>
      </x:c>
      <x:c r="M504" s="73" t="n">
        <x:v>10</x:v>
      </x:c>
      <x:c r="N504" s="73" t="n">
        <x:v>28</x:v>
      </x:c>
      <x:c r="O504" s="73" t="n">
        <x:v>14</x:v>
      </x:c>
    </x:row>
    <x:row r="505" ht="15" hidden="0">
      <x:c r="A505" s="73" t="n">
        <x:v>504</x:v>
      </x:c>
      <x:c r="B505" s="73" t="n">
        <x:v>508</x:v>
      </x:c>
      <x:c r="C505" s="73" t="s">
        <x:v>2204</x:v>
      </x:c>
      <x:c r="D505" s="73" t="s">
        <x:v>2205</x:v>
      </x:c>
      <x:c r="E505" s="73" t="s">
        <x:v>2206</x:v>
      </x:c>
      <x:c r="F505" s="73" t="s">
        <x:v>2207</x:v>
      </x:c>
      <x:c r="G505" s="73" t="s">
        <x:v>31</x:v>
      </x:c>
      <x:c r="H505" s="73" t="s">
        <x:v>2208</x:v>
      </x:c>
      <x:c r="I505" s="73" t="n">
        <x:v>30</x:v>
      </x:c>
      <x:c r="J505" s="73" t="n">
        <x:v>60</x:v>
      </x:c>
      <x:c r="K505" s="73" t="s">
        <x:v>1943</x:v>
      </x:c>
      <x:c r="L505" s="73" t="n">
        <x:v>2021</x:v>
      </x:c>
      <x:c r="M505" s="73" t="n">
        <x:v>6</x:v>
      </x:c>
      <x:c r="N505" s="73" t="n">
        <x:v>10</x:v>
      </x:c>
      <x:c r="O505" s="73" t="n">
        <x:v>16</x:v>
      </x:c>
    </x:row>
    <x:row r="506" ht="15" hidden="0">
      <x:c r="A506" s="73" t="n">
        <x:v>505</x:v>
      </x:c>
      <x:c r="B506" s="73" t="n">
        <x:v>509</x:v>
      </x:c>
      <x:c r="C506" s="73" t="s">
        <x:v>2209</x:v>
      </x:c>
      <x:c r="D506" s="73" t="s">
        <x:v>2166</x:v>
      </x:c>
      <x:c r="E506" s="73" t="s">
        <x:v>2210</x:v>
      </x:c>
      <x:c r="F506" s="73" t="s">
        <x:v>2211</x:v>
      </x:c>
      <x:c r="G506" s="73" t="s">
        <x:v>1121</x:v>
      </x:c>
      <x:c r="H506" s="73" t="s">
        <x:v>2212</x:v>
      </x:c>
      <x:c r="I506" s="73" t="n">
        <x:v>18</x:v>
      </x:c>
      <x:c r="J506" s="73" t="n">
        <x:v>35</x:v>
      </x:c>
      <x:c r="K506" s="73" t="s">
        <x:v>2213</x:v>
      </x:c>
      <x:c r="L506" s="73" t="n">
        <x:v>2017</x:v>
      </x:c>
      <x:c r="M506" s="73" t="n">
        <x:v>8</x:v>
      </x:c>
      <x:c r="N506" s="73" t="n">
        <x:v>18</x:v>
      </x:c>
      <x:c r="O506" s="73" t="n">
        <x:v>19</x:v>
      </x:c>
    </x:row>
    <x:row r="507" ht="15" hidden="0">
      <x:c r="A507" s="73" t="n">
        <x:v>506</x:v>
      </x:c>
      <x:c r="B507" s="73" t="n">
        <x:v>510</x:v>
      </x:c>
      <x:c r="C507" s="73" t="s">
        <x:v>2214</x:v>
      </x:c>
      <x:c r="D507" s="73" t="s">
        <x:v>1554</x:v>
      </x:c>
      <x:c r="E507" s="73" t="s">
        <x:v>2215</x:v>
      </x:c>
      <x:c r="F507" s="73" t="s">
        <x:v>2216</x:v>
      </x:c>
      <x:c r="G507" s="73" t="s">
        <x:v>37</x:v>
      </x:c>
      <x:c r="H507" s="73" t="s">
        <x:v>2217</x:v>
      </x:c>
      <x:c r="I507" s="73" t="n">
        <x:v>28</x:v>
      </x:c>
      <x:c r="J507" s="73" t="n">
        <x:v>55</x:v>
      </x:c>
      <x:c r="K507" s="73" t="s">
        <x:v>1965</x:v>
      </x:c>
      <x:c r="L507" s="73" t="n">
        <x:v>2020</x:v>
      </x:c>
      <x:c r="M507" s="73" t="n">
        <x:v>4</x:v>
      </x:c>
      <x:c r="N507" s="73" t="n">
        <x:v>15</x:v>
      </x:c>
      <x:c r="O507" s="73" t="n">
        <x:v>5</x:v>
      </x:c>
    </x:row>
    <x:row r="508" ht="15" hidden="0">
      <x:c r="A508" s="73" t="n">
        <x:v>507</x:v>
      </x:c>
      <x:c r="B508" s="73" t="n">
        <x:v>511</x:v>
      </x:c>
      <x:c r="C508" s="73" t="s">
        <x:v>2218</x:v>
      </x:c>
      <x:c r="D508" s="73" t="s">
        <x:v>2161</x:v>
      </x:c>
      <x:c r="E508" s="73" t="s">
        <x:v>2219</x:v>
      </x:c>
      <x:c r="F508" s="73" t="s">
        <x:v>2220</x:v>
      </x:c>
      <x:c r="G508" s="73" t="s">
        <x:v>31</x:v>
      </x:c>
      <x:c r="H508" s="73" t="s">
        <x:v>2221</x:v>
      </x:c>
      <x:c r="I508" s="73" t="n">
        <x:v>20</x:v>
      </x:c>
      <x:c r="J508" s="73" t="n">
        <x:v>40</x:v>
      </x:c>
      <x:c r="K508" s="73" t="s">
        <x:v>2222</x:v>
      </x:c>
      <x:c r="L508" s="73" t="n">
        <x:v>2016</x:v>
      </x:c>
      <x:c r="M508" s="73" t="n">
        <x:v>11</x:v>
      </x:c>
      <x:c r="N508" s="73" t="n">
        <x:v>22</x:v>
      </x:c>
      <x:c r="O508" s="73" t="n">
        <x:v>13</x:v>
      </x:c>
    </x:row>
    <x:row r="509" ht="15" hidden="0">
      <x:c r="A509" s="73" t="n">
        <x:v>508</x:v>
      </x:c>
      <x:c r="B509" s="73" t="n">
        <x:v>512</x:v>
      </x:c>
      <x:c r="C509" s="73" t="s">
        <x:v>2223</x:v>
      </x:c>
      <x:c r="D509" s="73" t="s">
        <x:v>1688</x:v>
      </x:c>
      <x:c r="E509" s="73" t="s">
        <x:v>2224</x:v>
      </x:c>
      <x:c r="F509" s="73" t="s">
        <x:v>2225</x:v>
      </x:c>
      <x:c r="G509" s="73" t="s">
        <x:v>1121</x:v>
      </x:c>
      <x:c r="H509" s="73" t="s">
        <x:v>2226</x:v>
      </x:c>
      <x:c r="I509" s="73" t="n">
        <x:v>22</x:v>
      </x:c>
      <x:c r="J509" s="73" t="n">
        <x:v>45</x:v>
      </x:c>
      <x:c r="K509" s="73" t="s">
        <x:v>2227</x:v>
      </x:c>
      <x:c r="L509" s="73" t="n">
        <x:v>2019</x:v>
      </x:c>
      <x:c r="M509" s="73" t="n">
        <x:v>1</x:v>
      </x:c>
      <x:c r="N509" s="73" t="n">
        <x:v>10</x:v>
      </x:c>
      <x:c r="O509" s="73" t="n">
        <x:v>14</x:v>
      </x:c>
    </x:row>
    <x:row r="510" ht="15" hidden="0">
      <x:c r="A510" s="73" t="n">
        <x:v>509</x:v>
      </x:c>
      <x:c r="B510" s="73" t="n">
        <x:v>513</x:v>
      </x:c>
      <x:c r="C510" s="73" t="s">
        <x:v>2228</x:v>
      </x:c>
      <x:c r="D510" s="73" t="s">
        <x:v>2229</x:v>
      </x:c>
      <x:c r="E510" s="73" t="s">
        <x:v>2230</x:v>
      </x:c>
      <x:c r="F510" s="73" t="s">
        <x:v>2231</x:v>
      </x:c>
      <x:c r="G510" s="73" t="s">
        <x:v>37</x:v>
      </x:c>
      <x:c r="H510" s="73" t="s">
        <x:v>2232</x:v>
      </x:c>
      <x:c r="I510" s="73" t="n">
        <x:v>25</x:v>
      </x:c>
      <x:c r="J510" s="73" t="n">
        <x:v>50</x:v>
      </x:c>
      <x:c r="K510" s="73" t="s">
        <x:v>1965</x:v>
      </x:c>
      <x:c r="L510" s="73" t="n">
        <x:v>2023</x:v>
      </x:c>
      <x:c r="M510" s="73" t="n">
        <x:v>2</x:v>
      </x:c>
      <x:c r="N510" s="73" t="n">
        <x:v>28</x:v>
      </x:c>
      <x:c r="O510" s="73" t="n">
        <x:v>16</x:v>
      </x:c>
    </x:row>
    <x:row r="511" ht="15" hidden="0">
      <x:c r="A511" s="73" t="n">
        <x:v>510</x:v>
      </x:c>
      <x:c r="B511" s="73" t="n">
        <x:v>514</x:v>
      </x:c>
      <x:c r="C511" s="73" t="s">
        <x:v>2233</x:v>
      </x:c>
      <x:c r="D511" s="73" t="s">
        <x:v>2234</x:v>
      </x:c>
      <x:c r="E511" s="73" t="s">
        <x:v>2235</x:v>
      </x:c>
      <x:c r="F511" s="73" t="s">
        <x:v>2236</x:v>
      </x:c>
      <x:c r="G511" s="73" t="s">
        <x:v>31</x:v>
      </x:c>
      <x:c r="H511" s="73" t="s">
        <x:v>2237</x:v>
      </x:c>
      <x:c r="I511" s="73" t="n">
        <x:v>22</x:v>
      </x:c>
      <x:c r="J511" s="73" t="n">
        <x:v>45</x:v>
      </x:c>
      <x:c r="K511" s="73" t="s">
        <x:v>2238</x:v>
      </x:c>
      <x:c r="L511" s="73" t="n">
        <x:v>2018</x:v>
      </x:c>
      <x:c r="M511" s="73" t="n">
        <x:v>5</x:v>
      </x:c>
      <x:c r="N511" s="73" t="n">
        <x:v>28</x:v>
      </x:c>
      <x:c r="O511" s="73" t="n">
        <x:v>18</x:v>
      </x:c>
    </x:row>
    <x:row r="512" ht="15" hidden="0">
      <x:c r="A512" s="73" t="n">
        <x:v>511</x:v>
      </x:c>
      <x:c r="B512" s="73" t="n">
        <x:v>515</x:v>
      </x:c>
      <x:c r="C512" s="73" t="s">
        <x:v>2239</x:v>
      </x:c>
      <x:c r="D512" s="73" t="s">
        <x:v>2240</x:v>
      </x:c>
      <x:c r="E512" s="73" t="s">
        <x:v>2241</x:v>
      </x:c>
      <x:c r="F512" s="73" t="s">
        <x:v>2242</x:v>
      </x:c>
      <x:c r="G512" s="73" t="s">
        <x:v>31</x:v>
      </x:c>
      <x:c r="H512" s="73" t="s">
        <x:v>2243</x:v>
      </x:c>
      <x:c r="I512" s="73" t="n">
        <x:v>40</x:v>
      </x:c>
      <x:c r="J512" s="73" t="n">
        <x:v>80</x:v>
      </x:c>
      <x:c r="K512" s="73" t="s">
        <x:v>123</x:v>
      </x:c>
      <x:c r="L512" s="73" t="n">
        <x:v>2022</x:v>
      </x:c>
      <x:c r="M512" s="73" t="n">
        <x:v>9</x:v>
      </x:c>
      <x:c r="N512" s="73" t="n">
        <x:v>15</x:v>
      </x:c>
      <x:c r="O512" s="73" t="n">
        <x:v>20</x:v>
      </x:c>
    </x:row>
    <x:row r="513" ht="15" hidden="0">
      <x:c r="A513" s="73" t="n">
        <x:v>512</x:v>
      </x:c>
      <x:c r="B513" s="73" t="n">
        <x:v>516</x:v>
      </x:c>
      <x:c r="C513" s="73" t="s">
        <x:v>2244</x:v>
      </x:c>
      <x:c r="D513" s="73" t="s">
        <x:v>2245</x:v>
      </x:c>
      <x:c r="E513" s="73" t="s">
        <x:v>2246</x:v>
      </x:c>
      <x:c r="F513" s="73" t="s">
        <x:v>2247</x:v>
      </x:c>
      <x:c r="G513" s="73" t="s">
        <x:v>1121</x:v>
      </x:c>
      <x:c r="H513" s="73" t="s">
        <x:v>2248</x:v>
      </x:c>
      <x:c r="I513" s="73" t="n">
        <x:v>35</x:v>
      </x:c>
      <x:c r="J513" s="73" t="n">
        <x:v>70</x:v>
      </x:c>
      <x:c r="K513" s="73" t="s">
        <x:v>123</x:v>
      </x:c>
      <x:c r="L513" s="73" t="n">
        <x:v>2019</x:v>
      </x:c>
      <x:c r="M513" s="73" t="n">
        <x:v>7</x:v>
      </x:c>
      <x:c r="N513" s="73" t="n">
        <x:v>28</x:v>
      </x:c>
      <x:c r="O513" s="73" t="n">
        <x:v>21</x:v>
      </x:c>
    </x:row>
    <x:row r="514" ht="15" hidden="0">
      <x:c r="A514" s="73" t="n">
        <x:v>513</x:v>
      </x:c>
      <x:c r="B514" s="73" t="n">
        <x:v>517</x:v>
      </x:c>
      <x:c r="C514" s="73" t="s">
        <x:v>2249</x:v>
      </x:c>
      <x:c r="D514" s="73" t="s">
        <x:v>2147</x:v>
      </x:c>
      <x:c r="E514" s="73" t="s">
        <x:v>2250</x:v>
      </x:c>
      <x:c r="F514" s="73" t="s">
        <x:v>2251</x:v>
      </x:c>
      <x:c r="G514" s="73" t="s">
        <x:v>37</x:v>
      </x:c>
      <x:c r="H514" s="73" t="s">
        <x:v>2252</x:v>
      </x:c>
      <x:c r="I514" s="73" t="n">
        <x:v>30</x:v>
      </x:c>
      <x:c r="J514" s="73" t="n">
        <x:v>60</x:v>
      </x:c>
      <x:c r="K514" s="73" t="s">
        <x:v>123</x:v>
      </x:c>
      <x:c r="L514" s="73" t="n">
        <x:v>2021</x:v>
      </x:c>
      <x:c r="M514" s="73" t="n">
        <x:v>5</x:v>
      </x:c>
      <x:c r="N514" s="73" t="n">
        <x:v>10</x:v>
      </x:c>
      <x:c r="O514" s="73" t="n">
        <x:v>19</x:v>
      </x:c>
    </x:row>
    <x:row r="515" ht="15" hidden="0">
      <x:c r="A515" s="73" t="n">
        <x:v>514</x:v>
      </x:c>
      <x:c r="B515" s="73" t="n">
        <x:v>518</x:v>
      </x:c>
      <x:c r="C515" s="73" t="s">
        <x:v>2253</x:v>
      </x:c>
      <x:c r="D515" s="73" t="s">
        <x:v>1778</x:v>
      </x:c>
      <x:c r="E515" s="73" t="s">
        <x:v>2254</x:v>
      </x:c>
      <x:c r="F515" s="73" t="s">
        <x:v>2255</x:v>
      </x:c>
      <x:c r="G515" s="73" t="s">
        <x:v>31</x:v>
      </x:c>
      <x:c r="H515" s="73" t="s">
        <x:v>2256</x:v>
      </x:c>
      <x:c r="I515" s="73" t="n">
        <x:v>22</x:v>
      </x:c>
      <x:c r="J515" s="73" t="n">
        <x:v>45</x:v>
      </x:c>
      <x:c r="K515" s="73" t="s">
        <x:v>137</x:v>
      </x:c>
      <x:c r="L515" s="73" t="n">
        <x:v>2018</x:v>
      </x:c>
      <x:c r="M515" s="73" t="n">
        <x:v>12</x:v>
      </x:c>
      <x:c r="N515" s="73" t="n">
        <x:v>2</x:v>
      </x:c>
      <x:c r="O515" s="73" t="n">
        <x:v>22</x:v>
      </x:c>
    </x:row>
    <x:row r="516" ht="15" hidden="0">
      <x:c r="A516" s="73" t="n">
        <x:v>515</x:v>
      </x:c>
      <x:c r="B516" s="73" t="n">
        <x:v>519</x:v>
      </x:c>
      <x:c r="C516" s="73" t="s">
        <x:v>2257</x:v>
      </x:c>
      <x:c r="D516" s="73" t="s">
        <x:v>1178</x:v>
      </x:c>
      <x:c r="E516" s="73" t="s">
        <x:v>2258</x:v>
      </x:c>
      <x:c r="F516" s="73" t="s">
        <x:v>2259</x:v>
      </x:c>
      <x:c r="G516" s="73" t="s">
        <x:v>1121</x:v>
      </x:c>
      <x:c r="H516" s="73" t="s">
        <x:v>2260</x:v>
      </x:c>
      <x:c r="I516" s="73" t="n">
        <x:v>18</x:v>
      </x:c>
      <x:c r="J516" s="73" t="n">
        <x:v>35</x:v>
      </x:c>
      <x:c r="K516" s="73" t="s">
        <x:v>137</x:v>
      </x:c>
      <x:c r="L516" s="73" t="n">
        <x:v>2020</x:v>
      </x:c>
      <x:c r="M516" s="73" t="n">
        <x:v>8</x:v>
      </x:c>
      <x:c r="N516" s="73" t="n">
        <x:v>18</x:v>
      </x:c>
      <x:c r="O516" s="73" t="n">
        <x:v>19</x:v>
      </x:c>
    </x:row>
    <x:row r="517" ht="15" hidden="0">
      <x:c r="A517" s="73" t="n">
        <x:v>516</x:v>
      </x:c>
      <x:c r="B517" s="73" t="n">
        <x:v>520</x:v>
      </x:c>
      <x:c r="C517" s="73" t="s">
        <x:v>2261</x:v>
      </x:c>
      <x:c r="D517" s="73" t="s">
        <x:v>2052</x:v>
      </x:c>
      <x:c r="E517" s="73" t="s">
        <x:v>2262</x:v>
      </x:c>
      <x:c r="F517" s="73" t="s">
        <x:v>2263</x:v>
      </x:c>
      <x:c r="G517" s="73" t="s">
        <x:v>37</x:v>
      </x:c>
      <x:c r="H517" s="73" t="s">
        <x:v>2264</x:v>
      </x:c>
      <x:c r="I517" s="73" t="n">
        <x:v>28</x:v>
      </x:c>
      <x:c r="J517" s="73" t="n">
        <x:v>55</x:v>
      </x:c>
      <x:c r="K517" s="73" t="s">
        <x:v>123</x:v>
      </x:c>
      <x:c r="L517" s="73" t="n">
        <x:v>2017</x:v>
      </x:c>
      <x:c r="M517" s="73" t="n">
        <x:v>3</x:v>
      </x:c>
      <x:c r="N517" s="73" t="n">
        <x:v>28</x:v>
      </x:c>
      <x:c r="O517" s="73" t="n">
        <x:v>20</x:v>
      </x:c>
    </x:row>
    <x:row r="518" ht="15" hidden="0">
      <x:c r="A518" s="73" t="n">
        <x:v>517</x:v>
      </x:c>
      <x:c r="B518" s="73" t="n">
        <x:v>521</x:v>
      </x:c>
      <x:c r="C518" s="73" t="s">
        <x:v>2265</x:v>
      </x:c>
      <x:c r="D518" s="73" t="s">
        <x:v>2266</x:v>
      </x:c>
      <x:c r="E518" s="73" t="s">
        <x:v>2267</x:v>
      </x:c>
      <x:c r="F518" s="73" t="s">
        <x:v>2268</x:v>
      </x:c>
      <x:c r="G518" s="73" t="s">
        <x:v>31</x:v>
      </x:c>
      <x:c r="H518" s="73" t="s">
        <x:v>2269</x:v>
      </x:c>
      <x:c r="I518" s="73" t="n">
        <x:v>25</x:v>
      </x:c>
      <x:c r="J518" s="73" t="n">
        <x:v>50</x:v>
      </x:c>
      <x:c r="K518" s="73" t="s">
        <x:v>123</x:v>
      </x:c>
      <x:c r="L518" s="73" t="n">
        <x:v>2022</x:v>
      </x:c>
      <x:c r="M518" s="73" t="n">
        <x:v>1</x:v>
      </x:c>
      <x:c r="N518" s="73" t="n">
        <x:v>15</x:v>
      </x:c>
      <x:c r="O518" s="73" t="n">
        <x:v>21</x:v>
      </x:c>
    </x:row>
    <x:row r="519" ht="15" hidden="0">
      <x:c r="A519" s="73" t="n">
        <x:v>518</x:v>
      </x:c>
      <x:c r="B519" s="73" t="n">
        <x:v>522</x:v>
      </x:c>
      <x:c r="C519" s="73" t="s">
        <x:v>2270</x:v>
      </x:c>
      <x:c r="D519" s="73" t="s">
        <x:v>2271</x:v>
      </x:c>
      <x:c r="E519" s="73" t="s">
        <x:v>2272</x:v>
      </x:c>
      <x:c r="F519" s="73" t="s">
        <x:v>2273</x:v>
      </x:c>
      <x:c r="G519" s="73" t="s">
        <x:v>1121</x:v>
      </x:c>
      <x:c r="H519" s="73" t="s">
        <x:v>2274</x:v>
      </x:c>
      <x:c r="I519" s="73" t="n">
        <x:v>22</x:v>
      </x:c>
      <x:c r="J519" s="73" t="n">
        <x:v>45</x:v>
      </x:c>
      <x:c r="K519" s="73" t="s">
        <x:v>123</x:v>
      </x:c>
      <x:c r="L519" s="73" t="n">
        <x:v>2019</x:v>
      </x:c>
      <x:c r="M519" s="73" t="n">
        <x:v>6</x:v>
      </x:c>
      <x:c r="N519" s="73" t="n">
        <x:v>10</x:v>
      </x:c>
      <x:c r="O519" s="73" t="n">
        <x:v>18</x:v>
      </x:c>
    </x:row>
    <x:row r="520" ht="15" hidden="0">
      <x:c r="A520" s="73" t="n">
        <x:v>519</x:v>
      </x:c>
      <x:c r="B520" s="73" t="n">
        <x:v>523</x:v>
      </x:c>
      <x:c r="C520" s="73" t="s">
        <x:v>2275</x:v>
      </x:c>
      <x:c r="D520" s="73" t="s">
        <x:v>2276</x:v>
      </x:c>
      <x:c r="E520" s="73" t="s">
        <x:v>2277</x:v>
      </x:c>
      <x:c r="F520" s="73" t="s">
        <x:v>2278</x:v>
      </x:c>
      <x:c r="G520" s="73" t="s">
        <x:v>37</x:v>
      </x:c>
      <x:c r="H520" s="73" t="s">
        <x:v>2279</x:v>
      </x:c>
      <x:c r="I520" s="73" t="n">
        <x:v>35</x:v>
      </x:c>
      <x:c r="J520" s="73" t="n">
        <x:v>70</x:v>
      </x:c>
      <x:c r="K520" s="73" t="s">
        <x:v>123</x:v>
      </x:c>
      <x:c r="L520" s="73" t="n">
        <x:v>2023</x:v>
      </x:c>
      <x:c r="M520" s="73" t="n">
        <x:v>3</x:v>
      </x:c>
      <x:c r="N520" s="73" t="n">
        <x:v>20</x:v>
      </x:c>
      <x:c r="O520" s="73" t="n">
        <x:v>22</x:v>
      </x:c>
    </x:row>
    <x:row r="521" ht="15" hidden="0">
      <x:c r="A521" s="73" t="n">
        <x:v>520</x:v>
      </x:c>
      <x:c r="B521" s="73" t="n">
        <x:v>524</x:v>
      </x:c>
      <x:c r="C521" s="73" t="s">
        <x:v>2280</x:v>
      </x:c>
      <x:c r="D521" s="73" t="s">
        <x:v>2281</x:v>
      </x:c>
      <x:c r="E521" s="73" t="s">
        <x:v>847</x:v>
      </x:c>
      <x:c r="F521" s="73" t="s">
        <x:v>2282</x:v>
      </x:c>
      <x:c r="G521" s="73" t="s">
        <x:v>31</x:v>
      </x:c>
      <x:c r="H521" s="73" t="s">
        <x:v>2283</x:v>
      </x:c>
      <x:c r="I521" s="73" t="n">
        <x:v>30</x:v>
      </x:c>
      <x:c r="J521" s="73" t="n">
        <x:v>60</x:v>
      </x:c>
      <x:c r="K521" s="73" t="s">
        <x:v>137</x:v>
      </x:c>
      <x:c r="L521" s="73" t="n">
        <x:v>2016</x:v>
      </x:c>
      <x:c r="M521" s="73" t="n">
        <x:v>11</x:v>
      </x:c>
      <x:c r="N521" s="73" t="n">
        <x:v>28</x:v>
      </x:c>
      <x:c r="O521" s="73" t="n">
        <x:v>19</x:v>
      </x:c>
    </x:row>
    <x:row r="522" ht="15" hidden="0">
      <x:c r="A522" s="73" t="n">
        <x:v>521</x:v>
      </x:c>
      <x:c r="B522" s="73" t="n">
        <x:v>525</x:v>
      </x:c>
      <x:c r="C522" s="73" t="s">
        <x:v>2284</x:v>
      </x:c>
      <x:c r="D522" s="73" t="s">
        <x:v>2065</x:v>
      </x:c>
      <x:c r="E522" s="73" t="s">
        <x:v>2285</x:v>
      </x:c>
      <x:c r="F522" s="73" t="s">
        <x:v>2286</x:v>
      </x:c>
      <x:c r="G522" s="73" t="s">
        <x:v>31</x:v>
      </x:c>
      <x:c r="H522" s="73" t="s">
        <x:v>2287</x:v>
      </x:c>
      <x:c r="I522" s="73" t="n">
        <x:v>40</x:v>
      </x:c>
      <x:c r="J522" s="73" t="n">
        <x:v>80</x:v>
      </x:c>
      <x:c r="K522" s="73" t="s">
        <x:v>155</x:v>
      </x:c>
      <x:c r="L522" s="73" t="n">
        <x:v>2018</x:v>
      </x:c>
      <x:c r="M522" s="73" t="n">
        <x:v>8</x:v>
      </x:c>
      <x:c r="N522" s="73" t="n">
        <x:v>5</x:v>
      </x:c>
      <x:c r="O522" s="73" t="n">
        <x:v>20</x:v>
      </x:c>
    </x:row>
    <x:row r="523" ht="15" hidden="0">
      <x:c r="A523" s="73" t="n">
        <x:v>522</x:v>
      </x:c>
      <x:c r="B523" s="73" t="n">
        <x:v>526</x:v>
      </x:c>
      <x:c r="C523" s="73" t="s">
        <x:v>2288</x:v>
      </x:c>
      <x:c r="D523" s="73" t="s">
        <x:v>2289</x:v>
      </x:c>
      <x:c r="E523" s="73" t="s">
        <x:v>2290</x:v>
      </x:c>
      <x:c r="F523" s="73" t="s">
        <x:v>2291</x:v>
      </x:c>
      <x:c r="G523" s="73" t="s">
        <x:v>1121</x:v>
      </x:c>
      <x:c r="H523" s="73" t="s">
        <x:v>2292</x:v>
      </x:c>
      <x:c r="I523" s="73" t="n">
        <x:v>35</x:v>
      </x:c>
      <x:c r="J523" s="73" t="n">
        <x:v>70</x:v>
      </x:c>
      <x:c r="K523" s="73" t="s">
        <x:v>123</x:v>
      </x:c>
      <x:c r="L523" s="73" t="n">
        <x:v>2021</x:v>
      </x:c>
      <x:c r="M523" s="73" t="n">
        <x:v>4</x:v>
      </x:c>
      <x:c r="N523" s="73" t="n">
        <x:v>15</x:v>
      </x:c>
      <x:c r="O523" s="73" t="n">
        <x:v>21</x:v>
      </x:c>
    </x:row>
    <x:row r="524" ht="15" hidden="0">
      <x:c r="A524" s="73" t="n">
        <x:v>523</x:v>
      </x:c>
      <x:c r="B524" s="73" t="n">
        <x:v>527</x:v>
      </x:c>
      <x:c r="C524" s="73" t="s">
        <x:v>2293</x:v>
      </x:c>
      <x:c r="D524" s="73" t="s">
        <x:v>2240</x:v>
      </x:c>
      <x:c r="E524" s="73" t="s">
        <x:v>2294</x:v>
      </x:c>
      <x:c r="F524" s="73" t="s">
        <x:v>2295</x:v>
      </x:c>
      <x:c r="G524" s="73" t="s">
        <x:v>37</x:v>
      </x:c>
      <x:c r="H524" s="73" t="s">
        <x:v>2296</x:v>
      </x:c>
      <x:c r="I524" s="73" t="n">
        <x:v>30</x:v>
      </x:c>
      <x:c r="J524" s="73" t="n">
        <x:v>60</x:v>
      </x:c>
      <x:c r="K524" s="73" t="s">
        <x:v>137</x:v>
      </x:c>
      <x:c r="L524" s="73" t="n">
        <x:v>2019</x:v>
      </x:c>
      <x:c r="M524" s="73" t="n">
        <x:v>11</x:v>
      </x:c>
      <x:c r="N524" s="73" t="n">
        <x:v>28</x:v>
      </x:c>
      <x:c r="O524" s="73" t="n">
        <x:v>19</x:v>
      </x:c>
    </x:row>
    <x:row r="525" ht="15" hidden="0">
      <x:c r="A525" s="73" t="n">
        <x:v>524</x:v>
      </x:c>
      <x:c r="B525" s="73" t="n">
        <x:v>528</x:v>
      </x:c>
      <x:c r="C525" s="73" t="s">
        <x:v>2297</x:v>
      </x:c>
      <x:c r="D525" s="73" t="s">
        <x:v>2298</x:v>
      </x:c>
      <x:c r="E525" s="73" t="s">
        <x:v>2299</x:v>
      </x:c>
      <x:c r="F525" s="73" t="s">
        <x:v>2300</x:v>
      </x:c>
      <x:c r="G525" s="73" t="s">
        <x:v>31</x:v>
      </x:c>
      <x:c r="H525" s="73" t="s">
        <x:v>2301</x:v>
      </x:c>
      <x:c r="I525" s="73" t="n">
        <x:v>22</x:v>
      </x:c>
      <x:c r="J525" s="73" t="n">
        <x:v>45</x:v>
      </x:c>
      <x:c r="K525" s="73" t="s">
        <x:v>123</x:v>
      </x:c>
      <x:c r="L525" s="73" t="n">
        <x:v>2020</x:v>
      </x:c>
      <x:c r="M525" s="73" t="n">
        <x:v>6</x:v>
      </x:c>
      <x:c r="N525" s="73" t="n">
        <x:v>22</x:v>
      </x:c>
      <x:c r="O525" s="73" t="n">
        <x:v>22</x:v>
      </x:c>
    </x:row>
    <x:row r="526" ht="15" hidden="0">
      <x:c r="A526" s="73" t="n">
        <x:v>525</x:v>
      </x:c>
      <x:c r="B526" s="73" t="n">
        <x:v>529</x:v>
      </x:c>
      <x:c r="C526" s="73" t="s">
        <x:v>2302</x:v>
      </x:c>
      <x:c r="D526" s="73" t="s">
        <x:v>2303</x:v>
      </x:c>
      <x:c r="E526" s="73" t="s">
        <x:v>2304</x:v>
      </x:c>
      <x:c r="F526" s="73" t="s">
        <x:v>2305</x:v>
      </x:c>
      <x:c r="G526" s="73" t="s">
        <x:v>1121</x:v>
      </x:c>
      <x:c r="H526" s="73" t="s">
        <x:v>2306</x:v>
      </x:c>
      <x:c r="I526" s="73" t="n">
        <x:v>18</x:v>
      </x:c>
      <x:c r="J526" s="73" t="n">
        <x:v>35</x:v>
      </x:c>
      <x:c r="K526" s="73" t="s">
        <x:v>123</x:v>
      </x:c>
      <x:c r="L526" s="73" t="n">
        <x:v>2017</x:v>
      </x:c>
      <x:c r="M526" s="73" t="n">
        <x:v>9</x:v>
      </x:c>
      <x:c r="N526" s="73" t="n">
        <x:v>10</x:v>
      </x:c>
      <x:c r="O526" s="73" t="n">
        <x:v>20</x:v>
      </x:c>
    </x:row>
    <x:row r="527" ht="15" hidden="0">
      <x:c r="A527" s="73" t="n">
        <x:v>526</x:v>
      </x:c>
      <x:c r="B527" s="73" t="n">
        <x:v>530</x:v>
      </x:c>
      <x:c r="C527" s="73" t="s">
        <x:v>2307</x:v>
      </x:c>
      <x:c r="D527" s="73" t="s">
        <x:v>2308</x:v>
      </x:c>
      <x:c r="E527" s="73" t="s">
        <x:v>2309</x:v>
      </x:c>
      <x:c r="F527" s="73" t="s">
        <x:v>2310</x:v>
      </x:c>
      <x:c r="G527" s="73" t="s">
        <x:v>37</x:v>
      </x:c>
      <x:c r="H527" s="73" t="s">
        <x:v>2311</x:v>
      </x:c>
      <x:c r="I527" s="73" t="n">
        <x:v>28</x:v>
      </x:c>
      <x:c r="J527" s="73" t="n">
        <x:v>55</x:v>
      </x:c>
      <x:c r="K527" s="73" t="s">
        <x:v>2312</x:v>
      </x:c>
      <x:c r="L527" s="73" t="n">
        <x:v>2022</x:v>
      </x:c>
      <x:c r="M527" s="73" t="n">
        <x:v>2</x:v>
      </x:c>
      <x:c r="N527" s="73" t="n">
        <x:v>28</x:v>
      </x:c>
      <x:c r="O527" s="73" t="n">
        <x:v>21</x:v>
      </x:c>
    </x:row>
    <x:row r="528" ht="15" hidden="0">
      <x:c r="A528" s="73" t="n">
        <x:v>527</x:v>
      </x:c>
      <x:c r="B528" s="73" t="n">
        <x:v>531</x:v>
      </x:c>
      <x:c r="C528" s="73" t="s">
        <x:v>2313</x:v>
      </x:c>
      <x:c r="D528" s="73" t="s">
        <x:v>2314</x:v>
      </x:c>
      <x:c r="E528" s="73" t="s">
        <x:v>2315</x:v>
      </x:c>
      <x:c r="F528" s="73" t="s">
        <x:v>2316</x:v>
      </x:c>
      <x:c r="G528" s="73" t="s">
        <x:v>31</x:v>
      </x:c>
      <x:c r="H528" s="73" t="s">
        <x:v>2317</x:v>
      </x:c>
      <x:c r="I528" s="73" t="n">
        <x:v>25</x:v>
      </x:c>
      <x:c r="J528" s="73" t="n">
        <x:v>50</x:v>
      </x:c>
      <x:c r="K528" s="73" t="s">
        <x:v>2318</x:v>
      </x:c>
      <x:c r="L528" s="73" t="n">
        <x:v>2016</x:v>
      </x:c>
      <x:c r="M528" s="73" t="n">
        <x:v>5</x:v>
      </x:c>
      <x:c r="N528" s="73" t="n">
        <x:v>15</x:v>
      </x:c>
      <x:c r="O528" s="73" t="n">
        <x:v>19</x:v>
      </x:c>
    </x:row>
    <x:row r="529" ht="15" hidden="0">
      <x:c r="A529" s="73" t="n">
        <x:v>528</x:v>
      </x:c>
      <x:c r="B529" s="73" t="n">
        <x:v>532</x:v>
      </x:c>
      <x:c r="C529" s="73" t="s">
        <x:v>2319</x:v>
      </x:c>
      <x:c r="D529" s="73" t="s">
        <x:v>2320</x:v>
      </x:c>
      <x:c r="E529" s="73" t="s">
        <x:v>2321</x:v>
      </x:c>
      <x:c r="F529" s="73" t="s">
        <x:v>2322</x:v>
      </x:c>
      <x:c r="G529" s="73" t="s">
        <x:v>1121</x:v>
      </x:c>
      <x:c r="H529" s="73" t="s">
        <x:v>2323</x:v>
      </x:c>
      <x:c r="I529" s="73" t="n">
        <x:v>22</x:v>
      </x:c>
      <x:c r="J529" s="73" t="n">
        <x:v>45</x:v>
      </x:c>
      <x:c r="K529" s="73" t="s">
        <x:v>123</x:v>
      </x:c>
      <x:c r="L529" s="73" t="n">
        <x:v>2018</x:v>
      </x:c>
      <x:c r="M529" s="73" t="n">
        <x:v>12</x:v>
      </x:c>
      <x:c r="N529" s="73" t="n">
        <x:v>10</x:v>
      </x:c>
      <x:c r="O529" s="73" t="n">
        <x:v>22</x:v>
      </x:c>
    </x:row>
    <x:row r="530" ht="15" hidden="0">
      <x:c r="A530" s="73" t="n">
        <x:v>529</x:v>
      </x:c>
      <x:c r="B530" s="73" t="n">
        <x:v>533</x:v>
      </x:c>
      <x:c r="C530" s="73" t="s">
        <x:v>2324</x:v>
      </x:c>
      <x:c r="D530" s="73" t="s">
        <x:v>2325</x:v>
      </x:c>
      <x:c r="E530" s="73" t="s">
        <x:v>2326</x:v>
      </x:c>
      <x:c r="F530" s="73" t="s">
        <x:v>2327</x:v>
      </x:c>
      <x:c r="G530" s="73" t="s">
        <x:v>37</x:v>
      </x:c>
      <x:c r="H530" s="73" t="s">
        <x:v>2328</x:v>
      </x:c>
      <x:c r="I530" s="73" t="n">
        <x:v>35</x:v>
      </x:c>
      <x:c r="J530" s="73" t="n">
        <x:v>70</x:v>
      </x:c>
      <x:c r="K530" s="73" t="s">
        <x:v>123</x:v>
      </x:c>
      <x:c r="L530" s="73" t="n">
        <x:v>2023</x:v>
      </x:c>
      <x:c r="M530" s="73" t="n">
        <x:v>1</x:v>
      </x:c>
      <x:c r="N530" s="73" t="n">
        <x:v>22</x:v>
      </x:c>
      <x:c r="O530" s="73" t="n">
        <x:v>20</x:v>
      </x:c>
    </x:row>
    <x:row r="531" ht="15" hidden="0">
      <x:c r="A531" s="73" t="n">
        <x:v>530</x:v>
      </x:c>
      <x:c r="B531" s="73" t="n">
        <x:v>534</x:v>
      </x:c>
      <x:c r="C531" s="73" t="s">
        <x:v>2329</x:v>
      </x:c>
      <x:c r="D531" s="73" t="s">
        <x:v>2330</x:v>
      </x:c>
      <x:c r="E531" s="73" t="s">
        <x:v>2331</x:v>
      </x:c>
      <x:c r="F531" s="73" t="s">
        <x:v>2332</x:v>
      </x:c>
      <x:c r="G531" s="73" t="s">
        <x:v>31</x:v>
      </x:c>
      <x:c r="H531" s="73" t="s">
        <x:v>2333</x:v>
      </x:c>
      <x:c r="I531" s="73" t="n">
        <x:v>30</x:v>
      </x:c>
      <x:c r="J531" s="73" t="n">
        <x:v>60</x:v>
      </x:c>
      <x:c r="K531" s="73" t="s">
        <x:v>2334</x:v>
      </x:c>
      <x:c r="L531" s="73" t="n">
        <x:v>2020</x:v>
      </x:c>
      <x:c r="M531" s="73" t="n">
        <x:v>3</x:v>
      </x:c>
      <x:c r="N531" s="73" t="n">
        <x:v>5</x:v>
      </x:c>
      <x:c r="O531" s="73" t="n">
        <x:v>18</x:v>
      </x:c>
    </x:row>
    <x:row r="532" ht="15" hidden="0">
      <x:c r="A532" s="73" t="n">
        <x:v>531</x:v>
      </x:c>
      <x:c r="B532" s="73" t="n">
        <x:v>535</x:v>
      </x:c>
      <x:c r="C532" s="73" t="s">
        <x:v>2335</x:v>
      </x:c>
      <x:c r="D532" s="73" t="s">
        <x:v>495</x:v>
      </x:c>
      <x:c r="E532" s="73" t="s">
        <x:v>2336</x:v>
      </x:c>
      <x:c r="F532" s="73" t="s">
        <x:v>2337</x:v>
      </x:c>
      <x:c r="G532" s="73" t="s">
        <x:v>1121</x:v>
      </x:c>
      <x:c r="H532" s="73" t="s">
        <x:v>2338</x:v>
      </x:c>
      <x:c r="I532" s="73" t="n">
        <x:v>40</x:v>
      </x:c>
      <x:c r="J532" s="73" t="n">
        <x:v>80</x:v>
      </x:c>
      <x:c r="K532" s="73" t="s">
        <x:v>123</x:v>
      </x:c>
      <x:c r="L532" s="73" t="n">
        <x:v>2018</x:v>
      </x:c>
      <x:c r="M532" s="73" t="n">
        <x:v>10</x:v>
      </x:c>
      <x:c r="N532" s="73" t="n">
        <x:v>12</x:v>
      </x:c>
      <x:c r="O532" s="73" t="n">
        <x:v>20</x:v>
      </x:c>
    </x:row>
    <x:row r="533" ht="15" hidden="0">
      <x:c r="A533" s="73" t="n">
        <x:v>532</x:v>
      </x:c>
      <x:c r="B533" s="73" t="n">
        <x:v>536</x:v>
      </x:c>
      <x:c r="C533" s="73" t="s">
        <x:v>2339</x:v>
      </x:c>
      <x:c r="D533" s="73" t="s">
        <x:v>1778</x:v>
      </x:c>
      <x:c r="E533" s="73" t="s">
        <x:v>2340</x:v>
      </x:c>
      <x:c r="F533" s="73" t="s">
        <x:v>2341</x:v>
      </x:c>
      <x:c r="G533" s="73" t="s">
        <x:v>31</x:v>
      </x:c>
      <x:c r="H533" s="73" t="s">
        <x:v>2342</x:v>
      </x:c>
      <x:c r="I533" s="73" t="n">
        <x:v>35</x:v>
      </x:c>
      <x:c r="J533" s="73" t="n">
        <x:v>70</x:v>
      </x:c>
      <x:c r="K533" s="73" t="s">
        <x:v>137</x:v>
      </x:c>
      <x:c r="L533" s="73" t="n">
        <x:v>2019</x:v>
      </x:c>
      <x:c r="M533" s="73" t="n">
        <x:v>6</x:v>
      </x:c>
      <x:c r="N533" s="73" t="n">
        <x:v>25</x:v>
      </x:c>
      <x:c r="O533" s="73" t="n">
        <x:v>22</x:v>
      </x:c>
    </x:row>
    <x:row r="534" ht="15" hidden="0">
      <x:c r="A534" s="73" t="n">
        <x:v>533</x:v>
      </x:c>
      <x:c r="B534" s="73" t="n">
        <x:v>537</x:v>
      </x:c>
      <x:c r="C534" s="73" t="s">
        <x:v>2343</x:v>
      </x:c>
      <x:c r="D534" s="73" t="s">
        <x:v>2344</x:v>
      </x:c>
      <x:c r="E534" s="73" t="s">
        <x:v>2345</x:v>
      </x:c>
      <x:c r="F534" s="73" t="s">
        <x:v>2346</x:v>
      </x:c>
      <x:c r="G534" s="73" t="s">
        <x:v>37</x:v>
      </x:c>
      <x:c r="H534" s="73" t="s">
        <x:v>2347</x:v>
      </x:c>
      <x:c r="I534" s="73" t="n">
        <x:v>30</x:v>
      </x:c>
      <x:c r="J534" s="73" t="n">
        <x:v>60</x:v>
      </x:c>
      <x:c r="K534" s="73" t="s">
        <x:v>155</x:v>
      </x:c>
      <x:c r="L534" s="73" t="n">
        <x:v>2020</x:v>
      </x:c>
      <x:c r="M534" s="73" t="n">
        <x:v>7</x:v>
      </x:c>
      <x:c r="N534" s="73" t="n">
        <x:v>8</x:v>
      </x:c>
      <x:c r="O534" s="73" t="n">
        <x:v>19</x:v>
      </x:c>
    </x:row>
    <x:row r="535" ht="15" hidden="0">
      <x:c r="A535" s="73" t="n">
        <x:v>534</x:v>
      </x:c>
      <x:c r="B535" s="73" t="n">
        <x:v>538</x:v>
      </x:c>
      <x:c r="C535" s="73" t="s">
        <x:v>2348</x:v>
      </x:c>
      <x:c r="D535" s="73" t="s">
        <x:v>2303</x:v>
      </x:c>
      <x:c r="E535" s="73" t="s">
        <x:v>2349</x:v>
      </x:c>
      <x:c r="F535" s="73" t="s">
        <x:v>2350</x:v>
      </x:c>
      <x:c r="G535" s="73" t="s">
        <x:v>1121</x:v>
      </x:c>
      <x:c r="H535" s="73" t="s">
        <x:v>2351</x:v>
      </x:c>
      <x:c r="I535" s="73" t="n">
        <x:v>22</x:v>
      </x:c>
      <x:c r="J535" s="73" t="n">
        <x:v>45</x:v>
      </x:c>
      <x:c r="K535" s="73" t="s">
        <x:v>45</x:v>
      </x:c>
      <x:c r="L535" s="73" t="n">
        <x:v>2017</x:v>
      </x:c>
      <x:c r="M535" s="73" t="n">
        <x:v>9</x:v>
      </x:c>
      <x:c r="N535" s="73" t="n">
        <x:v>18</x:v>
      </x:c>
      <x:c r="O535" s="73" t="n">
        <x:v>21</x:v>
      </x:c>
    </x:row>
    <x:row r="536" ht="15" hidden="0">
      <x:c r="A536" s="73" t="n">
        <x:v>535</x:v>
      </x:c>
      <x:c r="B536" s="73" t="n">
        <x:v>539</x:v>
      </x:c>
      <x:c r="C536" s="73" t="s">
        <x:v>2352</x:v>
      </x:c>
      <x:c r="D536" s="73" t="s">
        <x:v>2353</x:v>
      </x:c>
      <x:c r="E536" s="73" t="s">
        <x:v>2354</x:v>
      </x:c>
      <x:c r="F536" s="73" t="s">
        <x:v>2355</x:v>
      </x:c>
      <x:c r="G536" s="73" t="s">
        <x:v>31</x:v>
      </x:c>
      <x:c r="H536" s="73" t="s">
        <x:v>2356</x:v>
      </x:c>
      <x:c r="I536" s="73" t="n">
        <x:v>28</x:v>
      </x:c>
      <x:c r="J536" s="73" t="n">
        <x:v>55</x:v>
      </x:c>
      <x:c r="K536" s="73" t="s">
        <x:v>209</x:v>
      </x:c>
      <x:c r="L536" s="73" t="n">
        <x:v>2021</x:v>
      </x:c>
      <x:c r="M536" s="73" t="n">
        <x:v>1</x:v>
      </x:c>
      <x:c r="N536" s="73" t="n">
        <x:v>15</x:v>
      </x:c>
      <x:c r="O536" s="73" t="n">
        <x:v>18</x:v>
      </x:c>
    </x:row>
    <x:row r="537" ht="15" hidden="0">
      <x:c r="A537" s="73" t="n">
        <x:v>536</x:v>
      </x:c>
      <x:c r="B537" s="73" t="n">
        <x:v>540</x:v>
      </x:c>
      <x:c r="C537" s="73" t="s">
        <x:v>2357</x:v>
      </x:c>
      <x:c r="D537" s="73" t="s">
        <x:v>2070</x:v>
      </x:c>
      <x:c r="E537" s="73" t="s">
        <x:v>2358</x:v>
      </x:c>
      <x:c r="F537" s="73" t="s">
        <x:v>2359</x:v>
      </x:c>
      <x:c r="G537" s="73" t="s">
        <x:v>37</x:v>
      </x:c>
      <x:c r="H537" s="73" t="s">
        <x:v>2360</x:v>
      </x:c>
      <x:c r="I537" s="73" t="n">
        <x:v>18</x:v>
      </x:c>
      <x:c r="J537" s="73" t="n">
        <x:v>35</x:v>
      </x:c>
      <x:c r="K537" s="73" t="s">
        <x:v>123</x:v>
      </x:c>
      <x:c r="L537" s="73" t="n">
        <x:v>2016</x:v>
      </x:c>
      <x:c r="M537" s="73" t="n">
        <x:v>2</x:v>
      </x:c>
      <x:c r="N537" s="73" t="n">
        <x:v>28</x:v>
      </x:c>
      <x:c r="O537" s="73" t="n">
        <x:v>20</x:v>
      </x:c>
    </x:row>
    <x:row r="538" ht="15" hidden="0">
      <x:c r="A538" s="73" t="n">
        <x:v>537</x:v>
      </x:c>
      <x:c r="B538" s="73" t="n">
        <x:v>541</x:v>
      </x:c>
      <x:c r="C538" s="73" t="s">
        <x:v>2361</x:v>
      </x:c>
      <x:c r="D538" s="73" t="s">
        <x:v>1671</x:v>
      </x:c>
      <x:c r="E538" s="73" t="s">
        <x:v>2362</x:v>
      </x:c>
      <x:c r="F538" s="73" t="s">
        <x:v>2363</x:v>
      </x:c>
      <x:c r="G538" s="73" t="s">
        <x:v>1121</x:v>
      </x:c>
      <x:c r="H538" s="73" t="s">
        <x:v>2364</x:v>
      </x:c>
      <x:c r="I538" s="73" t="n">
        <x:v>22</x:v>
      </x:c>
      <x:c r="J538" s="73" t="n">
        <x:v>45</x:v>
      </x:c>
      <x:c r="K538" s="73" t="s">
        <x:v>1949</x:v>
      </x:c>
      <x:c r="L538" s="73" t="n">
        <x:v>2022</x:v>
      </x:c>
      <x:c r="M538" s="73" t="n">
        <x:v>4</x:v>
      </x:c>
      <x:c r="N538" s="73" t="n">
        <x:v>20</x:v>
      </x:c>
      <x:c r="O538" s="73" t="n">
        <x:v>17</x:v>
      </x:c>
    </x:row>
    <x:row r="539" ht="15" hidden="0">
      <x:c r="A539" s="73" t="n">
        <x:v>538</x:v>
      </x:c>
      <x:c r="B539" s="73" t="n">
        <x:v>542</x:v>
      </x:c>
      <x:c r="C539" s="73" t="s">
        <x:v>2365</x:v>
      </x:c>
      <x:c r="D539" s="73" t="s">
        <x:v>1490</x:v>
      </x:c>
      <x:c r="E539" s="73" t="s">
        <x:v>2366</x:v>
      </x:c>
      <x:c r="F539" s="73" t="s">
        <x:v>2367</x:v>
      </x:c>
      <x:c r="G539" s="73" t="s">
        <x:v>31</x:v>
      </x:c>
      <x:c r="H539" s="73" t="s">
        <x:v>2368</x:v>
      </x:c>
      <x:c r="I539" s="73" t="n">
        <x:v>28</x:v>
      </x:c>
      <x:c r="J539" s="73" t="n">
        <x:v>55</x:v>
      </x:c>
      <x:c r="K539" s="73" t="s">
        <x:v>1938</x:v>
      </x:c>
      <x:c r="L539" s="73" t="n">
        <x:v>2019</x:v>
      </x:c>
      <x:c r="M539" s="73" t="n">
        <x:v>11</x:v>
      </x:c>
      <x:c r="N539" s="73" t="n">
        <x:v>5</x:v>
      </x:c>
      <x:c r="O539" s="73" t="n">
        <x:v>21</x:v>
      </x:c>
    </x:row>
    <x:row r="540" ht="15" hidden="0">
      <x:c r="A540" s="73" t="n">
        <x:v>539</x:v>
      </x:c>
      <x:c r="B540" s="73" t="n">
        <x:v>543</x:v>
      </x:c>
      <x:c r="C540" s="73" t="s">
        <x:v>2369</x:v>
      </x:c>
      <x:c r="D540" s="73" t="s">
        <x:v>2370</x:v>
      </x:c>
      <x:c r="E540" s="73" t="s">
        <x:v>2371</x:v>
      </x:c>
      <x:c r="F540" s="73" t="s">
        <x:v>2372</x:v>
      </x:c>
      <x:c r="G540" s="73" t="s">
        <x:v>37</x:v>
      </x:c>
      <x:c r="H540" s="73" t="s">
        <x:v>2373</x:v>
      </x:c>
      <x:c r="I540" s="73" t="n">
        <x:v>35</x:v>
      </x:c>
      <x:c r="J540" s="73" t="n">
        <x:v>70</x:v>
      </x:c>
      <x:c r="K540" s="73" t="s">
        <x:v>1965</x:v>
      </x:c>
      <x:c r="L540" s="73" t="n">
        <x:v>2015</x:v>
      </x:c>
      <x:c r="M540" s="73" t="n">
        <x:v>7</x:v>
      </x:c>
      <x:c r="N540" s="73" t="n">
        <x:v>12</x:v>
      </x:c>
      <x:c r="O540" s="73" t="n">
        <x:v>22</x:v>
      </x:c>
    </x:row>
    <x:row r="541" ht="15" hidden="0">
      <x:c r="A541" s="73" t="n">
        <x:v>540</x:v>
      </x:c>
      <x:c r="B541" s="73" t="n">
        <x:v>544</x:v>
      </x:c>
      <x:c r="C541" s="73" t="s">
        <x:v>2374</x:v>
      </x:c>
      <x:c r="D541" s="73" t="s">
        <x:v>2375</x:v>
      </x:c>
      <x:c r="E541" s="73" t="s">
        <x:v>2376</x:v>
      </x:c>
      <x:c r="F541" s="73" t="s">
        <x:v>2377</x:v>
      </x:c>
      <x:c r="G541" s="73" t="s">
        <x:v>1121</x:v>
      </x:c>
      <x:c r="H541" s="73" t="s">
        <x:v>2378</x:v>
      </x:c>
      <x:c r="I541" s="73" t="n">
        <x:v>22</x:v>
      </x:c>
      <x:c r="J541" s="73" t="n">
        <x:v>45</x:v>
      </x:c>
      <x:c r="K541" s="73" t="s">
        <x:v>1943</x:v>
      </x:c>
      <x:c r="L541" s="73" t="n">
        <x:v>2020</x:v>
      </x:c>
      <x:c r="M541" s="73" t="n">
        <x:v>9</x:v>
      </x:c>
      <x:c r="N541" s="73" t="n">
        <x:v>10</x:v>
      </x:c>
      <x:c r="O541" s="73" t="n">
        <x:v>19</x:v>
      </x:c>
    </x:row>
    <x:row r="542" ht="15" hidden="0">
      <x:c r="A542" s="73" t="n">
        <x:v>541</x:v>
      </x:c>
      <x:c r="B542" s="73" t="n">
        <x:v>545</x:v>
      </x:c>
      <x:c r="C542" s="73" t="s">
        <x:v>2379</x:v>
      </x:c>
      <x:c r="D542" s="73" t="s">
        <x:v>2052</x:v>
      </x:c>
      <x:c r="E542" s="73" t="s">
        <x:v>2380</x:v>
      </x:c>
      <x:c r="F542" s="73" t="s">
        <x:v>2381</x:v>
      </x:c>
      <x:c r="G542" s="73" t="s">
        <x:v>31</x:v>
      </x:c>
      <x:c r="H542" s="73" t="s">
        <x:v>2382</x:v>
      </x:c>
      <x:c r="I542" s="73" t="n">
        <x:v>40</x:v>
      </x:c>
      <x:c r="J542" s="73" t="n">
        <x:v>80</x:v>
      </x:c>
      <x:c r="K542" s="73" t="s">
        <x:v>1943</x:v>
      </x:c>
      <x:c r="L542" s="73" t="n">
        <x:v>2018</x:v>
      </x:c>
      <x:c r="M542" s="73" t="n">
        <x:v>7</x:v>
      </x:c>
      <x:c r="N542" s="73" t="n">
        <x:v>15</x:v>
      </x:c>
      <x:c r="O542" s="73" t="n">
        <x:v>21</x:v>
      </x:c>
    </x:row>
    <x:row r="543" ht="15" hidden="0">
      <x:c r="A543" s="73" t="n">
        <x:v>542</x:v>
      </x:c>
      <x:c r="B543" s="73" t="n">
        <x:v>546</x:v>
      </x:c>
      <x:c r="C543" s="73" t="s">
        <x:v>2383</x:v>
      </x:c>
      <x:c r="D543" s="73" t="s">
        <x:v>1671</x:v>
      </x:c>
      <x:c r="E543" s="73" t="s">
        <x:v>2384</x:v>
      </x:c>
      <x:c r="F543" s="73" t="s">
        <x:v>2385</x:v>
      </x:c>
      <x:c r="G543" s="73" t="s">
        <x:v>1121</x:v>
      </x:c>
      <x:c r="H543" s="73" t="s">
        <x:v>2386</x:v>
      </x:c>
      <x:c r="I543" s="73" t="n">
        <x:v>35</x:v>
      </x:c>
      <x:c r="J543" s="73" t="n">
        <x:v>70</x:v>
      </x:c>
      <x:c r="K543" s="73" t="s">
        <x:v>123</x:v>
      </x:c>
      <x:c r="L543" s="73" t="n">
        <x:v>2020</x:v>
      </x:c>
      <x:c r="M543" s="73" t="n">
        <x:v>8</x:v>
      </x:c>
      <x:c r="N543" s="73" t="n">
        <x:v>8</x:v>
      </x:c>
      <x:c r="O543" s="73" t="n">
        <x:v>19</x:v>
      </x:c>
    </x:row>
    <x:row r="544" ht="15" hidden="0">
      <x:c r="A544" s="73" t="n">
        <x:v>543</x:v>
      </x:c>
      <x:c r="B544" s="73" t="n">
        <x:v>547</x:v>
      </x:c>
      <x:c r="C544" s="73" t="s">
        <x:v>2387</x:v>
      </x:c>
      <x:c r="D544" s="73" t="s">
        <x:v>495</x:v>
      </x:c>
      <x:c r="E544" s="73" t="s">
        <x:v>2340</x:v>
      </x:c>
      <x:c r="F544" s="73" t="s">
        <x:v>2388</x:v>
      </x:c>
      <x:c r="G544" s="73" t="s">
        <x:v>37</x:v>
      </x:c>
      <x:c r="H544" s="73" t="s">
        <x:v>2389</x:v>
      </x:c>
      <x:c r="I544" s="73" t="n">
        <x:v>30</x:v>
      </x:c>
      <x:c r="J544" s="73" t="n">
        <x:v>60</x:v>
      </x:c>
      <x:c r="K544" s="73" t="s">
        <x:v>209</x:v>
      </x:c>
      <x:c r="L544" s="73" t="n">
        <x:v>2019</x:v>
      </x:c>
      <x:c r="M544" s="73" t="n">
        <x:v>6</x:v>
      </x:c>
      <x:c r="N544" s="73" t="n">
        <x:v>25</x:v>
      </x:c>
      <x:c r="O544" s="73" t="n">
        <x:v>22</x:v>
      </x:c>
    </x:row>
    <x:row r="545" ht="15" hidden="0">
      <x:c r="A545" s="73" t="n">
        <x:v>544</x:v>
      </x:c>
      <x:c r="B545" s="73" t="n">
        <x:v>548</x:v>
      </x:c>
      <x:c r="C545" s="73" t="s">
        <x:v>2390</x:v>
      </x:c>
      <x:c r="D545" s="73" t="s">
        <x:v>2391</x:v>
      </x:c>
      <x:c r="E545" s="73" t="s">
        <x:v>2392</x:v>
      </x:c>
      <x:c r="F545" s="73" t="s">
        <x:v>2393</x:v>
      </x:c>
      <x:c r="G545" s="73" t="s">
        <x:v>31</x:v>
      </x:c>
      <x:c r="H545" s="73" t="s">
        <x:v>2394</x:v>
      </x:c>
      <x:c r="I545" s="73" t="n">
        <x:v>22</x:v>
      </x:c>
      <x:c r="J545" s="73" t="n">
        <x:v>45</x:v>
      </x:c>
      <x:c r="K545" s="73" t="s">
        <x:v>2395</x:v>
      </x:c>
      <x:c r="L545" s="73" t="n">
        <x:v>2021</x:v>
      </x:c>
      <x:c r="M545" s="73" t="n">
        <x:v>11</x:v>
      </x:c>
      <x:c r="N545" s="73" t="n">
        <x:v>7</x:v>
      </x:c>
      <x:c r="O545" s="73" t="n">
        <x:v>17</x:v>
      </x:c>
    </x:row>
    <x:row r="546" ht="15" hidden="0">
      <x:c r="A546" s="73" t="n">
        <x:v>545</x:v>
      </x:c>
      <x:c r="B546" s="73" t="n">
        <x:v>549</x:v>
      </x:c>
      <x:c r="C546" s="73" t="s">
        <x:v>2396</x:v>
      </x:c>
      <x:c r="D546" s="73" t="s">
        <x:v>2196</x:v>
      </x:c>
      <x:c r="E546" s="73" t="s">
        <x:v>2304</x:v>
      </x:c>
      <x:c r="F546" s="73" t="s">
        <x:v>2397</x:v>
      </x:c>
      <x:c r="G546" s="73" t="s">
        <x:v>1121</x:v>
      </x:c>
      <x:c r="H546" s="73" t="s">
        <x:v>2398</x:v>
      </x:c>
      <x:c r="I546" s="73" t="n">
        <x:v>28</x:v>
      </x:c>
      <x:c r="J546" s="73" t="n">
        <x:v>55</x:v>
      </x:c>
      <x:c r="K546" s="73" t="s">
        <x:v>137</x:v>
      </x:c>
      <x:c r="L546" s="73" t="n">
        <x:v>2017</x:v>
      </x:c>
      <x:c r="M546" s="73" t="n">
        <x:v>9</x:v>
      </x:c>
      <x:c r="N546" s="73" t="n">
        <x:v>10</x:v>
      </x:c>
      <x:c r="O546" s="73" t="n">
        <x:v>20</x:v>
      </x:c>
    </x:row>
    <x:row r="547" ht="15" hidden="0">
      <x:c r="A547" s="73" t="n">
        <x:v>546</x:v>
      </x:c>
      <x:c r="B547" s="73" t="n">
        <x:v>550</x:v>
      </x:c>
      <x:c r="C547" s="73" t="s">
        <x:v>2399</x:v>
      </x:c>
      <x:c r="D547" s="73" t="s">
        <x:v>2400</x:v>
      </x:c>
      <x:c r="E547" s="73" t="s">
        <x:v>2401</x:v>
      </x:c>
      <x:c r="F547" s="73" t="s">
        <x:v>2402</x:v>
      </x:c>
      <x:c r="G547" s="73" t="s">
        <x:v>37</x:v>
      </x:c>
      <x:c r="H547" s="73" t="s">
        <x:v>2403</x:v>
      </x:c>
      <x:c r="I547" s="73" t="n">
        <x:v>18</x:v>
      </x:c>
      <x:c r="J547" s="73" t="n">
        <x:v>35</x:v>
      </x:c>
      <x:c r="K547" s="73" t="s">
        <x:v>123</x:v>
      </x:c>
      <x:c r="L547" s="73" t="n">
        <x:v>2022</x:v>
      </x:c>
      <x:c r="M547" s="73" t="n">
        <x:v>6</x:v>
      </x:c>
      <x:c r="N547" s="73" t="n">
        <x:v>20</x:v>
      </x:c>
      <x:c r="O547" s="73" t="n">
        <x:v>21</x:v>
      </x:c>
    </x:row>
    <x:row r="548" ht="15" hidden="0">
      <x:c r="A548" s="73" t="n">
        <x:v>547</x:v>
      </x:c>
      <x:c r="B548" s="73" t="n">
        <x:v>551</x:v>
      </x:c>
      <x:c r="C548" s="73" t="s">
        <x:v>2404</x:v>
      </x:c>
      <x:c r="D548" s="73" t="s">
        <x:v>2166</x:v>
      </x:c>
      <x:c r="E548" s="73" t="s">
        <x:v>2405</x:v>
      </x:c>
      <x:c r="F548" s="73" t="s">
        <x:v>2406</x:v>
      </x:c>
      <x:c r="G548" s="73" t="s">
        <x:v>31</x:v>
      </x:c>
      <x:c r="H548" s="73" t="s">
        <x:v>2407</x:v>
      </x:c>
      <x:c r="I548" s="73" t="n">
        <x:v>22</x:v>
      </x:c>
      <x:c r="J548" s="73" t="n">
        <x:v>45</x:v>
      </x:c>
      <x:c r="K548" s="73" t="s">
        <x:v>2408</x:v>
      </x:c>
      <x:c r="L548" s="73" t="n">
        <x:v>2016</x:v>
      </x:c>
      <x:c r="M548" s="73" t="n">
        <x:v>4</x:v>
      </x:c>
      <x:c r="N548" s="73" t="n">
        <x:v>10</x:v>
      </x:c>
      <x:c r="O548" s="73" t="n">
        <x:v>18</x:v>
      </x:c>
    </x:row>
    <x:row r="549" ht="15" hidden="0">
      <x:c r="A549" s="73" t="n">
        <x:v>548</x:v>
      </x:c>
      <x:c r="B549" s="73" t="n">
        <x:v>552</x:v>
      </x:c>
      <x:c r="C549" s="73" t="s">
        <x:v>2409</x:v>
      </x:c>
      <x:c r="D549" s="73" t="s">
        <x:v>2137</x:v>
      </x:c>
      <x:c r="E549" s="73" t="s">
        <x:v>2410</x:v>
      </x:c>
      <x:c r="F549" s="73" t="s">
        <x:v>2411</x:v>
      </x:c>
      <x:c r="G549" s="73" t="s">
        <x:v>1121</x:v>
      </x:c>
      <x:c r="H549" s="73" t="s">
        <x:v>2412</x:v>
      </x:c>
      <x:c r="I549" s="73" t="n">
        <x:v>28</x:v>
      </x:c>
      <x:c r="J549" s="73" t="n">
        <x:v>55</x:v>
      </x:c>
      <x:c r="K549" s="73" t="s">
        <x:v>1938</x:v>
      </x:c>
      <x:c r="L549" s="73" t="n">
        <x:v>2019</x:v>
      </x:c>
      <x:c r="M549" s="73" t="n">
        <x:v>11</x:v>
      </x:c>
      <x:c r="N549" s="73" t="n">
        <x:v>24</x:v>
      </x:c>
      <x:c r="O549" s="73" t="n">
        <x:v>19</x:v>
      </x:c>
    </x:row>
    <x:row r="550" ht="15" hidden="0">
      <x:c r="A550" s="73" t="n">
        <x:v>549</x:v>
      </x:c>
      <x:c r="B550" s="73" t="n">
        <x:v>553</x:v>
      </x:c>
      <x:c r="C550" s="73" t="s">
        <x:v>2413</x:v>
      </x:c>
      <x:c r="D550" s="73" t="s">
        <x:v>1405</x:v>
      </x:c>
      <x:c r="E550" s="73" t="s">
        <x:v>2414</x:v>
      </x:c>
      <x:c r="F550" s="73" t="s">
        <x:v>2415</x:v>
      </x:c>
      <x:c r="G550" s="73" t="s">
        <x:v>37</x:v>
      </x:c>
      <x:c r="H550" s="73" t="s">
        <x:v>2416</x:v>
      </x:c>
      <x:c r="I550" s="73" t="n">
        <x:v>35</x:v>
      </x:c>
      <x:c r="J550" s="73" t="n">
        <x:v>70</x:v>
      </x:c>
      <x:c r="K550" s="73" t="s">
        <x:v>1959</x:v>
      </x:c>
      <x:c r="L550" s="73" t="n">
        <x:v>2015</x:v>
      </x:c>
      <x:c r="M550" s="73" t="n">
        <x:v>9</x:v>
      </x:c>
      <x:c r="N550" s="73" t="n">
        <x:v>28</x:v>
      </x:c>
      <x:c r="O550" s="73" t="n">
        <x:v>22</x:v>
      </x:c>
    </x:row>
    <x:row r="551" ht="15" hidden="0">
      <x:c r="A551" s="73" t="n">
        <x:v>550</x:v>
      </x:c>
      <x:c r="B551" s="73" t="n">
        <x:v>554</x:v>
      </x:c>
      <x:c r="C551" s="73" t="s">
        <x:v>2417</x:v>
      </x:c>
      <x:c r="D551" s="73" t="s">
        <x:v>2418</x:v>
      </x:c>
      <x:c r="E551" s="73" t="s">
        <x:v>2419</x:v>
      </x:c>
      <x:c r="F551" s="73" t="s">
        <x:v>2420</x:v>
      </x:c>
      <x:c r="G551" s="73" t="s">
        <x:v>31</x:v>
      </x:c>
      <x:c r="H551" s="73" t="s">
        <x:v>2421</x:v>
      </x:c>
      <x:c r="I551" s="73" t="n">
        <x:v>22</x:v>
      </x:c>
      <x:c r="J551" s="73" t="n">
        <x:v>45</x:v>
      </x:c>
      <x:c r="K551" s="73" t="s">
        <x:v>155</x:v>
      </x:c>
      <x:c r="L551" s="73" t="n">
        <x:v>2020</x:v>
      </x:c>
      <x:c r="M551" s="73" t="n">
        <x:v>12</x:v>
      </x:c>
      <x:c r="N551" s="73" t="n">
        <x:v>12</x:v>
      </x:c>
      <x:c r="O551" s="73" t="n">
        <x:v>20</x:v>
      </x:c>
    </x:row>
    <x:row r="552" ht="15" hidden="0">
      <x:c r="A552" s="73" t="n">
        <x:v>551</x:v>
      </x:c>
      <x:c r="B552" s="73" t="n">
        <x:v>555</x:v>
      </x:c>
      <x:c r="C552" s="73" t="s">
        <x:v>2422</x:v>
      </x:c>
      <x:c r="D552" s="73" t="s">
        <x:v>1861</x:v>
      </x:c>
      <x:c r="E552" s="73" t="s">
        <x:v>2423</x:v>
      </x:c>
      <x:c r="F552" s="73" t="s">
        <x:v>2424</x:v>
      </x:c>
      <x:c r="G552" s="73" t="s">
        <x:v>1121</x:v>
      </x:c>
      <x:c r="H552" s="73" t="s">
        <x:v>2425</x:v>
      </x:c>
      <x:c r="I552" s="73" t="n">
        <x:v>40</x:v>
      </x:c>
      <x:c r="J552" s="73" t="n">
        <x:v>80</x:v>
      </x:c>
      <x:c r="K552" s="73" t="s">
        <x:v>1943</x:v>
      </x:c>
      <x:c r="L552" s="73" t="n">
        <x:v>2019</x:v>
      </x:c>
      <x:c r="M552" s="73" t="n">
        <x:v>11</x:v>
      </x:c>
      <x:c r="N552" s="73" t="n">
        <x:v>2</x:v>
      </x:c>
      <x:c r="O552" s="73" t="n">
        <x:v>18</x:v>
      </x:c>
    </x:row>
    <x:row r="553" ht="15" hidden="0">
      <x:c r="A553" s="73" t="n">
        <x:v>552</x:v>
      </x:c>
      <x:c r="B553" s="73" t="n">
        <x:v>556</x:v>
      </x:c>
      <x:c r="C553" s="73" t="s">
        <x:v>2426</x:v>
      </x:c>
      <x:c r="D553" s="73" t="s">
        <x:v>842</x:v>
      </x:c>
      <x:c r="E553" s="73" t="s">
        <x:v>2427</x:v>
      </x:c>
      <x:c r="F553" s="73" t="s">
        <x:v>2428</x:v>
      </x:c>
      <x:c r="G553" s="73" t="s">
        <x:v>31</x:v>
      </x:c>
      <x:c r="H553" s="73" t="s">
        <x:v>2429</x:v>
      </x:c>
      <x:c r="I553" s="73" t="n">
        <x:v>35</x:v>
      </x:c>
      <x:c r="J553" s="73" t="n">
        <x:v>70</x:v>
      </x:c>
      <x:c r="K553" s="73" t="s">
        <x:v>123</x:v>
      </x:c>
      <x:c r="L553" s="73" t="n">
        <x:v>2018</x:v>
      </x:c>
      <x:c r="M553" s="73" t="n">
        <x:v>7</x:v>
      </x:c>
      <x:c r="N553" s="73" t="n">
        <x:v>10</x:v>
      </x:c>
      <x:c r="O553" s="73" t="n">
        <x:v>21</x:v>
      </x:c>
    </x:row>
    <x:row r="554" ht="15" hidden="0">
      <x:c r="A554" s="73" t="n">
        <x:v>553</x:v>
      </x:c>
      <x:c r="B554" s="73" t="n">
        <x:v>557</x:v>
      </x:c>
      <x:c r="C554" s="73" t="s">
        <x:v>2430</x:v>
      </x:c>
      <x:c r="D554" s="73" t="s">
        <x:v>2142</x:v>
      </x:c>
      <x:c r="E554" s="73" t="s">
        <x:v>2431</x:v>
      </x:c>
      <x:c r="F554" s="73" t="s">
        <x:v>2432</x:v>
      </x:c>
      <x:c r="G554" s="73" t="s">
        <x:v>37</x:v>
      </x:c>
      <x:c r="H554" s="73" t="s">
        <x:v>2433</x:v>
      </x:c>
      <x:c r="I554" s="73" t="n">
        <x:v>30</x:v>
      </x:c>
      <x:c r="J554" s="73" t="n">
        <x:v>60</x:v>
      </x:c>
      <x:c r="K554" s="73" t="s">
        <x:v>137</x:v>
      </x:c>
      <x:c r="L554" s="73" t="n">
        <x:v>2020</x:v>
      </x:c>
      <x:c r="M554" s="73" t="n">
        <x:v>9</x:v>
      </x:c>
      <x:c r="N554" s="73" t="n">
        <x:v>18</x:v>
      </x:c>
      <x:c r="O554" s="73" t="n">
        <x:v>19</x:v>
      </x:c>
    </x:row>
    <x:row r="555" ht="15" hidden="0">
      <x:c r="A555" s="73" t="n">
        <x:v>554</x:v>
      </x:c>
      <x:c r="B555" s="73" t="n">
        <x:v>558</x:v>
      </x:c>
      <x:c r="C555" s="73" t="s">
        <x:v>2434</x:v>
      </x:c>
      <x:c r="D555" s="73" t="s">
        <x:v>2435</x:v>
      </x:c>
      <x:c r="E555" s="73" t="s">
        <x:v>2436</x:v>
      </x:c>
      <x:c r="F555" s="73" t="s">
        <x:v>2437</x:v>
      </x:c>
      <x:c r="G555" s="73" t="s">
        <x:v>1121</x:v>
      </x:c>
      <x:c r="H555" s="73" t="s">
        <x:v>2438</x:v>
      </x:c>
      <x:c r="I555" s="73" t="n">
        <x:v>22</x:v>
      </x:c>
      <x:c r="J555" s="73" t="n">
        <x:v>45</x:v>
      </x:c>
      <x:c r="K555" s="73" t="s">
        <x:v>1949</x:v>
      </x:c>
      <x:c r="L555" s="73" t="n">
        <x:v>2017</x:v>
      </x:c>
      <x:c r="M555" s="73" t="n">
        <x:v>5</x:v>
      </x:c>
      <x:c r="N555" s="73" t="n">
        <x:v>15</x:v>
      </x:c>
      <x:c r="O555" s="73" t="n">
        <x:v>22</x:v>
      </x:c>
    </x:row>
    <x:row r="556" ht="15" hidden="0">
      <x:c r="A556" s="73" t="n">
        <x:v>555</x:v>
      </x:c>
      <x:c r="B556" s="73" t="n">
        <x:v>559</x:v>
      </x:c>
      <x:c r="C556" s="73" t="s">
        <x:v>2439</x:v>
      </x:c>
      <x:c r="D556" s="73" t="s">
        <x:v>2440</x:v>
      </x:c>
      <x:c r="E556" s="73" t="s">
        <x:v>2441</x:v>
      </x:c>
      <x:c r="F556" s="73" t="s">
        <x:v>2442</x:v>
      </x:c>
      <x:c r="G556" s="73" t="s">
        <x:v>31</x:v>
      </x:c>
      <x:c r="H556" s="73" t="s">
        <x:v>2443</x:v>
      </x:c>
      <x:c r="I556" s="73" t="n">
        <x:v>28</x:v>
      </x:c>
      <x:c r="J556" s="73" t="n">
        <x:v>55</x:v>
      </x:c>
      <x:c r="K556" s="73" t="s">
        <x:v>1965</x:v>
      </x:c>
      <x:c r="L556" s="73" t="n">
        <x:v>2021</x:v>
      </x:c>
      <x:c r="M556" s="73" t="n">
        <x:v>4</x:v>
      </x:c>
      <x:c r="N556" s="73" t="n">
        <x:v>5</x:v>
      </x:c>
      <x:c r="O556" s="73" t="n">
        <x:v>20</x:v>
      </x:c>
    </x:row>
    <x:row r="557" ht="15" hidden="0">
      <x:c r="A557" s="73" t="n">
        <x:v>556</x:v>
      </x:c>
      <x:c r="B557" s="73" t="n">
        <x:v>560</x:v>
      </x:c>
      <x:c r="C557" s="73" t="s">
        <x:v>2444</x:v>
      </x:c>
      <x:c r="D557" s="73" t="s">
        <x:v>2445</x:v>
      </x:c>
      <x:c r="E557" s="73" t="s">
        <x:v>2446</x:v>
      </x:c>
      <x:c r="F557" s="73" t="s">
        <x:v>2447</x:v>
      </x:c>
      <x:c r="G557" s="73" t="s">
        <x:v>37</x:v>
      </x:c>
      <x:c r="H557" s="73" t="s">
        <x:v>2448</x:v>
      </x:c>
      <x:c r="I557" s="73" t="n">
        <x:v>18</x:v>
      </x:c>
      <x:c r="J557" s="73" t="n">
        <x:v>35</x:v>
      </x:c>
      <x:c r="K557" s="73" t="s">
        <x:v>123</x:v>
      </x:c>
      <x:c r="L557" s="73" t="n">
        <x:v>2016</x:v>
      </x:c>
      <x:c r="M557" s="73" t="n">
        <x:v>8</x:v>
      </x:c>
      <x:c r="N557" s="73" t="n">
        <x:v>20</x:v>
      </x:c>
      <x:c r="O557" s="73" t="n">
        <x:v>18</x:v>
      </x:c>
    </x:row>
    <x:row r="558" ht="15" hidden="0">
      <x:c r="A558" s="73" t="n">
        <x:v>557</x:v>
      </x:c>
      <x:c r="B558" s="73" t="n">
        <x:v>561</x:v>
      </x:c>
      <x:c r="C558" s="73" t="s">
        <x:v>2449</x:v>
      </x:c>
      <x:c r="D558" s="73" t="s">
        <x:v>2450</x:v>
      </x:c>
      <x:c r="E558" s="73" t="s">
        <x:v>2451</x:v>
      </x:c>
      <x:c r="F558" s="73" t="s">
        <x:v>2452</x:v>
      </x:c>
      <x:c r="G558" s="73" t="s">
        <x:v>1121</x:v>
      </x:c>
      <x:c r="H558" s="73" t="s">
        <x:v>2453</x:v>
      </x:c>
      <x:c r="I558" s="73" t="n">
        <x:v>22</x:v>
      </x:c>
      <x:c r="J558" s="73" t="n">
        <x:v>45</x:v>
      </x:c>
      <x:c r="K558" s="73" t="s">
        <x:v>155</x:v>
      </x:c>
      <x:c r="L558" s="73" t="n">
        <x:v>2019</x:v>
      </x:c>
      <x:c r="M558" s="73" t="n">
        <x:v>2</x:v>
      </x:c>
      <x:c r="N558" s="73" t="n">
        <x:v>12</x:v>
      </x:c>
      <x:c r="O558" s="73" t="n">
        <x:v>19</x:v>
      </x:c>
    </x:row>
    <x:row r="559" ht="15" hidden="0">
      <x:c r="A559" s="73" t="n">
        <x:v>558</x:v>
      </x:c>
      <x:c r="B559" s="73" t="n">
        <x:v>562</x:v>
      </x:c>
      <x:c r="C559" s="73" t="s">
        <x:v>2454</x:v>
      </x:c>
      <x:c r="D559" s="73" t="s">
        <x:v>2455</x:v>
      </x:c>
      <x:c r="E559" s="73" t="s">
        <x:v>2456</x:v>
      </x:c>
      <x:c r="F559" s="73" t="s">
        <x:v>2457</x:v>
      </x:c>
      <x:c r="G559" s="73" t="s">
        <x:v>31</x:v>
      </x:c>
      <x:c r="H559" s="73" t="s">
        <x:v>2458</x:v>
      </x:c>
      <x:c r="I559" s="73" t="n">
        <x:v>28</x:v>
      </x:c>
      <x:c r="J559" s="73" t="n">
        <x:v>55</x:v>
      </x:c>
      <x:c r="K559" s="73" t="s">
        <x:v>45</x:v>
      </x:c>
      <x:c r="L559" s="73" t="n">
        <x:v>2015</x:v>
      </x:c>
      <x:c r="M559" s="73" t="n">
        <x:v>6</x:v>
      </x:c>
      <x:c r="N559" s="73" t="n">
        <x:v>28</x:v>
      </x:c>
      <x:c r="O559" s="73" t="n">
        <x:v>20</x:v>
      </x:c>
    </x:row>
    <x:row r="560" ht="15" hidden="0">
      <x:c r="A560" s="73" t="n">
        <x:v>559</x:v>
      </x:c>
      <x:c r="B560" s="73" t="n">
        <x:v>563</x:v>
      </x:c>
      <x:c r="C560" s="73" t="s">
        <x:v>2459</x:v>
      </x:c>
      <x:c r="D560" s="73" t="s">
        <x:v>2460</x:v>
      </x:c>
      <x:c r="E560" s="73" t="s">
        <x:v>2461</x:v>
      </x:c>
      <x:c r="F560" s="73" t="s">
        <x:v>2462</x:v>
      </x:c>
      <x:c r="G560" s="73" t="s">
        <x:v>37</x:v>
      </x:c>
      <x:c r="H560" s="73" t="s">
        <x:v>2463</x:v>
      </x:c>
      <x:c r="I560" s="73" t="n">
        <x:v>35</x:v>
      </x:c>
      <x:c r="J560" s="73" t="n">
        <x:v>70</x:v>
      </x:c>
      <x:c r="K560" s="73" t="s">
        <x:v>1938</x:v>
      </x:c>
      <x:c r="L560" s="73" t="n">
        <x:v>2022</x:v>
      </x:c>
      <x:c r="M560" s="73" t="n">
        <x:v>1</x:v>
      </x:c>
      <x:c r="N560" s="73" t="n">
        <x:v>8</x:v>
      </x:c>
      <x:c r="O560" s="73" t="n">
        <x:v>21</x:v>
      </x:c>
    </x:row>
    <x:row r="561" ht="15" hidden="0">
      <x:c r="A561" s="73" t="n">
        <x:v>560</x:v>
      </x:c>
      <x:c r="B561" s="73" t="n">
        <x:v>564</x:v>
      </x:c>
      <x:c r="C561" s="73" t="s">
        <x:v>2464</x:v>
      </x:c>
      <x:c r="D561" s="73" t="s">
        <x:v>1257</x:v>
      </x:c>
      <x:c r="E561" s="73" t="s">
        <x:v>2465</x:v>
      </x:c>
      <x:c r="F561" s="73" t="s">
        <x:v>2466</x:v>
      </x:c>
      <x:c r="G561" s="73" t="s">
        <x:v>1121</x:v>
      </x:c>
      <x:c r="H561" s="73" t="s">
        <x:v>2467</x:v>
      </x:c>
      <x:c r="I561" s="73" t="n">
        <x:v>22</x:v>
      </x:c>
      <x:c r="J561" s="73" t="n">
        <x:v>45</x:v>
      </x:c>
      <x:c r="K561" s="73" t="s">
        <x:v>1974</x:v>
      </x:c>
      <x:c r="L561" s="73" t="n">
        <x:v>2018</x:v>
      </x:c>
      <x:c r="M561" s="73" t="n">
        <x:v>12</x:v>
      </x:c>
      <x:c r="N561" s="73" t="n">
        <x:v>15</x:v>
      </x:c>
      <x:c r="O561" s="73" t="n">
        <x:v>20</x:v>
      </x:c>
    </x:row>
    <x:row r="562" ht="15" hidden="0">
      <x:c r="A562" s="73" t="n">
        <x:v>561</x:v>
      </x:c>
      <x:c r="B562" s="73" t="n">
        <x:v>565</x:v>
      </x:c>
      <x:c r="C562" s="73" t="s">
        <x:v>2468</x:v>
      </x:c>
      <x:c r="D562" s="73" t="s">
        <x:v>2229</x:v>
      </x:c>
      <x:c r="E562" s="73" t="s">
        <x:v>2469</x:v>
      </x:c>
      <x:c r="F562" s="73" t="s">
        <x:v>2470</x:v>
      </x:c>
      <x:c r="G562" s="73" t="s">
        <x:v>31</x:v>
      </x:c>
      <x:c r="H562" s="73" t="s">
        <x:v>2471</x:v>
      </x:c>
      <x:c r="I562" s="73" t="n">
        <x:v>40</x:v>
      </x:c>
      <x:c r="J562" s="73" t="n">
        <x:v>80</x:v>
      </x:c>
      <x:c r="K562" s="73" t="s">
        <x:v>155</x:v>
      </x:c>
      <x:c r="L562" s="73" t="n">
        <x:v>2021</x:v>
      </x:c>
      <x:c r="M562" s="73" t="n">
        <x:v>7</x:v>
      </x:c>
      <x:c r="N562" s="73" t="n">
        <x:v>10</x:v>
      </x:c>
      <x:c r="O562" s="73" t="n">
        <x:v>19</x:v>
      </x:c>
    </x:row>
    <x:row r="563" ht="15" hidden="0">
      <x:c r="A563" s="73" t="n">
        <x:v>562</x:v>
      </x:c>
      <x:c r="B563" s="73" t="n">
        <x:v>566</x:v>
      </x:c>
      <x:c r="C563" s="73" t="s">
        <x:v>2472</x:v>
      </x:c>
      <x:c r="D563" s="73" t="s">
        <x:v>1688</x:v>
      </x:c>
      <x:c r="E563" s="73" t="s">
        <x:v>2473</x:v>
      </x:c>
      <x:c r="F563" s="73" t="s">
        <x:v>2474</x:v>
      </x:c>
      <x:c r="G563" s="73" t="s">
        <x:v>1121</x:v>
      </x:c>
      <x:c r="H563" s="73" t="s">
        <x:v>2475</x:v>
      </x:c>
      <x:c r="I563" s="73" t="n">
        <x:v>35</x:v>
      </x:c>
      <x:c r="J563" s="73" t="n">
        <x:v>70</x:v>
      </x:c>
      <x:c r="K563" s="73" t="s">
        <x:v>123</x:v>
      </x:c>
      <x:c r="L563" s="73" t="n">
        <x:v>2019</x:v>
      </x:c>
      <x:c r="M563" s="73" t="n">
        <x:v>9</x:v>
      </x:c>
      <x:c r="N563" s="73" t="n">
        <x:v>28</x:v>
      </x:c>
      <x:c r="O563" s="73" t="n">
        <x:v>20</x:v>
      </x:c>
    </x:row>
    <x:row r="564" ht="15" hidden="0">
      <x:c r="A564" s="73" t="n">
        <x:v>563</x:v>
      </x:c>
      <x:c r="B564" s="73" t="n">
        <x:v>567</x:v>
      </x:c>
      <x:c r="C564" s="73" t="s">
        <x:v>2476</x:v>
      </x:c>
      <x:c r="D564" s="73" t="s">
        <x:v>2477</x:v>
      </x:c>
      <x:c r="E564" s="73" t="s">
        <x:v>2478</x:v>
      </x:c>
      <x:c r="F564" s="73" t="s">
        <x:v>2479</x:v>
      </x:c>
      <x:c r="G564" s="73" t="s">
        <x:v>37</x:v>
      </x:c>
      <x:c r="H564" s="73" t="s">
        <x:v>2480</x:v>
      </x:c>
      <x:c r="I564" s="73" t="n">
        <x:v>30</x:v>
      </x:c>
      <x:c r="J564" s="73" t="n">
        <x:v>60</x:v>
      </x:c>
      <x:c r="K564" s="73" t="s">
        <x:v>1949</x:v>
      </x:c>
      <x:c r="L564" s="73" t="n">
        <x:v>2022</x:v>
      </x:c>
      <x:c r="M564" s="73" t="n">
        <x:v>3</x:v>
      </x:c>
      <x:c r="N564" s="73" t="n">
        <x:v>15</x:v>
      </x:c>
      <x:c r="O564" s="73" t="n">
        <x:v>18</x:v>
      </x:c>
    </x:row>
    <x:row r="565" ht="15" hidden="0">
      <x:c r="A565" s="73" t="n">
        <x:v>564</x:v>
      </x:c>
      <x:c r="B565" s="73" t="n">
        <x:v>568</x:v>
      </x:c>
      <x:c r="C565" s="73" t="s">
        <x:v>2481</x:v>
      </x:c>
      <x:c r="D565" s="73" t="s">
        <x:v>2289</x:v>
      </x:c>
      <x:c r="E565" s="73" t="s">
        <x:v>2482</x:v>
      </x:c>
      <x:c r="F565" s="73" t="s">
        <x:v>2483</x:v>
      </x:c>
      <x:c r="G565" s="73" t="s">
        <x:v>31</x:v>
      </x:c>
      <x:c r="H565" s="73" t="s">
        <x:v>2484</x:v>
      </x:c>
      <x:c r="I565" s="73" t="n">
        <x:v>22</x:v>
      </x:c>
      <x:c r="J565" s="73" t="n">
        <x:v>45</x:v>
      </x:c>
      <x:c r="K565" s="73" t="s">
        <x:v>1943</x:v>
      </x:c>
      <x:c r="L565" s="73" t="n">
        <x:v>2017</x:v>
      </x:c>
      <x:c r="M565" s="73" t="n">
        <x:v>11</x:v>
      </x:c>
      <x:c r="N565" s="73" t="n">
        <x:v>5</x:v>
      </x:c>
      <x:c r="O565" s="73" t="n">
        <x:v>21</x:v>
      </x:c>
    </x:row>
    <x:row r="566" ht="15" hidden="0">
      <x:c r="A566" s="73" t="n">
        <x:v>565</x:v>
      </x:c>
      <x:c r="B566" s="73" t="n">
        <x:v>569</x:v>
      </x:c>
      <x:c r="C566" s="73" t="s">
        <x:v>2485</x:v>
      </x:c>
      <x:c r="D566" s="73" t="s">
        <x:v>2486</x:v>
      </x:c>
      <x:c r="E566" s="73" t="s">
        <x:v>2487</x:v>
      </x:c>
      <x:c r="F566" s="73" t="s">
        <x:v>2488</x:v>
      </x:c>
      <x:c r="G566" s="73" t="s">
        <x:v>1121</x:v>
      </x:c>
      <x:c r="H566" s="73" t="s">
        <x:v>2489</x:v>
      </x:c>
      <x:c r="I566" s="73" t="n">
        <x:v>28</x:v>
      </x:c>
      <x:c r="J566" s="73" t="n">
        <x:v>55</x:v>
      </x:c>
      <x:c r="K566" s="73" t="s">
        <x:v>1938</x:v>
      </x:c>
      <x:c r="L566" s="73" t="n">
        <x:v>2020</x:v>
      </x:c>
      <x:c r="M566" s="73" t="n">
        <x:v>5</x:v>
      </x:c>
      <x:c r="N566" s="73" t="n">
        <x:v>20</x:v>
      </x:c>
      <x:c r="O566" s="73" t="n">
        <x:v>16</x:v>
      </x:c>
    </x:row>
    <x:row r="567" ht="15" hidden="0">
      <x:c r="A567" s="73" t="n">
        <x:v>566</x:v>
      </x:c>
      <x:c r="B567" s="73" t="n">
        <x:v>570</x:v>
      </x:c>
      <x:c r="C567" s="73" t="s">
        <x:v>2490</x:v>
      </x:c>
      <x:c r="D567" s="73" t="s">
        <x:v>2491</x:v>
      </x:c>
      <x:c r="E567" s="73" t="s">
        <x:v>2492</x:v>
      </x:c>
      <x:c r="F567" s="73" t="s">
        <x:v>2493</x:v>
      </x:c>
      <x:c r="G567" s="73" t="s">
        <x:v>37</x:v>
      </x:c>
      <x:c r="H567" s="73" t="s">
        <x:v>2494</x:v>
      </x:c>
      <x:c r="I567" s="73" t="n">
        <x:v>18</x:v>
      </x:c>
      <x:c r="J567" s="73" t="n">
        <x:v>35</x:v>
      </x:c>
      <x:c r="K567" s="73" t="s">
        <x:v>137</x:v>
      </x:c>
      <x:c r="L567" s="73" t="n">
        <x:v>2016</x:v>
      </x:c>
      <x:c r="M567" s="73" t="n">
        <x:v>8</x:v>
      </x:c>
      <x:c r="N567" s="73" t="n">
        <x:v>22</x:v>
      </x:c>
      <x:c r="O567" s="73" t="n">
        <x:v>19</x:v>
      </x:c>
    </x:row>
    <x:row r="568" ht="15" hidden="0">
      <x:c r="A568" s="73" t="n">
        <x:v>567</x:v>
      </x:c>
      <x:c r="B568" s="73" t="n">
        <x:v>571</x:v>
      </x:c>
      <x:c r="C568" s="73" t="s">
        <x:v>2495</x:v>
      </x:c>
      <x:c r="D568" s="73" t="s">
        <x:v>2496</x:v>
      </x:c>
      <x:c r="E568" s="73" t="s">
        <x:v>2497</x:v>
      </x:c>
      <x:c r="F568" s="73" t="s">
        <x:v>2498</x:v>
      </x:c>
      <x:c r="G568" s="73" t="s">
        <x:v>31</x:v>
      </x:c>
      <x:c r="H568" s="73" t="s">
        <x:v>2499</x:v>
      </x:c>
      <x:c r="I568" s="73" t="n">
        <x:v>22</x:v>
      </x:c>
      <x:c r="J568" s="73" t="n">
        <x:v>45</x:v>
      </x:c>
      <x:c r="K568" s="73" t="s">
        <x:v>209</x:v>
      </x:c>
      <x:c r="L568" s="73" t="n">
        <x:v>2023</x:v>
      </x:c>
      <x:c r="M568" s="73" t="n">
        <x:v>4</x:v>
      </x:c>
      <x:c r="N568" s="73" t="n">
        <x:v>10</x:v>
      </x:c>
      <x:c r="O568" s="73" t="n">
        <x:v>17</x:v>
      </x:c>
    </x:row>
    <x:row r="569" ht="15" hidden="0">
      <x:c r="A569" s="73" t="n">
        <x:v>568</x:v>
      </x:c>
      <x:c r="B569" s="73" t="n">
        <x:v>572</x:v>
      </x:c>
      <x:c r="C569" s="73" t="s">
        <x:v>2500</x:v>
      </x:c>
      <x:c r="D569" s="73" t="s">
        <x:v>2501</x:v>
      </x:c>
      <x:c r="E569" s="73" t="s">
        <x:v>2502</x:v>
      </x:c>
      <x:c r="F569" s="73" t="s">
        <x:v>2503</x:v>
      </x:c>
      <x:c r="G569" s="73" t="s">
        <x:v>1121</x:v>
      </x:c>
      <x:c r="H569" s="73" t="s">
        <x:v>2504</x:v>
      </x:c>
      <x:c r="I569" s="73" t="n">
        <x:v>28</x:v>
      </x:c>
      <x:c r="J569" s="73" t="n">
        <x:v>55</x:v>
      </x:c>
      <x:c r="K569" s="73" t="s">
        <x:v>1959</x:v>
      </x:c>
      <x:c r="L569" s="73" t="n">
        <x:v>2015</x:v>
      </x:c>
      <x:c r="M569" s="73" t="n">
        <x:v>12</x:v>
      </x:c>
      <x:c r="N569" s="73" t="n">
        <x:v>18</x:v>
      </x:c>
      <x:c r="O569" s="73" t="n">
        <x:v>18</x:v>
      </x:c>
    </x:row>
    <x:row r="570" ht="15" hidden="0">
      <x:c r="A570" s="73" t="n">
        <x:v>569</x:v>
      </x:c>
      <x:c r="B570" s="73" t="n">
        <x:v>573</x:v>
      </x:c>
      <x:c r="C570" s="73" t="s">
        <x:v>2505</x:v>
      </x:c>
      <x:c r="D570" s="73" t="s">
        <x:v>2506</x:v>
      </x:c>
      <x:c r="E570" s="73" t="s">
        <x:v>2507</x:v>
      </x:c>
      <x:c r="F570" s="73" t="s">
        <x:v>2508</x:v>
      </x:c>
      <x:c r="G570" s="73" t="s">
        <x:v>37</x:v>
      </x:c>
      <x:c r="H570" s="73" t="s">
        <x:v>2509</x:v>
      </x:c>
      <x:c r="I570" s="73" t="n">
        <x:v>35</x:v>
      </x:c>
      <x:c r="J570" s="73" t="n">
        <x:v>70</x:v>
      </x:c>
      <x:c r="K570" s="73" t="s">
        <x:v>1965</x:v>
      </x:c>
      <x:c r="L570" s="73" t="n">
        <x:v>2021</x:v>
      </x:c>
      <x:c r="M570" s="73" t="n">
        <x:v>10</x:v>
      </x:c>
      <x:c r="N570" s="73" t="n">
        <x:v>8</x:v>
      </x:c>
      <x:c r="O570" s="73" t="n">
        <x:v>20</x:v>
      </x:c>
    </x:row>
    <x:row r="571" ht="15" hidden="0">
      <x:c r="A571" s="73" t="n">
        <x:v>570</x:v>
      </x:c>
      <x:c r="B571" s="73" t="n">
        <x:v>574</x:v>
      </x:c>
      <x:c r="C571" s="73" t="s">
        <x:v>2510</x:v>
      </x:c>
      <x:c r="D571" s="73" t="s">
        <x:v>2511</x:v>
      </x:c>
      <x:c r="E571" s="73" t="s">
        <x:v>2512</x:v>
      </x:c>
      <x:c r="F571" s="73" t="s">
        <x:v>2513</x:v>
      </x:c>
      <x:c r="G571" s="73" t="s">
        <x:v>31</x:v>
      </x:c>
      <x:c r="H571" s="73" t="s">
        <x:v>2514</x:v>
      </x:c>
      <x:c r="I571" s="73" t="n">
        <x:v>22</x:v>
      </x:c>
      <x:c r="J571" s="73" t="n">
        <x:v>45</x:v>
      </x:c>
      <x:c r="K571" s="73" t="s">
        <x:v>45</x:v>
      </x:c>
      <x:c r="L571" s="73" t="n">
        <x:v>2019</x:v>
      </x:c>
      <x:c r="M571" s="73" t="n">
        <x:v>3</x:v>
      </x:c>
      <x:c r="N571" s="73" t="n">
        <x:v>22</x:v>
      </x:c>
      <x:c r="O571" s="73" t="n">
        <x:v>21</x:v>
      </x:c>
    </x:row>
    <x:row r="572" ht="15" hidden="0">
      <x:c r="A572" s="73" t="n">
        <x:v>571</x:v>
      </x:c>
      <x:c r="B572" s="73" t="n">
        <x:v>575</x:v>
      </x:c>
      <x:c r="C572" s="73" t="s">
        <x:v>2515</x:v>
      </x:c>
      <x:c r="D572" s="73" t="s">
        <x:v>2516</x:v>
      </x:c>
      <x:c r="E572" s="73" t="s">
        <x:v>2517</x:v>
      </x:c>
      <x:c r="F572" s="73" t="s">
        <x:v>2518</x:v>
      </x:c>
      <x:c r="G572" s="73" t="s">
        <x:v>1121</x:v>
      </x:c>
      <x:c r="H572" s="73" t="s">
        <x:v>2519</x:v>
      </x:c>
      <x:c r="I572" s="73" t="n">
        <x:v>40</x:v>
      </x:c>
      <x:c r="J572" s="73" t="n">
        <x:v>80</x:v>
      </x:c>
      <x:c r="K572" s="73" t="s">
        <x:v>123</x:v>
      </x:c>
      <x:c r="L572" s="73" t="n">
        <x:v>2018</x:v>
      </x:c>
      <x:c r="M572" s="73" t="n">
        <x:v>6</x:v>
      </x:c>
      <x:c r="N572" s="73" t="n">
        <x:v>15</x:v>
      </x:c>
      <x:c r="O572" s="73" t="n">
        <x:v>22</x:v>
      </x:c>
    </x:row>
    <x:row r="573" ht="15" hidden="0">
      <x:c r="A573" s="73" t="n">
        <x:v>572</x:v>
      </x:c>
      <x:c r="B573" s="73" t="n">
        <x:v>576</x:v>
      </x:c>
      <x:c r="C573" s="73" t="s">
        <x:v>2520</x:v>
      </x:c>
      <x:c r="D573" s="73" t="s">
        <x:v>2521</x:v>
      </x:c>
      <x:c r="E573" s="73" t="s">
        <x:v>2522</x:v>
      </x:c>
      <x:c r="F573" s="73" t="s">
        <x:v>2523</x:v>
      </x:c>
      <x:c r="G573" s="73" t="s">
        <x:v>31</x:v>
      </x:c>
      <x:c r="H573" s="73" t="s">
        <x:v>2524</x:v>
      </x:c>
      <x:c r="I573" s="73" t="n">
        <x:v>35</x:v>
      </x:c>
      <x:c r="J573" s="73" t="n">
        <x:v>70</x:v>
      </x:c>
      <x:c r="K573" s="73" t="s">
        <x:v>2525</x:v>
      </x:c>
      <x:c r="L573" s="73" t="n">
        <x:v>2019</x:v>
      </x:c>
      <x:c r="M573" s="73" t="n">
        <x:v>8</x:v>
      </x:c>
      <x:c r="N573" s="73" t="n">
        <x:v>28</x:v>
      </x:c>
      <x:c r="O573" s="73" t="n">
        <x:v>19</x:v>
      </x:c>
    </x:row>
    <x:row r="574" ht="15" hidden="0">
      <x:c r="A574" s="73" t="n">
        <x:v>573</x:v>
      </x:c>
      <x:c r="B574" s="73" t="n">
        <x:v>577</x:v>
      </x:c>
      <x:c r="C574" s="73" t="s">
        <x:v>2526</x:v>
      </x:c>
      <x:c r="D574" s="73" t="s">
        <x:v>2527</x:v>
      </x:c>
      <x:c r="E574" s="73" t="s">
        <x:v>2528</x:v>
      </x:c>
      <x:c r="F574" s="73" t="s">
        <x:v>2529</x:v>
      </x:c>
      <x:c r="G574" s="73" t="s">
        <x:v>37</x:v>
      </x:c>
      <x:c r="H574" s="73" t="s">
        <x:v>2530</x:v>
      </x:c>
      <x:c r="I574" s="73" t="n">
        <x:v>30</x:v>
      </x:c>
      <x:c r="J574" s="73" t="n">
        <x:v>60</x:v>
      </x:c>
      <x:c r="K574" s="73" t="s">
        <x:v>155</x:v>
      </x:c>
      <x:c r="L574" s="73" t="n">
        <x:v>2022</x:v>
      </x:c>
      <x:c r="M574" s="73" t="n">
        <x:v>12</x:v>
      </x:c>
      <x:c r="N574" s="73" t="n">
        <x:v>1</x:v>
      </x:c>
      <x:c r="O574" s="73" t="n">
        <x:v>17</x:v>
      </x:c>
    </x:row>
    <x:row r="575" ht="15" hidden="0">
      <x:c r="A575" s="73" t="n">
        <x:v>574</x:v>
      </x:c>
      <x:c r="B575" s="73" t="n">
        <x:v>578</x:v>
      </x:c>
      <x:c r="C575" s="73" t="s">
        <x:v>2531</x:v>
      </x:c>
      <x:c r="D575" s="73" t="s">
        <x:v>2532</x:v>
      </x:c>
      <x:c r="E575" s="73" t="s">
        <x:v>2533</x:v>
      </x:c>
      <x:c r="F575" s="73" t="s">
        <x:v>2534</x:v>
      </x:c>
      <x:c r="G575" s="73" t="s">
        <x:v>1121</x:v>
      </x:c>
      <x:c r="H575" s="73" t="s">
        <x:v>2535</x:v>
      </x:c>
      <x:c r="I575" s="73" t="n">
        <x:v>22</x:v>
      </x:c>
      <x:c r="J575" s="73" t="n">
        <x:v>45</x:v>
      </x:c>
      <x:c r="K575" s="73" t="s">
        <x:v>137</x:v>
      </x:c>
      <x:c r="L575" s="73" t="n">
        <x:v>2017</x:v>
      </x:c>
      <x:c r="M575" s="73" t="n">
        <x:v>4</x:v>
      </x:c>
      <x:c r="N575" s="73" t="n">
        <x:v>10</x:v>
      </x:c>
      <x:c r="O575" s="73" t="n">
        <x:v>21</x:v>
      </x:c>
    </x:row>
    <x:row r="576" ht="15" hidden="0">
      <x:c r="A576" s="73" t="n">
        <x:v>575</x:v>
      </x:c>
      <x:c r="B576" s="73" t="n">
        <x:v>579</x:v>
      </x:c>
      <x:c r="C576" s="73" t="s">
        <x:v>2536</x:v>
      </x:c>
      <x:c r="D576" s="73" t="s">
        <x:v>2537</x:v>
      </x:c>
      <x:c r="E576" s="73" t="s">
        <x:v>2538</x:v>
      </x:c>
      <x:c r="F576" s="73" t="s">
        <x:v>2539</x:v>
      </x:c>
      <x:c r="G576" s="73" t="s">
        <x:v>31</x:v>
      </x:c>
      <x:c r="H576" s="73" t="s">
        <x:v>2540</x:v>
      </x:c>
      <x:c r="I576" s="73" t="n">
        <x:v>28</x:v>
      </x:c>
      <x:c r="J576" s="73" t="n">
        <x:v>55</x:v>
      </x:c>
      <x:c r="K576" s="73" t="s">
        <x:v>45</x:v>
      </x:c>
      <x:c r="L576" s="73" t="n">
        <x:v>2020</x:v>
      </x:c>
      <x:c r="M576" s="73" t="n">
        <x:v>5</x:v>
      </x:c>
      <x:c r="N576" s="73" t="n">
        <x:v>15</x:v>
      </x:c>
      <x:c r="O576" s="73" t="n">
        <x:v>18</x:v>
      </x:c>
    </x:row>
    <x:row r="577" ht="15" hidden="0">
      <x:c r="A577" s="73" t="n">
        <x:v>576</x:v>
      </x:c>
      <x:c r="B577" s="73" t="n">
        <x:v>580</x:v>
      </x:c>
      <x:c r="C577" s="73" t="s">
        <x:v>2541</x:v>
      </x:c>
      <x:c r="D577" s="73" t="s">
        <x:v>2542</x:v>
      </x:c>
      <x:c r="E577" s="73" t="s">
        <x:v>2543</x:v>
      </x:c>
      <x:c r="F577" s="73" t="s">
        <x:v>2544</x:v>
      </x:c>
      <x:c r="G577" s="73" t="s">
        <x:v>37</x:v>
      </x:c>
      <x:c r="H577" s="73" t="s">
        <x:v>2545</x:v>
      </x:c>
      <x:c r="I577" s="73" t="n">
        <x:v>18</x:v>
      </x:c>
      <x:c r="J577" s="73" t="n">
        <x:v>35</x:v>
      </x:c>
      <x:c r="K577" s="73" t="s">
        <x:v>123</x:v>
      </x:c>
      <x:c r="L577" s="73" t="n">
        <x:v>2016</x:v>
      </x:c>
      <x:c r="M577" s="73" t="n">
        <x:v>9</x:v>
      </x:c>
      <x:c r="N577" s="73" t="n">
        <x:v>22</x:v>
      </x:c>
      <x:c r="O577" s="73" t="n">
        <x:v>20</x:v>
      </x:c>
    </x:row>
    <x:row r="578" ht="15" hidden="0">
      <x:c r="A578" s="73" t="n">
        <x:v>577</x:v>
      </x:c>
      <x:c r="B578" s="73" t="n">
        <x:v>581</x:v>
      </x:c>
      <x:c r="C578" s="73" t="s">
        <x:v>2546</x:v>
      </x:c>
      <x:c r="D578" s="73" t="s">
        <x:v>2547</x:v>
      </x:c>
      <x:c r="E578" s="73" t="s">
        <x:v>2548</x:v>
      </x:c>
      <x:c r="F578" s="73" t="s">
        <x:v>2549</x:v>
      </x:c>
      <x:c r="G578" s="73" t="s">
        <x:v>1121</x:v>
      </x:c>
      <x:c r="H578" s="73" t="s">
        <x:v>2550</x:v>
      </x:c>
      <x:c r="I578" s="73" t="n">
        <x:v>22</x:v>
      </x:c>
      <x:c r="J578" s="73" t="n">
        <x:v>45</x:v>
      </x:c>
      <x:c r="K578" s="73" t="s">
        <x:v>1949</x:v>
      </x:c>
      <x:c r="L578" s="73" t="n">
        <x:v>2023</x:v>
      </x:c>
      <x:c r="M578" s="73" t="n">
        <x:v>2</x:v>
      </x:c>
      <x:c r="N578" s="73" t="n">
        <x:v>12</x:v>
      </x:c>
      <x:c r="O578" s="73" t="n">
        <x:v>19</x:v>
      </x:c>
    </x:row>
    <x:row r="579" ht="15" hidden="0">
      <x:c r="A579" s="73" t="n">
        <x:v>578</x:v>
      </x:c>
      <x:c r="B579" s="73" t="n">
        <x:v>582</x:v>
      </x:c>
      <x:c r="C579" s="73" t="s">
        <x:v>2551</x:v>
      </x:c>
      <x:c r="D579" s="73" t="s">
        <x:v>2552</x:v>
      </x:c>
      <x:c r="E579" s="73" t="s">
        <x:v>2553</x:v>
      </x:c>
      <x:c r="F579" s="73" t="s">
        <x:v>2554</x:v>
      </x:c>
      <x:c r="G579" s="73" t="s">
        <x:v>31</x:v>
      </x:c>
      <x:c r="H579" s="73" t="s">
        <x:v>2555</x:v>
      </x:c>
      <x:c r="I579" s="73" t="n">
        <x:v>28</x:v>
      </x:c>
      <x:c r="J579" s="73" t="n">
        <x:v>55</x:v>
      </x:c>
      <x:c r="K579" s="73" t="s">
        <x:v>1959</x:v>
      </x:c>
      <x:c r="L579" s="73" t="n">
        <x:v>2015</x:v>
      </x:c>
      <x:c r="M579" s="73" t="n">
        <x:v>11</x:v>
      </x:c>
      <x:c r="N579" s="73" t="n">
        <x:v>10</x:v>
      </x:c>
      <x:c r="O579" s="73" t="n">
        <x:v>21</x:v>
      </x:c>
    </x:row>
    <x:row r="580" ht="15" hidden="0">
      <x:c r="A580" s="73" t="n">
        <x:v>579</x:v>
      </x:c>
      <x:c r="B580" s="73" t="n">
        <x:v>583</x:v>
      </x:c>
      <x:c r="C580" s="73" t="s">
        <x:v>2556</x:v>
      </x:c>
      <x:c r="D580" s="73" t="s">
        <x:v>2557</x:v>
      </x:c>
      <x:c r="E580" s="73" t="s">
        <x:v>2558</x:v>
      </x:c>
      <x:c r="F580" s="73" t="s">
        <x:v>2559</x:v>
      </x:c>
      <x:c r="G580" s="73" t="s">
        <x:v>37</x:v>
      </x:c>
      <x:c r="H580" s="73" t="s">
        <x:v>2560</x:v>
      </x:c>
      <x:c r="I580" s="73" t="n">
        <x:v>22</x:v>
      </x:c>
      <x:c r="J580" s="73" t="n">
        <x:v>45</x:v>
      </x:c>
      <x:c r="K580" s="73" t="s">
        <x:v>1943</x:v>
      </x:c>
      <x:c r="L580" s="73" t="n">
        <x:v>2021</x:v>
      </x:c>
      <x:c r="M580" s="73" t="n">
        <x:v>7</x:v>
      </x:c>
      <x:c r="N580" s="73" t="n">
        <x:v>20</x:v>
      </x:c>
      <x:c r="O580" s="73" t="n">
        <x:v>18</x:v>
      </x:c>
    </x:row>
    <x:row r="581" ht="15" hidden="0">
      <x:c r="A581" s="73" t="n">
        <x:v>580</x:v>
      </x:c>
      <x:c r="B581" s="73" t="n">
        <x:v>584</x:v>
      </x:c>
      <x:c r="C581" s="73" t="s">
        <x:v>2561</x:v>
      </x:c>
      <x:c r="D581" s="73" t="s">
        <x:v>2562</x:v>
      </x:c>
      <x:c r="E581" s="73" t="s">
        <x:v>2563</x:v>
      </x:c>
      <x:c r="F581" s="73" t="s">
        <x:v>2564</x:v>
      </x:c>
      <x:c r="G581" s="73" t="s">
        <x:v>1121</x:v>
      </x:c>
      <x:c r="H581" s="73" t="s">
        <x:v>2565</x:v>
      </x:c>
      <x:c r="I581" s="73" t="n">
        <x:v>35</x:v>
      </x:c>
      <x:c r="J581" s="73" t="n">
        <x:v>70</x:v>
      </x:c>
      <x:c r="K581" s="73" t="s">
        <x:v>2174</x:v>
      </x:c>
      <x:c r="L581" s="73" t="n">
        <x:v>2019</x:v>
      </x:c>
      <x:c r="M581" s="73" t="n">
        <x:v>4</x:v>
      </x:c>
      <x:c r="N581" s="73" t="n">
        <x:v>18</x:v>
      </x:c>
      <x:c r="O581" s="73" t="n">
        <x:v>20</x:v>
      </x:c>
    </x:row>
    <x:row r="582" ht="15" hidden="0">
      <x:c r="A582" s="73" t="n">
        <x:v>581</x:v>
      </x:c>
      <x:c r="B582" s="73" t="n">
        <x:v>585</x:v>
      </x:c>
      <x:c r="C582" s="73" t="s">
        <x:v>2566</x:v>
      </x:c>
      <x:c r="D582" s="73" t="s">
        <x:v>495</x:v>
      </x:c>
      <x:c r="E582" s="73" t="s">
        <x:v>2567</x:v>
      </x:c>
      <x:c r="F582" s="73" t="s">
        <x:v>2568</x:v>
      </x:c>
      <x:c r="G582" s="73" t="s">
        <x:v>1121</x:v>
      </x:c>
      <x:c r="H582" s="73" t="s">
        <x:v>2569</x:v>
      </x:c>
      <x:c r="I582" s="73" t="n">
        <x:v>15</x:v>
      </x:c>
      <x:c r="J582" s="73" t="n">
        <x:v>30</x:v>
      </x:c>
      <x:c r="K582" s="73" t="s">
        <x:v>2570</x:v>
      </x:c>
      <x:c r="L582" s="73" t="n">
        <x:v>2023</x:v>
      </x:c>
      <x:c r="M582" s="73" t="n">
        <x:v>5</x:v>
      </x:c>
      <x:c r="N582" s="73" t="n">
        <x:v>20</x:v>
      </x:c>
      <x:c r="O582" s="73" t="n">
        <x:v>19</x:v>
      </x:c>
    </x:row>
    <x:row r="583" ht="15" hidden="0">
      <x:c r="A583" s="73" t="n">
        <x:v>582</x:v>
      </x:c>
      <x:c r="B583" s="73" t="n">
        <x:v>586</x:v>
      </x:c>
      <x:c r="C583" s="73" t="s">
        <x:v>2571</x:v>
      </x:c>
      <x:c r="D583" s="73" t="s">
        <x:v>2572</x:v>
      </x:c>
      <x:c r="E583" s="73" t="s">
        <x:v>2573</x:v>
      </x:c>
      <x:c r="F583" s="73" t="s">
        <x:v>2574</x:v>
      </x:c>
      <x:c r="G583" s="73" t="s">
        <x:v>31</x:v>
      </x:c>
      <x:c r="H583" s="73" t="s">
        <x:v>2575</x:v>
      </x:c>
      <x:c r="I583" s="73" t="n">
        <x:v>18</x:v>
      </x:c>
      <x:c r="J583" s="73" t="n">
        <x:v>35</x:v>
      </x:c>
      <x:c r="K583" s="73" t="s">
        <x:v>2576</x:v>
      </x:c>
      <x:c r="L583" s="73" t="n">
        <x:v>2023</x:v>
      </x:c>
      <x:c r="M583" s="73" t="n">
        <x:v>5</x:v>
      </x:c>
      <x:c r="N583" s="73" t="n">
        <x:v>21</x:v>
      </x:c>
      <x:c r="O583" s="73" t="n">
        <x:v>21</x:v>
      </x:c>
    </x:row>
    <x:row r="584" ht="15" hidden="0">
      <x:c r="A584" s="73" t="n">
        <x:v>583</x:v>
      </x:c>
      <x:c r="B584" s="73" t="n">
        <x:v>587</x:v>
      </x:c>
      <x:c r="C584" s="73" t="s">
        <x:v>2577</x:v>
      </x:c>
      <x:c r="D584" s="73" t="s">
        <x:v>2052</x:v>
      </x:c>
      <x:c r="E584" s="73" t="s">
        <x:v>2578</x:v>
      </x:c>
      <x:c r="F584" s="73" t="s">
        <x:v>2579</x:v>
      </x:c>
      <x:c r="G584" s="73" t="s">
        <x:v>37</x:v>
      </x:c>
      <x:c r="H584" s="73" t="s">
        <x:v>2580</x:v>
      </x:c>
      <x:c r="I584" s="73" t="n">
        <x:v>22</x:v>
      </x:c>
      <x:c r="J584" s="73" t="n">
        <x:v>45</x:v>
      </x:c>
      <x:c r="K584" s="73" t="s">
        <x:v>2581</x:v>
      </x:c>
      <x:c r="L584" s="73" t="n">
        <x:v>2023</x:v>
      </x:c>
      <x:c r="M584" s="73" t="n">
        <x:v>5</x:v>
      </x:c>
      <x:c r="N584" s="73" t="n">
        <x:v>22</x:v>
      </x:c>
      <x:c r="O584" s="73" t="n">
        <x:v>14</x:v>
      </x:c>
    </x:row>
    <x:row r="585" ht="15" hidden="0">
      <x:c r="A585" s="73" t="n">
        <x:v>584</x:v>
      </x:c>
      <x:c r="B585" s="73" t="n">
        <x:v>588</x:v>
      </x:c>
      <x:c r="C585" s="73" t="s">
        <x:v>2582</x:v>
      </x:c>
      <x:c r="D585" s="73" t="s">
        <x:v>842</x:v>
      </x:c>
      <x:c r="E585" s="73" t="s">
        <x:v>2583</x:v>
      </x:c>
      <x:c r="F585" s="73" t="s">
        <x:v>2584</x:v>
      </x:c>
      <x:c r="G585" s="73" t="s">
        <x:v>1121</x:v>
      </x:c>
      <x:c r="H585" s="73" t="s">
        <x:v>2585</x:v>
      </x:c>
      <x:c r="I585" s="73" t="n">
        <x:v>20</x:v>
      </x:c>
      <x:c r="J585" s="73" t="n">
        <x:v>40</x:v>
      </x:c>
      <x:c r="K585" s="73" t="s">
        <x:v>2570</x:v>
      </x:c>
      <x:c r="L585" s="73" t="n">
        <x:v>2023</x:v>
      </x:c>
      <x:c r="M585" s="73" t="n">
        <x:v>5</x:v>
      </x:c>
      <x:c r="N585" s="73" t="n">
        <x:v>23</x:v>
      </x:c>
      <x:c r="O585" s="73" t="n">
        <x:v>16</x:v>
      </x:c>
    </x:row>
    <x:row r="586" ht="15" hidden="0">
      <x:c r="A586" s="73" t="n">
        <x:v>585</x:v>
      </x:c>
      <x:c r="B586" s="73" t="n">
        <x:v>589</x:v>
      </x:c>
      <x:c r="C586" s="73" t="s">
        <x:v>2586</x:v>
      </x:c>
      <x:c r="D586" s="73" t="s">
        <x:v>2111</x:v>
      </x:c>
      <x:c r="E586" s="73" t="s">
        <x:v>2587</x:v>
      </x:c>
      <x:c r="F586" s="73" t="s">
        <x:v>2588</x:v>
      </x:c>
      <x:c r="G586" s="73" t="s">
        <x:v>31</x:v>
      </x:c>
      <x:c r="H586" s="73" t="s">
        <x:v>2589</x:v>
      </x:c>
      <x:c r="I586" s="73" t="n">
        <x:v>25</x:v>
      </x:c>
      <x:c r="J586" s="73" t="n">
        <x:v>50</x:v>
      </x:c>
      <x:c r="K586" s="73" t="s">
        <x:v>2576</x:v>
      </x:c>
      <x:c r="L586" s="73" t="n">
        <x:v>2023</x:v>
      </x:c>
      <x:c r="M586" s="73" t="n">
        <x:v>5</x:v>
      </x:c>
      <x:c r="N586" s="73" t="n">
        <x:v>24</x:v>
      </x:c>
      <x:c r="O586" s="73" t="n">
        <x:v>13</x:v>
      </x:c>
    </x:row>
    <x:row r="587" ht="15" hidden="0">
      <x:c r="A587" s="73" t="n">
        <x:v>586</x:v>
      </x:c>
      <x:c r="B587" s="73" t="n">
        <x:v>590</x:v>
      </x:c>
      <x:c r="C587" s="73" t="s">
        <x:v>2590</x:v>
      </x:c>
      <x:c r="D587" s="73" t="s">
        <x:v>2591</x:v>
      </x:c>
      <x:c r="E587" s="73" t="s">
        <x:v>2592</x:v>
      </x:c>
      <x:c r="F587" s="73" t="s">
        <x:v>2593</x:v>
      </x:c>
      <x:c r="G587" s="73" t="s">
        <x:v>37</x:v>
      </x:c>
      <x:c r="H587" s="73" t="s">
        <x:v>2594</x:v>
      </x:c>
      <x:c r="I587" s="73" t="n">
        <x:v>20</x:v>
      </x:c>
      <x:c r="J587" s="73" t="n">
        <x:v>40</x:v>
      </x:c>
      <x:c r="K587" s="73" t="s">
        <x:v>2570</x:v>
      </x:c>
      <x:c r="L587" s="73" t="n">
        <x:v>2023</x:v>
      </x:c>
      <x:c r="M587" s="73" t="n">
        <x:v>5</x:v>
      </x:c>
      <x:c r="N587" s="73" t="n">
        <x:v>25</x:v>
      </x:c>
      <x:c r="O587" s="73" t="n">
        <x:v>19</x:v>
      </x:c>
    </x:row>
    <x:row r="588" ht="15" hidden="0">
      <x:c r="A588" s="73" t="n">
        <x:v>587</x:v>
      </x:c>
      <x:c r="B588" s="73" t="n">
        <x:v>591</x:v>
      </x:c>
      <x:c r="C588" s="73" t="s">
        <x:v>2595</x:v>
      </x:c>
      <x:c r="D588" s="73" t="s">
        <x:v>2375</x:v>
      </x:c>
      <x:c r="E588" s="73" t="s">
        <x:v>2596</x:v>
      </x:c>
      <x:c r="F588" s="73" t="s">
        <x:v>2597</x:v>
      </x:c>
      <x:c r="G588" s="73" t="s">
        <x:v>1121</x:v>
      </x:c>
      <x:c r="H588" s="73" t="s">
        <x:v>2598</x:v>
      </x:c>
      <x:c r="I588" s="73" t="n">
        <x:v>28</x:v>
      </x:c>
      <x:c r="J588" s="73" t="n">
        <x:v>55</x:v>
      </x:c>
      <x:c r="K588" s="73" t="s">
        <x:v>2581</x:v>
      </x:c>
      <x:c r="L588" s="73" t="n">
        <x:v>2023</x:v>
      </x:c>
      <x:c r="M588" s="73" t="n">
        <x:v>5</x:v>
      </x:c>
      <x:c r="N588" s="73" t="n">
        <x:v>26</x:v>
      </x:c>
      <x:c r="O588" s="73" t="n">
        <x:v>14</x:v>
      </x:c>
    </x:row>
    <x:row r="589" ht="15" hidden="0">
      <x:c r="A589" s="73" t="n">
        <x:v>588</x:v>
      </x:c>
      <x:c r="B589" s="73" t="n">
        <x:v>592</x:v>
      </x:c>
      <x:c r="C589" s="73" t="s">
        <x:v>2599</x:v>
      </x:c>
      <x:c r="D589" s="73" t="s">
        <x:v>2600</x:v>
      </x:c>
      <x:c r="E589" s="73" t="s">
        <x:v>2601</x:v>
      </x:c>
      <x:c r="F589" s="73" t="s">
        <x:v>2602</x:v>
      </x:c>
      <x:c r="G589" s="73" t="s">
        <x:v>31</x:v>
      </x:c>
      <x:c r="H589" s="73" t="s">
        <x:v>2603</x:v>
      </x:c>
      <x:c r="I589" s="73" t="n">
        <x:v>22</x:v>
      </x:c>
      <x:c r="J589" s="73" t="n">
        <x:v>45</x:v>
      </x:c>
      <x:c r="K589" s="73" t="s">
        <x:v>2576</x:v>
      </x:c>
      <x:c r="L589" s="73" t="n">
        <x:v>2023</x:v>
      </x:c>
      <x:c r="M589" s="73" t="n">
        <x:v>5</x:v>
      </x:c>
      <x:c r="N589" s="73" t="n">
        <x:v>27</x:v>
      </x:c>
      <x:c r="O589" s="73" t="n">
        <x:v>21</x:v>
      </x:c>
    </x:row>
    <x:row r="590" ht="15" hidden="0">
      <x:c r="A590" s="73" t="n">
        <x:v>589</x:v>
      </x:c>
      <x:c r="B590" s="73" t="n">
        <x:v>593</x:v>
      </x:c>
      <x:c r="C590" s="73" t="s">
        <x:v>2604</x:v>
      </x:c>
      <x:c r="D590" s="73" t="s">
        <x:v>2111</x:v>
      </x:c>
      <x:c r="E590" s="73" t="s">
        <x:v>2605</x:v>
      </x:c>
      <x:c r="F590" s="73" t="s">
        <x:v>2606</x:v>
      </x:c>
      <x:c r="G590" s="73" t="s">
        <x:v>37</x:v>
      </x:c>
      <x:c r="H590" s="73" t="s">
        <x:v>2607</x:v>
      </x:c>
      <x:c r="I590" s="73" t="n">
        <x:v>18</x:v>
      </x:c>
      <x:c r="J590" s="73" t="n">
        <x:v>35</x:v>
      </x:c>
      <x:c r="K590" s="73" t="s">
        <x:v>2570</x:v>
      </x:c>
      <x:c r="L590" s="73" t="n">
        <x:v>2023</x:v>
      </x:c>
      <x:c r="M590" s="73" t="n">
        <x:v>5</x:v>
      </x:c>
      <x:c r="N590" s="73" t="n">
        <x:v>28</x:v>
      </x:c>
      <x:c r="O590" s="73" t="n">
        <x:v>12</x:v>
      </x:c>
    </x:row>
    <x:row r="591" ht="15" hidden="0">
      <x:c r="A591" s="73" t="n">
        <x:v>590</x:v>
      </x:c>
      <x:c r="B591" s="73" t="n">
        <x:v>594</x:v>
      </x:c>
      <x:c r="C591" s="73" t="s">
        <x:v>2608</x:v>
      </x:c>
      <x:c r="D591" s="73" t="s">
        <x:v>2052</x:v>
      </x:c>
      <x:c r="E591" s="73" t="s">
        <x:v>2609</x:v>
      </x:c>
      <x:c r="F591" s="73" t="s">
        <x:v>2610</x:v>
      </x:c>
      <x:c r="G591" s="73" t="s">
        <x:v>1121</x:v>
      </x:c>
      <x:c r="H591" s="73" t="s">
        <x:v>2611</x:v>
      </x:c>
      <x:c r="I591" s="73" t="n">
        <x:v>30</x:v>
      </x:c>
      <x:c r="J591" s="73" t="n">
        <x:v>60</x:v>
      </x:c>
      <x:c r="K591" s="73" t="s">
        <x:v>2581</x:v>
      </x:c>
      <x:c r="L591" s="73" t="n">
        <x:v>2023</x:v>
      </x:c>
      <x:c r="M591" s="73" t="n">
        <x:v>5</x:v>
      </x:c>
      <x:c r="N591" s="73" t="n">
        <x:v>29</x:v>
      </x:c>
      <x:c r="O591" s="73" t="n">
        <x:v>23</x:v>
      </x:c>
    </x:row>
    <x:row r="592" ht="15" hidden="0">
      <x:c r="A592" s="73" t="n">
        <x:v>591</x:v>
      </x:c>
      <x:c r="B592" s="73" t="n">
        <x:v>595</x:v>
      </x:c>
      <x:c r="C592" s="73" t="s">
        <x:v>2612</x:v>
      </x:c>
      <x:c r="D592" s="73" t="s">
        <x:v>495</x:v>
      </x:c>
      <x:c r="E592" s="73" t="s">
        <x:v>2613</x:v>
      </x:c>
      <x:c r="F592" s="73" t="s">
        <x:v>2614</x:v>
      </x:c>
      <x:c r="G592" s="73" t="s">
        <x:v>31</x:v>
      </x:c>
      <x:c r="H592" s="73" t="s">
        <x:v>2615</x:v>
      </x:c>
      <x:c r="I592" s="73" t="n">
        <x:v>22</x:v>
      </x:c>
      <x:c r="J592" s="73" t="n">
        <x:v>45</x:v>
      </x:c>
      <x:c r="K592" s="73" t="s">
        <x:v>2570</x:v>
      </x:c>
      <x:c r="L592" s="73" t="n">
        <x:v>2023</x:v>
      </x:c>
      <x:c r="M592" s="73" t="n">
        <x:v>5</x:v>
      </x:c>
      <x:c r="N592" s="73" t="n">
        <x:v>30</x:v>
      </x:c>
      <x:c r="O592" s="73" t="n">
        <x:v>20</x:v>
      </x:c>
    </x:row>
    <x:row r="593" ht="15" hidden="0">
      <x:c r="A593" s="73" t="n">
        <x:v>592</x:v>
      </x:c>
      <x:c r="B593" s="73" t="n">
        <x:v>596</x:v>
      </x:c>
      <x:c r="C593" s="73" t="s">
        <x:v>2616</x:v>
      </x:c>
      <x:c r="D593" s="73" t="s">
        <x:v>2052</x:v>
      </x:c>
      <x:c r="E593" s="73" t="s">
        <x:v>2617</x:v>
      </x:c>
      <x:c r="F593" s="73" t="s">
        <x:v>2618</x:v>
      </x:c>
      <x:c r="G593" s="73" t="s">
        <x:v>37</x:v>
      </x:c>
      <x:c r="H593" s="73" t="s">
        <x:v>2619</x:v>
      </x:c>
      <x:c r="I593" s="73" t="n">
        <x:v>35</x:v>
      </x:c>
      <x:c r="J593" s="73" t="n">
        <x:v>70</x:v>
      </x:c>
      <x:c r="K593" s="73" t="s">
        <x:v>2576</x:v>
      </x:c>
      <x:c r="L593" s="73" t="n">
        <x:v>2023</x:v>
      </x:c>
      <x:c r="M593" s="73" t="n">
        <x:v>5</x:v>
      </x:c>
      <x:c r="N593" s="73" t="n">
        <x:v>31</x:v>
      </x:c>
      <x:c r="O593" s="73" t="n">
        <x:v>15</x:v>
      </x:c>
    </x:row>
    <x:row r="594" ht="15" hidden="0">
      <x:c r="A594" s="73" t="n">
        <x:v>593</x:v>
      </x:c>
      <x:c r="B594" s="73" t="n">
        <x:v>597</x:v>
      </x:c>
      <x:c r="C594" s="73" t="s">
        <x:v>2620</x:v>
      </x:c>
      <x:c r="D594" s="73" t="s">
        <x:v>495</x:v>
      </x:c>
      <x:c r="E594" s="73" t="s">
        <x:v>2621</x:v>
      </x:c>
      <x:c r="F594" s="73" t="s">
        <x:v>2622</x:v>
      </x:c>
      <x:c r="G594" s="73" t="s">
        <x:v>1121</x:v>
      </x:c>
      <x:c r="H594" s="73" t="s">
        <x:v>2623</x:v>
      </x:c>
      <x:c r="I594" s="73" t="n">
        <x:v>20</x:v>
      </x:c>
      <x:c r="J594" s="73" t="n">
        <x:v>40</x:v>
      </x:c>
      <x:c r="K594" s="73" t="s">
        <x:v>2570</x:v>
      </x:c>
      <x:c r="L594" s="73" t="n">
        <x:v>2023</x:v>
      </x:c>
      <x:c r="M594" s="73" t="n">
        <x:v>6</x:v>
      </x:c>
      <x:c r="N594" s="73" t="n">
        <x:v>1</x:v>
      </x:c>
      <x:c r="O594" s="73" t="n">
        <x:v>18</x:v>
      </x:c>
    </x:row>
    <x:row r="595" ht="15" hidden="0">
      <x:c r="A595" s="73" t="n">
        <x:v>594</x:v>
      </x:c>
      <x:c r="B595" s="73" t="n">
        <x:v>598</x:v>
      </x:c>
      <x:c r="C595" s="73" t="s">
        <x:v>2624</x:v>
      </x:c>
      <x:c r="D595" s="73" t="s">
        <x:v>842</x:v>
      </x:c>
      <x:c r="E595" s="73" t="s">
        <x:v>2625</x:v>
      </x:c>
      <x:c r="F595" s="73" t="s">
        <x:v>2626</x:v>
      </x:c>
      <x:c r="G595" s="73" t="s">
        <x:v>31</x:v>
      </x:c>
      <x:c r="H595" s="73" t="s">
        <x:v>2627</x:v>
      </x:c>
      <x:c r="I595" s="73" t="n">
        <x:v>28</x:v>
      </x:c>
      <x:c r="J595" s="73" t="n">
        <x:v>55</x:v>
      </x:c>
      <x:c r="K595" s="73" t="s">
        <x:v>2581</x:v>
      </x:c>
      <x:c r="L595" s="73" t="n">
        <x:v>2023</x:v>
      </x:c>
      <x:c r="M595" s="73" t="n">
        <x:v>6</x:v>
      </x:c>
      <x:c r="N595" s="73" t="n">
        <x:v>2</x:v>
      </x:c>
      <x:c r="O595" s="73" t="n">
        <x:v>14</x:v>
      </x:c>
    </x:row>
    <x:row r="596" ht="15" hidden="0">
      <x:c r="A596" s="73" t="n">
        <x:v>595</x:v>
      </x:c>
      <x:c r="B596" s="73" t="n">
        <x:v>599</x:v>
      </x:c>
      <x:c r="C596" s="73" t="s">
        <x:v>2628</x:v>
      </x:c>
      <x:c r="D596" s="73" t="s">
        <x:v>2052</x:v>
      </x:c>
      <x:c r="E596" s="73" t="s">
        <x:v>2629</x:v>
      </x:c>
      <x:c r="F596" s="73" t="s">
        <x:v>2630</x:v>
      </x:c>
      <x:c r="G596" s="73" t="s">
        <x:v>37</x:v>
      </x:c>
      <x:c r="H596" s="73" t="s">
        <x:v>2631</x:v>
      </x:c>
      <x:c r="I596" s="73" t="n">
        <x:v>22</x:v>
      </x:c>
      <x:c r="J596" s="73" t="n">
        <x:v>45</x:v>
      </x:c>
      <x:c r="K596" s="73" t="s">
        <x:v>2576</x:v>
      </x:c>
      <x:c r="L596" s="73" t="n">
        <x:v>2023</x:v>
      </x:c>
      <x:c r="M596" s="73" t="n">
        <x:v>6</x:v>
      </x:c>
      <x:c r="N596" s="73" t="n">
        <x:v>3</x:v>
      </x:c>
      <x:c r="O596" s="73" t="n">
        <x:v>21</x:v>
      </x:c>
    </x:row>
    <x:row r="597" ht="15" hidden="0">
      <x:c r="A597" s="73" t="n">
        <x:v>596</x:v>
      </x:c>
      <x:c r="B597" s="73" t="n">
        <x:v>600</x:v>
      </x:c>
      <x:c r="C597" s="73" t="s">
        <x:v>2632</x:v>
      </x:c>
      <x:c r="D597" s="73" t="s">
        <x:v>2303</x:v>
      </x:c>
      <x:c r="E597" s="73" t="s">
        <x:v>2633</x:v>
      </x:c>
      <x:c r="F597" s="73" t="s">
        <x:v>2634</x:v>
      </x:c>
      <x:c r="G597" s="73" t="s">
        <x:v>1121</x:v>
      </x:c>
      <x:c r="H597" s="73" t="s">
        <x:v>2635</x:v>
      </x:c>
      <x:c r="I597" s="73" t="n">
        <x:v>25</x:v>
      </x:c>
      <x:c r="J597" s="73" t="n">
        <x:v>50</x:v>
      </x:c>
      <x:c r="K597" s="73" t="s">
        <x:v>2570</x:v>
      </x:c>
      <x:c r="L597" s="73" t="n">
        <x:v>2023</x:v>
      </x:c>
      <x:c r="M597" s="73" t="n">
        <x:v>6</x:v>
      </x:c>
      <x:c r="N597" s="73" t="n">
        <x:v>4</x:v>
      </x:c>
      <x:c r="O597" s="73" t="n">
        <x:v>19</x:v>
      </x:c>
    </x:row>
    <x:row r="598" ht="15" hidden="0">
      <x:c r="A598" s="73" t="n">
        <x:v>597</x:v>
      </x:c>
      <x:c r="B598" s="73" t="n">
        <x:v>601</x:v>
      </x:c>
      <x:c r="C598" s="73" t="s">
        <x:v>2636</x:v>
      </x:c>
      <x:c r="D598" s="73" t="s">
        <x:v>495</x:v>
      </x:c>
      <x:c r="E598" s="73" t="s">
        <x:v>2637</x:v>
      </x:c>
      <x:c r="F598" s="73" t="s">
        <x:v>2638</x:v>
      </x:c>
      <x:c r="G598" s="73" t="s">
        <x:v>31</x:v>
      </x:c>
      <x:c r="H598" s="73" t="s">
        <x:v>2639</x:v>
      </x:c>
      <x:c r="I598" s="73" t="n">
        <x:v>18</x:v>
      </x:c>
      <x:c r="J598" s="73" t="n">
        <x:v>35</x:v>
      </x:c>
      <x:c r="K598" s="73" t="s">
        <x:v>2581</x:v>
      </x:c>
      <x:c r="L598" s="73" t="n">
        <x:v>2023</x:v>
      </x:c>
      <x:c r="M598" s="73" t="n">
        <x:v>6</x:v>
      </x:c>
      <x:c r="N598" s="73" t="n">
        <x:v>5</x:v>
      </x:c>
      <x:c r="O598" s="73" t="n">
        <x:v>10</x:v>
      </x:c>
    </x:row>
    <x:row r="599" ht="15" hidden="0">
      <x:c r="A599" s="73" t="n">
        <x:v>598</x:v>
      </x:c>
      <x:c r="B599" s="73" t="n">
        <x:v>602</x:v>
      </x:c>
      <x:c r="C599" s="73" t="s">
        <x:v>2640</x:v>
      </x:c>
      <x:c r="D599" s="73" t="s">
        <x:v>2052</x:v>
      </x:c>
      <x:c r="E599" s="73" t="s">
        <x:v>2641</x:v>
      </x:c>
      <x:c r="F599" s="73" t="s">
        <x:v>1619</x:v>
      </x:c>
      <x:c r="G599" s="73" t="s">
        <x:v>37</x:v>
      </x:c>
      <x:c r="H599" s="73" t="s">
        <x:v>2642</x:v>
      </x:c>
      <x:c r="I599" s="73" t="n">
        <x:v>28</x:v>
      </x:c>
      <x:c r="J599" s="73" t="n">
        <x:v>55</x:v>
      </x:c>
      <x:c r="K599" s="73" t="s">
        <x:v>2576</x:v>
      </x:c>
      <x:c r="L599" s="73" t="n">
        <x:v>2023</x:v>
      </x:c>
      <x:c r="M599" s="73" t="n">
        <x:v>6</x:v>
      </x:c>
      <x:c r="N599" s="73" t="n">
        <x:v>6</x:v>
      </x:c>
      <x:c r="O599" s="73" t="n">
        <x:v>22</x:v>
      </x:c>
    </x:row>
    <x:row r="600" ht="15" hidden="0">
      <x:c r="A600" s="73" t="n">
        <x:v>599</x:v>
      </x:c>
      <x:c r="B600" s="73" t="n">
        <x:v>603</x:v>
      </x:c>
      <x:c r="C600" s="73" t="s">
        <x:v>2643</x:v>
      </x:c>
      <x:c r="D600" s="73" t="s">
        <x:v>2052</x:v>
      </x:c>
      <x:c r="E600" s="73" t="s">
        <x:v>2644</x:v>
      </x:c>
      <x:c r="F600" s="73" t="s">
        <x:v>2645</x:v>
      </x:c>
      <x:c r="G600" s="73" t="s">
        <x:v>1121</x:v>
      </x:c>
      <x:c r="H600" s="73" t="s">
        <x:v>2646</x:v>
      </x:c>
      <x:c r="I600" s="73" t="n">
        <x:v>22</x:v>
      </x:c>
      <x:c r="J600" s="73" t="n">
        <x:v>45</x:v>
      </x:c>
      <x:c r="K600" s="73" t="s">
        <x:v>2570</x:v>
      </x:c>
      <x:c r="L600" s="73" t="n">
        <x:v>2023</x:v>
      </x:c>
      <x:c r="M600" s="73" t="n">
        <x:v>6</x:v>
      </x:c>
      <x:c r="N600" s="73" t="n">
        <x:v>7</x:v>
      </x:c>
      <x:c r="O600" s="73" t="n">
        <x:v>12</x:v>
      </x:c>
    </x:row>
    <x:row r="601" ht="15" hidden="0">
      <x:c r="A601" s="73" t="n">
        <x:v>600</x:v>
      </x:c>
      <x:c r="B601" s="73" t="n">
        <x:v>604</x:v>
      </x:c>
      <x:c r="C601" s="73" t="s">
        <x:v>2647</x:v>
      </x:c>
      <x:c r="D601" s="73" t="s">
        <x:v>495</x:v>
      </x:c>
      <x:c r="E601" s="73" t="s">
        <x:v>2648</x:v>
      </x:c>
      <x:c r="F601" s="73" t="s">
        <x:v>2649</x:v>
      </x:c>
      <x:c r="G601" s="73" t="s">
        <x:v>31</x:v>
      </x:c>
      <x:c r="H601" s="73" t="s">
        <x:v>2650</x:v>
      </x:c>
      <x:c r="I601" s="73" t="n">
        <x:v>35</x:v>
      </x:c>
      <x:c r="J601" s="73" t="n">
        <x:v>70</x:v>
      </x:c>
      <x:c r="K601" s="73" t="s">
        <x:v>2581</x:v>
      </x:c>
      <x:c r="L601" s="73" t="n">
        <x:v>2023</x:v>
      </x:c>
      <x:c r="M601" s="73" t="n">
        <x:v>6</x:v>
      </x:c>
      <x:c r="N601" s="73" t="n">
        <x:v>8</x:v>
      </x:c>
      <x:c r="O601" s="73" t="n">
        <x:v>16</x:v>
      </x:c>
    </x:row>
    <x:row r="602" ht="15" hidden="0">
      <x:c r="A602" s="73" t="n">
        <x:v>601</x:v>
      </x:c>
      <x:c r="B602" s="73" t="n">
        <x:v>605</x:v>
      </x:c>
      <x:c r="C602" s="73" t="s">
        <x:v>2651</x:v>
      </x:c>
      <x:c r="D602" s="73" t="s">
        <x:v>1183</x:v>
      </x:c>
      <x:c r="E602" s="73" t="s">
        <x:v>2652</x:v>
      </x:c>
      <x:c r="F602" s="73" t="s">
        <x:v>2653</x:v>
      </x:c>
      <x:c r="G602" s="73" t="s">
        <x:v>37</x:v>
      </x:c>
      <x:c r="H602" s="73" t="s">
        <x:v>2654</x:v>
      </x:c>
      <x:c r="I602" s="73" t="n">
        <x:v>20</x:v>
      </x:c>
      <x:c r="J602" s="73" t="n">
        <x:v>40</x:v>
      </x:c>
      <x:c r="K602" s="73" t="s">
        <x:v>2570</x:v>
      </x:c>
      <x:c r="L602" s="73" t="n">
        <x:v>2023</x:v>
      </x:c>
      <x:c r="M602" s="73" t="n">
        <x:v>6</x:v>
      </x:c>
      <x:c r="N602" s="73" t="n">
        <x:v>9</x:v>
      </x:c>
      <x:c r="O602" s="73" t="n">
        <x:v>14</x:v>
      </x:c>
    </x:row>
    <x:row r="603" ht="15" hidden="0">
      <x:c r="A603" s="73" t="n">
        <x:v>602</x:v>
      </x:c>
      <x:c r="B603" s="73" t="n">
        <x:v>606</x:v>
      </x:c>
      <x:c r="C603" s="73" t="s">
        <x:v>2655</x:v>
      </x:c>
      <x:c r="D603" s="73" t="s">
        <x:v>1183</x:v>
      </x:c>
      <x:c r="E603" s="73" t="s">
        <x:v>2656</x:v>
      </x:c>
      <x:c r="F603" s="73" t="s">
        <x:v>2657</x:v>
      </x:c>
      <x:c r="G603" s="73" t="s">
        <x:v>1121</x:v>
      </x:c>
      <x:c r="H603" s="73" t="s">
        <x:v>2658</x:v>
      </x:c>
      <x:c r="I603" s="73" t="n">
        <x:v>30</x:v>
      </x:c>
      <x:c r="J603" s="73" t="n">
        <x:v>60</x:v>
      </x:c>
      <x:c r="K603" s="73" t="s">
        <x:v>2576</x:v>
      </x:c>
      <x:c r="L603" s="73" t="n">
        <x:v>2023</x:v>
      </x:c>
      <x:c r="M603" s="73" t="n">
        <x:v>6</x:v>
      </x:c>
      <x:c r="N603" s="73" t="n">
        <x:v>10</x:v>
      </x:c>
      <x:c r="O603" s="73" t="n">
        <x:v>17</x:v>
      </x:c>
    </x:row>
    <x:row r="604" ht="15" hidden="0">
      <x:c r="A604" s="73" t="n">
        <x:v>603</x:v>
      </x:c>
      <x:c r="B604" s="73" t="n">
        <x:v>607</x:v>
      </x:c>
      <x:c r="C604" s="73" t="s">
        <x:v>2659</x:v>
      </x:c>
      <x:c r="D604" s="73" t="s">
        <x:v>1124</x:v>
      </x:c>
      <x:c r="E604" s="73" t="s">
        <x:v>2660</x:v>
      </x:c>
      <x:c r="F604" s="73" t="s">
        <x:v>2661</x:v>
      </x:c>
      <x:c r="G604" s="73" t="s">
        <x:v>31</x:v>
      </x:c>
      <x:c r="H604" s="73" t="s">
        <x:v>2662</x:v>
      </x:c>
      <x:c r="I604" s="73" t="n">
        <x:v>35</x:v>
      </x:c>
      <x:c r="J604" s="73" t="n">
        <x:v>70</x:v>
      </x:c>
      <x:c r="K604" s="73" t="s">
        <x:v>2570</x:v>
      </x:c>
      <x:c r="L604" s="73" t="n">
        <x:v>2023</x:v>
      </x:c>
      <x:c r="M604" s="73" t="n">
        <x:v>6</x:v>
      </x:c>
      <x:c r="N604" s="73" t="n">
        <x:v>11</x:v>
      </x:c>
      <x:c r="O604" s="73" t="n">
        <x:v>15</x:v>
      </x:c>
    </x:row>
    <x:row r="605" ht="15" hidden="0">
      <x:c r="A605" s="73" t="n">
        <x:v>604</x:v>
      </x:c>
      <x:c r="B605" s="73" t="n">
        <x:v>608</x:v>
      </x:c>
      <x:c r="C605" s="73" t="s">
        <x:v>2663</x:v>
      </x:c>
      <x:c r="D605" s="73" t="s">
        <x:v>2070</x:v>
      </x:c>
      <x:c r="E605" s="73" t="s">
        <x:v>2664</x:v>
      </x:c>
      <x:c r="F605" s="73" t="s">
        <x:v>2665</x:v>
      </x:c>
      <x:c r="G605" s="73" t="s">
        <x:v>1121</x:v>
      </x:c>
      <x:c r="H605" s="73" t="s">
        <x:v>2666</x:v>
      </x:c>
      <x:c r="I605" s="73" t="n">
        <x:v>28</x:v>
      </x:c>
      <x:c r="J605" s="73" t="n">
        <x:v>55</x:v>
      </x:c>
      <x:c r="K605" s="73" t="s">
        <x:v>2581</x:v>
      </x:c>
      <x:c r="L605" s="73" t="n">
        <x:v>2023</x:v>
      </x:c>
      <x:c r="M605" s="73" t="n">
        <x:v>6</x:v>
      </x:c>
      <x:c r="N605" s="73" t="n">
        <x:v>12</x:v>
      </x:c>
      <x:c r="O605" s="73" t="n">
        <x:v>18</x:v>
      </x:c>
    </x:row>
    <x:row r="606" ht="15" hidden="0">
      <x:c r="A606" s="73" t="n">
        <x:v>605</x:v>
      </x:c>
      <x:c r="B606" s="73" t="n">
        <x:v>609</x:v>
      </x:c>
      <x:c r="C606" s="73" t="s">
        <x:v>2667</x:v>
      </x:c>
      <x:c r="D606" s="73" t="s">
        <x:v>1183</x:v>
      </x:c>
      <x:c r="E606" s="73" t="s">
        <x:v>2668</x:v>
      </x:c>
      <x:c r="F606" s="73" t="s">
        <x:v>2669</x:v>
      </x:c>
      <x:c r="G606" s="73" t="s">
        <x:v>37</x:v>
      </x:c>
      <x:c r="H606" s="73" t="s">
        <x:v>2670</x:v>
      </x:c>
      <x:c r="I606" s="73" t="n">
        <x:v>22</x:v>
      </x:c>
      <x:c r="J606" s="73" t="n">
        <x:v>45</x:v>
      </x:c>
      <x:c r="K606" s="73" t="s">
        <x:v>2576</x:v>
      </x:c>
      <x:c r="L606" s="73" t="n">
        <x:v>2023</x:v>
      </x:c>
      <x:c r="M606" s="73" t="n">
        <x:v>6</x:v>
      </x:c>
      <x:c r="N606" s="73" t="n">
        <x:v>13</x:v>
      </x:c>
      <x:c r="O606" s="73" t="n">
        <x:v>14</x:v>
      </x:c>
    </x:row>
    <x:row r="607" ht="15" hidden="0">
      <x:c r="A607" s="73" t="n">
        <x:v>606</x:v>
      </x:c>
      <x:c r="B607" s="73" t="n">
        <x:v>610</x:v>
      </x:c>
      <x:c r="C607" s="73" t="s">
        <x:v>2671</x:v>
      </x:c>
      <x:c r="D607" s="73" t="s">
        <x:v>1124</x:v>
      </x:c>
      <x:c r="E607" s="73" t="s">
        <x:v>2672</x:v>
      </x:c>
      <x:c r="F607" s="73" t="s">
        <x:v>2673</x:v>
      </x:c>
      <x:c r="G607" s="73" t="s">
        <x:v>31</x:v>
      </x:c>
      <x:c r="H607" s="73" t="s">
        <x:v>2674</x:v>
      </x:c>
      <x:c r="I607" s="73" t="n">
        <x:v>25</x:v>
      </x:c>
      <x:c r="J607" s="73" t="n">
        <x:v>50</x:v>
      </x:c>
      <x:c r="K607" s="73" t="s">
        <x:v>2570</x:v>
      </x:c>
      <x:c r="L607" s="73" t="n">
        <x:v>2023</x:v>
      </x:c>
      <x:c r="M607" s="73" t="n">
        <x:v>6</x:v>
      </x:c>
      <x:c r="N607" s="73" t="n">
        <x:v>14</x:v>
      </x:c>
      <x:c r="O607" s="73" t="n">
        <x:v>19</x:v>
      </x:c>
    </x:row>
    <x:row r="608" ht="15" hidden="0">
      <x:c r="A608" s="73" t="n">
        <x:v>607</x:v>
      </x:c>
      <x:c r="B608" s="73" t="n">
        <x:v>611</x:v>
      </x:c>
      <x:c r="C608" s="73" t="s">
        <x:v>2675</x:v>
      </x:c>
      <x:c r="D608" s="73" t="s">
        <x:v>1183</x:v>
      </x:c>
      <x:c r="E608" s="73" t="s">
        <x:v>2676</x:v>
      </x:c>
      <x:c r="F608" s="73" t="s">
        <x:v>2677</x:v>
      </x:c>
      <x:c r="G608" s="73" t="s">
        <x:v>1121</x:v>
      </x:c>
      <x:c r="H608" s="73" t="s">
        <x:v>2678</x:v>
      </x:c>
      <x:c r="I608" s="73" t="n">
        <x:v>30</x:v>
      </x:c>
      <x:c r="J608" s="73" t="n">
        <x:v>60</x:v>
      </x:c>
      <x:c r="K608" s="73" t="s">
        <x:v>2581</x:v>
      </x:c>
      <x:c r="L608" s="73" t="n">
        <x:v>2023</x:v>
      </x:c>
      <x:c r="M608" s="73" t="n">
        <x:v>6</x:v>
      </x:c>
      <x:c r="N608" s="73" t="n">
        <x:v>15</x:v>
      </x:c>
      <x:c r="O608" s="73" t="n">
        <x:v>12</x:v>
      </x:c>
    </x:row>
    <x:row r="609" ht="15" hidden="0">
      <x:c r="A609" s="73" t="n">
        <x:v>608</x:v>
      </x:c>
      <x:c r="B609" s="73" t="n">
        <x:v>612</x:v>
      </x:c>
      <x:c r="C609" s="73" t="s">
        <x:v>2679</x:v>
      </x:c>
      <x:c r="D609" s="73" t="s">
        <x:v>2052</x:v>
      </x:c>
      <x:c r="E609" s="73" t="s">
        <x:v>2680</x:v>
      </x:c>
      <x:c r="F609" s="73" t="s">
        <x:v>2681</x:v>
      </x:c>
      <x:c r="G609" s="73" t="s">
        <x:v>37</x:v>
      </x:c>
      <x:c r="H609" s="73" t="s">
        <x:v>2682</x:v>
      </x:c>
      <x:c r="I609" s="73" t="n">
        <x:v>18</x:v>
      </x:c>
      <x:c r="J609" s="73" t="n">
        <x:v>35</x:v>
      </x:c>
      <x:c r="K609" s="73" t="s">
        <x:v>2576</x:v>
      </x:c>
      <x:c r="L609" s="73" t="n">
        <x:v>2023</x:v>
      </x:c>
      <x:c r="M609" s="73" t="n">
        <x:v>6</x:v>
      </x:c>
      <x:c r="N609" s="73" t="n">
        <x:v>16</x:v>
      </x:c>
      <x:c r="O609" s="73" t="n">
        <x:v>21</x:v>
      </x:c>
    </x:row>
    <x:row r="610" ht="15" hidden="0">
      <x:c r="A610" s="73" t="n">
        <x:v>609</x:v>
      </x:c>
      <x:c r="B610" s="73" t="n">
        <x:v>613</x:v>
      </x:c>
      <x:c r="C610" s="73" t="s">
        <x:v>2683</x:v>
      </x:c>
      <x:c r="D610" s="73" t="s">
        <x:v>2052</x:v>
      </x:c>
      <x:c r="E610" s="73" t="s">
        <x:v>2684</x:v>
      </x:c>
      <x:c r="F610" s="73" t="s">
        <x:v>2685</x:v>
      </x:c>
      <x:c r="G610" s="73" t="s">
        <x:v>31</x:v>
      </x:c>
      <x:c r="H610" s="73" t="s">
        <x:v>2686</x:v>
      </x:c>
      <x:c r="I610" s="73" t="n">
        <x:v>35</x:v>
      </x:c>
      <x:c r="J610" s="73" t="n">
        <x:v>70</x:v>
      </x:c>
      <x:c r="K610" s="73" t="s">
        <x:v>2570</x:v>
      </x:c>
      <x:c r="L610" s="73" t="n">
        <x:v>2023</x:v>
      </x:c>
      <x:c r="M610" s="73" t="n">
        <x:v>6</x:v>
      </x:c>
      <x:c r="N610" s="73" t="n">
        <x:v>17</x:v>
      </x:c>
      <x:c r="O610" s="73" t="n">
        <x:v>15</x:v>
      </x:c>
    </x:row>
    <x:row r="611" ht="15" hidden="0">
      <x:c r="A611" s="73" t="n">
        <x:v>610</x:v>
      </x:c>
      <x:c r="B611" s="73" t="n">
        <x:v>614</x:v>
      </x:c>
      <x:c r="C611" s="73" t="s">
        <x:v>2687</x:v>
      </x:c>
      <x:c r="D611" s="73" t="s">
        <x:v>1124</x:v>
      </x:c>
      <x:c r="E611" s="73" t="s">
        <x:v>2688</x:v>
      </x:c>
      <x:c r="F611" s="73" t="s">
        <x:v>2689</x:v>
      </x:c>
      <x:c r="G611" s="73" t="s">
        <x:v>1121</x:v>
      </x:c>
      <x:c r="H611" s="73" t="s">
        <x:v>2690</x:v>
      </x:c>
      <x:c r="I611" s="73" t="n">
        <x:v>28</x:v>
      </x:c>
      <x:c r="J611" s="73" t="n">
        <x:v>55</x:v>
      </x:c>
      <x:c r="K611" s="73" t="s">
        <x:v>2581</x:v>
      </x:c>
      <x:c r="L611" s="73" t="n">
        <x:v>2023</x:v>
      </x:c>
      <x:c r="M611" s="73" t="n">
        <x:v>6</x:v>
      </x:c>
      <x:c r="N611" s="73" t="n">
        <x:v>18</x:v>
      </x:c>
      <x:c r="O611" s="73" t="n">
        <x:v>11</x:v>
      </x:c>
    </x:row>
    <x:row r="612" ht="15" hidden="0">
      <x:c r="A612" s="73" t="n">
        <x:v>611</x:v>
      </x:c>
      <x:c r="B612" s="73" t="n">
        <x:v>615</x:v>
      </x:c>
      <x:c r="C612" s="73" t="s">
        <x:v>2691</x:v>
      </x:c>
      <x:c r="D612" s="73" t="s">
        <x:v>2052</x:v>
      </x:c>
      <x:c r="E612" s="73" t="s">
        <x:v>2692</x:v>
      </x:c>
      <x:c r="F612" s="73" t="s">
        <x:v>2693</x:v>
      </x:c>
      <x:c r="G612" s="73" t="s">
        <x:v>37</x:v>
      </x:c>
      <x:c r="H612" s="73" t="s">
        <x:v>2694</x:v>
      </x:c>
      <x:c r="I612" s="73" t="n">
        <x:v>22</x:v>
      </x:c>
      <x:c r="J612" s="73" t="n">
        <x:v>45</x:v>
      </x:c>
      <x:c r="K612" s="73" t="s">
        <x:v>2576</x:v>
      </x:c>
      <x:c r="L612" s="73" t="n">
        <x:v>2023</x:v>
      </x:c>
      <x:c r="M612" s="73" t="n">
        <x:v>6</x:v>
      </x:c>
      <x:c r="N612" s="73" t="n">
        <x:v>19</x:v>
      </x:c>
      <x:c r="O612" s="73" t="n">
        <x:v>16</x:v>
      </x:c>
    </x:row>
    <x:row r="613" ht="15" hidden="0">
      <x:c r="A613" s="73" t="n">
        <x:v>612</x:v>
      </x:c>
      <x:c r="B613" s="73" t="n">
        <x:v>616</x:v>
      </x:c>
      <x:c r="C613" s="73" t="s">
        <x:v>2695</x:v>
      </x:c>
      <x:c r="D613" s="73" t="s">
        <x:v>2052</x:v>
      </x:c>
      <x:c r="E613" s="73" t="s">
        <x:v>2696</x:v>
      </x:c>
      <x:c r="F613" s="73" t="s">
        <x:v>2697</x:v>
      </x:c>
      <x:c r="G613" s="73" t="s">
        <x:v>31</x:v>
      </x:c>
      <x:c r="H613" s="73" t="s">
        <x:v>2698</x:v>
      </x:c>
      <x:c r="I613" s="73" t="n">
        <x:v>20</x:v>
      </x:c>
      <x:c r="J613" s="73" t="n">
        <x:v>40</x:v>
      </x:c>
      <x:c r="K613" s="73" t="s">
        <x:v>2570</x:v>
      </x:c>
      <x:c r="L613" s="73" t="n">
        <x:v>2023</x:v>
      </x:c>
      <x:c r="M613" s="73" t="n">
        <x:v>6</x:v>
      </x:c>
      <x:c r="N613" s="73" t="n">
        <x:v>20</x:v>
      </x:c>
      <x:c r="O613" s="73" t="n">
        <x:v>14</x:v>
      </x:c>
    </x:row>
    <x:row r="614" ht="15" hidden="0">
      <x:c r="A614" s="73" t="n">
        <x:v>613</x:v>
      </x:c>
      <x:c r="B614" s="73" t="n">
        <x:v>617</x:v>
      </x:c>
      <x:c r="C614" s="73" t="s">
        <x:v>2699</x:v>
      </x:c>
      <x:c r="D614" s="73" t="s">
        <x:v>1124</x:v>
      </x:c>
      <x:c r="E614" s="73" t="s">
        <x:v>2700</x:v>
      </x:c>
      <x:c r="F614" s="73" t="s">
        <x:v>2701</x:v>
      </x:c>
      <x:c r="G614" s="73" t="s">
        <x:v>1121</x:v>
      </x:c>
      <x:c r="H614" s="73" t="s">
        <x:v>2702</x:v>
      </x:c>
      <x:c r="I614" s="73" t="n">
        <x:v>18</x:v>
      </x:c>
      <x:c r="J614" s="73" t="n">
        <x:v>35</x:v>
      </x:c>
      <x:c r="K614" s="73" t="s">
        <x:v>2581</x:v>
      </x:c>
      <x:c r="L614" s="73" t="n">
        <x:v>2023</x:v>
      </x:c>
      <x:c r="M614" s="73" t="n">
        <x:v>6</x:v>
      </x:c>
      <x:c r="N614" s="73" t="n">
        <x:v>21</x:v>
      </x:c>
      <x:c r="O614" s="73" t="n">
        <x:v>19</x:v>
      </x:c>
    </x:row>
    <x:row r="615" ht="15" hidden="0">
      <x:c r="A615" s="73" t="n">
        <x:v>614</x:v>
      </x:c>
      <x:c r="B615" s="73" t="n">
        <x:v>618</x:v>
      </x:c>
      <x:c r="C615" s="73" t="s">
        <x:v>2703</x:v>
      </x:c>
      <x:c r="D615" s="73" t="s">
        <x:v>1124</x:v>
      </x:c>
      <x:c r="E615" s="73" t="s">
        <x:v>2704</x:v>
      </x:c>
      <x:c r="F615" s="73" t="s">
        <x:v>1514</x:v>
      </x:c>
      <x:c r="G615" s="73" t="s">
        <x:v>37</x:v>
      </x:c>
      <x:c r="H615" s="73" t="s">
        <x:v>2705</x:v>
      </x:c>
      <x:c r="I615" s="73" t="n">
        <x:v>25</x:v>
      </x:c>
      <x:c r="J615" s="73" t="n">
        <x:v>50</x:v>
      </x:c>
      <x:c r="K615" s="73" t="s">
        <x:v>2570</x:v>
      </x:c>
      <x:c r="L615" s="73" t="n">
        <x:v>2023</x:v>
      </x:c>
      <x:c r="M615" s="73" t="n">
        <x:v>6</x:v>
      </x:c>
      <x:c r="N615" s="73" t="n">
        <x:v>22</x:v>
      </x:c>
      <x:c r="O615" s="73" t="n">
        <x:v>13</x:v>
      </x:c>
    </x:row>
    <x:row r="616" ht="15" hidden="0">
      <x:c r="A616" s="73" t="n">
        <x:v>615</x:v>
      </x:c>
      <x:c r="B616" s="73" t="n">
        <x:v>619</x:v>
      </x:c>
      <x:c r="C616" s="73" t="s">
        <x:v>2706</x:v>
      </x:c>
      <x:c r="D616" s="73" t="s">
        <x:v>1124</x:v>
      </x:c>
      <x:c r="E616" s="73" t="s">
        <x:v>2707</x:v>
      </x:c>
      <x:c r="F616" s="73" t="s">
        <x:v>2708</x:v>
      </x:c>
      <x:c r="G616" s="73" t="s">
        <x:v>31</x:v>
      </x:c>
      <x:c r="H616" s="73" t="s">
        <x:v>2709</x:v>
      </x:c>
      <x:c r="I616" s="73" t="n">
        <x:v>28</x:v>
      </x:c>
      <x:c r="J616" s="73" t="n">
        <x:v>55</x:v>
      </x:c>
      <x:c r="K616" s="73" t="s">
        <x:v>2581</x:v>
      </x:c>
      <x:c r="L616" s="73" t="n">
        <x:v>2023</x:v>
      </x:c>
      <x:c r="M616" s="73" t="n">
        <x:v>6</x:v>
      </x:c>
      <x:c r="N616" s="73" t="n">
        <x:v>23</x:v>
      </x:c>
      <x:c r="O616" s="73" t="n">
        <x:v>18</x:v>
      </x:c>
    </x:row>
    <x:row r="617" ht="15" hidden="0">
      <x:c r="A617" s="73" t="n">
        <x:v>616</x:v>
      </x:c>
      <x:c r="B617" s="73" t="n">
        <x:v>620</x:v>
      </x:c>
      <x:c r="C617" s="73" t="s">
        <x:v>2710</x:v>
      </x:c>
      <x:c r="D617" s="73" t="s">
        <x:v>2052</x:v>
      </x:c>
      <x:c r="E617" s="73" t="s">
        <x:v>2711</x:v>
      </x:c>
      <x:c r="F617" s="73" t="s">
        <x:v>2712</x:v>
      </x:c>
      <x:c r="G617" s="73" t="s">
        <x:v>1121</x:v>
      </x:c>
      <x:c r="H617" s="73" t="s">
        <x:v>2713</x:v>
      </x:c>
      <x:c r="I617" s="73" t="n">
        <x:v>22</x:v>
      </x:c>
      <x:c r="J617" s="73" t="n">
        <x:v>45</x:v>
      </x:c>
      <x:c r="K617" s="73" t="s">
        <x:v>2576</x:v>
      </x:c>
      <x:c r="L617" s="73" t="n">
        <x:v>2023</x:v>
      </x:c>
      <x:c r="M617" s="73" t="n">
        <x:v>6</x:v>
      </x:c>
      <x:c r="N617" s="73" t="n">
        <x:v>24</x:v>
      </x:c>
      <x:c r="O617" s="73" t="n">
        <x:v>16</x:v>
      </x:c>
    </x:row>
    <x:row r="618" ht="15" hidden="0">
      <x:c r="A618" s="73" t="n">
        <x:v>617</x:v>
      </x:c>
      <x:c r="B618" s="73" t="n">
        <x:v>621</x:v>
      </x:c>
      <x:c r="C618" s="73" t="s">
        <x:v>2714</x:v>
      </x:c>
      <x:c r="D618" s="73" t="s">
        <x:v>2070</x:v>
      </x:c>
      <x:c r="E618" s="73" t="s">
        <x:v>2715</x:v>
      </x:c>
      <x:c r="F618" s="73" t="s">
        <x:v>2716</x:v>
      </x:c>
      <x:c r="G618" s="73" t="s">
        <x:v>37</x:v>
      </x:c>
      <x:c r="H618" s="73" t="s">
        <x:v>2717</x:v>
      </x:c>
      <x:c r="I618" s="73" t="n">
        <x:v>35</x:v>
      </x:c>
      <x:c r="J618" s="73" t="n">
        <x:v>70</x:v>
      </x:c>
      <x:c r="K618" s="73" t="s">
        <x:v>2570</x:v>
      </x:c>
      <x:c r="L618" s="73" t="n">
        <x:v>2023</x:v>
      </x:c>
      <x:c r="M618" s="73" t="n">
        <x:v>6</x:v>
      </x:c>
      <x:c r="N618" s="73" t="n">
        <x:v>25</x:v>
      </x:c>
      <x:c r="O618" s="73" t="n">
        <x:v>20</x:v>
      </x:c>
    </x:row>
    <x:row r="619" ht="15" hidden="0">
      <x:c r="A619" s="73" t="n">
        <x:v>618</x:v>
      </x:c>
      <x:c r="B619" s="73" t="n">
        <x:v>622</x:v>
      </x:c>
      <x:c r="C619" s="73" t="s">
        <x:v>2718</x:v>
      </x:c>
      <x:c r="D619" s="73" t="s">
        <x:v>1183</x:v>
      </x:c>
      <x:c r="E619" s="73" t="s">
        <x:v>2719</x:v>
      </x:c>
      <x:c r="F619" s="73" t="s">
        <x:v>2720</x:v>
      </x:c>
      <x:c r="G619" s="73" t="s">
        <x:v>31</x:v>
      </x:c>
      <x:c r="H619" s="73" t="s">
        <x:v>2721</x:v>
      </x:c>
      <x:c r="I619" s="73" t="n">
        <x:v>30</x:v>
      </x:c>
      <x:c r="J619" s="73" t="n">
        <x:v>60</x:v>
      </x:c>
      <x:c r="K619" s="73" t="s">
        <x:v>2581</x:v>
      </x:c>
      <x:c r="L619" s="73" t="n">
        <x:v>2023</x:v>
      </x:c>
      <x:c r="M619" s="73" t="n">
        <x:v>6</x:v>
      </x:c>
      <x:c r="N619" s="73" t="n">
        <x:v>26</x:v>
      </x:c>
      <x:c r="O619" s="73" t="n">
        <x:v>14</x:v>
      </x:c>
    </x:row>
    <x:row r="620" ht="15" hidden="0">
      <x:c r="A620" s="73" t="n">
        <x:v>619</x:v>
      </x:c>
      <x:c r="B620" s="73" t="n">
        <x:v>623</x:v>
      </x:c>
      <x:c r="C620" s="73" t="s">
        <x:v>2722</x:v>
      </x:c>
      <x:c r="D620" s="73" t="s">
        <x:v>1124</x:v>
      </x:c>
      <x:c r="E620" s="73" t="s">
        <x:v>2723</x:v>
      </x:c>
      <x:c r="F620" s="73" t="s">
        <x:v>2724</x:v>
      </x:c>
      <x:c r="G620" s="73" t="s">
        <x:v>1121</x:v>
      </x:c>
      <x:c r="H620" s="73" t="s">
        <x:v>2725</x:v>
      </x:c>
      <x:c r="I620" s="73" t="n">
        <x:v>20</x:v>
      </x:c>
      <x:c r="J620" s="73" t="n">
        <x:v>40</x:v>
      </x:c>
      <x:c r="K620" s="73" t="s">
        <x:v>2570</x:v>
      </x:c>
      <x:c r="L620" s="73" t="n">
        <x:v>2023</x:v>
      </x:c>
      <x:c r="M620" s="73" t="n">
        <x:v>6</x:v>
      </x:c>
      <x:c r="N620" s="73" t="n">
        <x:v>27</x:v>
      </x:c>
      <x:c r="O620" s="73" t="n">
        <x:v>17</x:v>
      </x:c>
    </x:row>
    <x:row r="621" ht="15" hidden="0">
      <x:c r="A621" s="73" t="n">
        <x:v>620</x:v>
      </x:c>
      <x:c r="B621" s="73" t="n">
        <x:v>624</x:v>
      </x:c>
      <x:c r="C621" s="73" t="s">
        <x:v>2726</x:v>
      </x:c>
      <x:c r="D621" s="73" t="s">
        <x:v>2052</x:v>
      </x:c>
      <x:c r="E621" s="73" t="s">
        <x:v>2727</x:v>
      </x:c>
      <x:c r="F621" s="73" t="s">
        <x:v>2728</x:v>
      </x:c>
      <x:c r="G621" s="73" t="s">
        <x:v>37</x:v>
      </x:c>
      <x:c r="H621" s="73" t="s">
        <x:v>2729</x:v>
      </x:c>
      <x:c r="I621" s="73" t="n">
        <x:v>18</x:v>
      </x:c>
      <x:c r="J621" s="73" t="n">
        <x:v>35</x:v>
      </x:c>
      <x:c r="K621" s="73" t="s">
        <x:v>2581</x:v>
      </x:c>
      <x:c r="L621" s="73" t="n">
        <x:v>2023</x:v>
      </x:c>
      <x:c r="M621" s="73" t="n">
        <x:v>6</x:v>
      </x:c>
      <x:c r="N621" s="73" t="n">
        <x:v>28</x:v>
      </x:c>
      <x:c r="O621" s="73" t="n">
        <x:v>22</x:v>
      </x:c>
    </x:row>
    <x:row r="622" ht="15" hidden="0">
      <x:c r="A622" s="73" t="n">
        <x:v>621</x:v>
      </x:c>
      <x:c r="B622" s="73" t="n">
        <x:v>625</x:v>
      </x:c>
      <x:c r="C622" s="73" t="s">
        <x:v>2730</x:v>
      </x:c>
      <x:c r="D622" s="73" t="s">
        <x:v>2052</x:v>
      </x:c>
      <x:c r="E622" s="73" t="s">
        <x:v>2731</x:v>
      </x:c>
      <x:c r="F622" s="73" t="s">
        <x:v>2732</x:v>
      </x:c>
      <x:c r="G622" s="73" t="s">
        <x:v>31</x:v>
      </x:c>
      <x:c r="H622" s="73" t="s">
        <x:v>2733</x:v>
      </x:c>
      <x:c r="I622" s="73" t="n">
        <x:v>25</x:v>
      </x:c>
      <x:c r="J622" s="73" t="n">
        <x:v>50</x:v>
      </x:c>
      <x:c r="K622" s="73" t="s">
        <x:v>2570</x:v>
      </x:c>
      <x:c r="L622" s="73" t="n">
        <x:v>2023</x:v>
      </x:c>
      <x:c r="M622" s="73" t="n">
        <x:v>6</x:v>
      </x:c>
      <x:c r="N622" s="73" t="n">
        <x:v>29</x:v>
      </x:c>
      <x:c r="O622" s="73" t="n">
        <x:v>16</x:v>
      </x:c>
    </x:row>
    <x:row r="623" ht="15" hidden="0">
      <x:c r="A623" s="73" t="n">
        <x:v>622</x:v>
      </x:c>
      <x:c r="B623" s="73" t="n">
        <x:v>626</x:v>
      </x:c>
      <x:c r="C623" s="73" t="s">
        <x:v>2734</x:v>
      </x:c>
      <x:c r="D623" s="73" t="s">
        <x:v>2070</x:v>
      </x:c>
      <x:c r="E623" s="73" t="s">
        <x:v>2735</x:v>
      </x:c>
      <x:c r="F623" s="73" t="s">
        <x:v>2736</x:v>
      </x:c>
      <x:c r="G623" s="73" t="s">
        <x:v>1121</x:v>
      </x:c>
      <x:c r="H623" s="73" t="s">
        <x:v>2737</x:v>
      </x:c>
      <x:c r="I623" s="73" t="n">
        <x:v>28</x:v>
      </x:c>
      <x:c r="J623" s="73" t="n">
        <x:v>55</x:v>
      </x:c>
      <x:c r="K623" s="73" t="s">
        <x:v>2581</x:v>
      </x:c>
      <x:c r="L623" s="73" t="n">
        <x:v>2023</x:v>
      </x:c>
      <x:c r="M623" s="73" t="n">
        <x:v>6</x:v>
      </x:c>
      <x:c r="N623" s="73" t="n">
        <x:v>30</x:v>
      </x:c>
      <x:c r="O623" s="73" t="n">
        <x:v>19</x:v>
      </x:c>
    </x:row>
    <x:row r="624" ht="15" hidden="0">
      <x:c r="A624" s="73" t="n">
        <x:v>623</x:v>
      </x:c>
      <x:c r="B624" s="73" t="n">
        <x:v>627</x:v>
      </x:c>
      <x:c r="C624" s="73" t="s">
        <x:v>2738</x:v>
      </x:c>
      <x:c r="D624" s="73" t="s">
        <x:v>495</x:v>
      </x:c>
      <x:c r="E624" s="73" t="s">
        <x:v>2739</x:v>
      </x:c>
      <x:c r="F624" s="73" t="s">
        <x:v>2740</x:v>
      </x:c>
      <x:c r="G624" s="73" t="s">
        <x:v>31</x:v>
      </x:c>
      <x:c r="H624" s="73" t="s">
        <x:v>2741</x:v>
      </x:c>
      <x:c r="I624" s="73" t="n">
        <x:v>30</x:v>
      </x:c>
      <x:c r="J624" s="73" t="n">
        <x:v>60</x:v>
      </x:c>
      <x:c r="K624" s="73" t="s">
        <x:v>2570</x:v>
      </x:c>
      <x:c r="L624" s="73" t="n">
        <x:v>2023</x:v>
      </x:c>
      <x:c r="M624" s="73" t="n">
        <x:v>7</x:v>
      </x:c>
      <x:c r="N624" s="73" t="n">
        <x:v>1</x:v>
      </x:c>
      <x:c r="O624" s="73" t="n">
        <x:v>14</x:v>
      </x:c>
    </x:row>
    <x:row r="625" ht="15" hidden="0">
      <x:c r="A625" s="73" t="n">
        <x:v>624</x:v>
      </x:c>
      <x:c r="B625" s="73" t="n">
        <x:v>628</x:v>
      </x:c>
      <x:c r="C625" s="73" t="s">
        <x:v>2742</x:v>
      </x:c>
      <x:c r="D625" s="73" t="s">
        <x:v>2052</x:v>
      </x:c>
      <x:c r="E625" s="73" t="s">
        <x:v>2743</x:v>
      </x:c>
      <x:c r="F625" s="73" t="s">
        <x:v>2744</x:v>
      </x:c>
      <x:c r="G625" s="73" t="s">
        <x:v>37</x:v>
      </x:c>
      <x:c r="H625" s="73" t="s">
        <x:v>2745</x:v>
      </x:c>
      <x:c r="I625" s="73" t="n">
        <x:v>22</x:v>
      </x:c>
      <x:c r="J625" s="73" t="n">
        <x:v>45</x:v>
      </x:c>
      <x:c r="K625" s="73" t="s">
        <x:v>2581</x:v>
      </x:c>
      <x:c r="L625" s="73" t="n">
        <x:v>2023</x:v>
      </x:c>
      <x:c r="M625" s="73" t="n">
        <x:v>7</x:v>
      </x:c>
      <x:c r="N625" s="73" t="n">
        <x:v>2</x:v>
      </x:c>
      <x:c r="O625" s="73" t="n">
        <x:v>18</x:v>
      </x:c>
    </x:row>
    <x:row r="626" ht="15" hidden="0">
      <x:c r="A626" s="73" t="n">
        <x:v>625</x:v>
      </x:c>
      <x:c r="B626" s="73" t="n">
        <x:v>629</x:v>
      </x:c>
      <x:c r="C626" s="73" t="s">
        <x:v>2746</x:v>
      </x:c>
      <x:c r="D626" s="73" t="s">
        <x:v>2052</x:v>
      </x:c>
      <x:c r="E626" s="73" t="s">
        <x:v>2747</x:v>
      </x:c>
      <x:c r="F626" s="73" t="s">
        <x:v>2748</x:v>
      </x:c>
      <x:c r="G626" s="73" t="s">
        <x:v>1121</x:v>
      </x:c>
      <x:c r="H626" s="73" t="s">
        <x:v>2749</x:v>
      </x:c>
      <x:c r="I626" s="73" t="n">
        <x:v>28</x:v>
      </x:c>
      <x:c r="J626" s="73" t="n">
        <x:v>55</x:v>
      </x:c>
      <x:c r="K626" s="73" t="s">
        <x:v>2576</x:v>
      </x:c>
      <x:c r="L626" s="73" t="n">
        <x:v>2023</x:v>
      </x:c>
      <x:c r="M626" s="73" t="n">
        <x:v>7</x:v>
      </x:c>
      <x:c r="N626" s="73" t="n">
        <x:v>3</x:v>
      </x:c>
      <x:c r="O626" s="73" t="n">
        <x:v>12</x:v>
      </x:c>
    </x:row>
    <x:row r="627" ht="15" hidden="0">
      <x:c r="A627" s="73" t="n">
        <x:v>626</x:v>
      </x:c>
      <x:c r="B627" s="73" t="n">
        <x:v>630</x:v>
      </x:c>
      <x:c r="C627" s="73" t="s">
        <x:v>2750</x:v>
      </x:c>
      <x:c r="D627" s="73" t="s">
        <x:v>1124</x:v>
      </x:c>
      <x:c r="E627" s="73" t="s">
        <x:v>2751</x:v>
      </x:c>
      <x:c r="F627" s="73" t="s">
        <x:v>2752</x:v>
      </x:c>
      <x:c r="G627" s="73" t="s">
        <x:v>31</x:v>
      </x:c>
      <x:c r="H627" s="73" t="s">
        <x:v>2753</x:v>
      </x:c>
      <x:c r="I627" s="73" t="n">
        <x:v>35</x:v>
      </x:c>
      <x:c r="J627" s="73" t="n">
        <x:v>70</x:v>
      </x:c>
      <x:c r="K627" s="73" t="s">
        <x:v>2570</x:v>
      </x:c>
      <x:c r="L627" s="73" t="n">
        <x:v>2023</x:v>
      </x:c>
      <x:c r="M627" s="73" t="n">
        <x:v>7</x:v>
      </x:c>
      <x:c r="N627" s="73" t="n">
        <x:v>4</x:v>
      </x:c>
      <x:c r="O627" s="73" t="n">
        <x:v>17</x:v>
      </x:c>
    </x:row>
    <x:row r="628" ht="15" hidden="0">
      <x:c r="A628" s="73" t="n">
        <x:v>627</x:v>
      </x:c>
      <x:c r="B628" s="73" t="n">
        <x:v>631</x:v>
      </x:c>
      <x:c r="C628" s="73" t="s">
        <x:v>2754</x:v>
      </x:c>
      <x:c r="D628" s="73" t="s">
        <x:v>2052</x:v>
      </x:c>
      <x:c r="E628" s="73" t="s">
        <x:v>2755</x:v>
      </x:c>
      <x:c r="F628" s="73" t="s">
        <x:v>2756</x:v>
      </x:c>
      <x:c r="G628" s="73" t="s">
        <x:v>1121</x:v>
      </x:c>
      <x:c r="H628" s="73" t="s">
        <x:v>2757</x:v>
      </x:c>
      <x:c r="I628" s="73" t="n">
        <x:v>18</x:v>
      </x:c>
      <x:c r="J628" s="73" t="n">
        <x:v>35</x:v>
      </x:c>
      <x:c r="K628" s="73" t="s">
        <x:v>2581</x:v>
      </x:c>
      <x:c r="L628" s="73" t="n">
        <x:v>2023</x:v>
      </x:c>
      <x:c r="M628" s="73" t="n">
        <x:v>7</x:v>
      </x:c>
      <x:c r="N628" s="73" t="n">
        <x:v>5</x:v>
      </x:c>
      <x:c r="O628" s="73" t="n">
        <x:v>20</x:v>
      </x:c>
    </x:row>
    <x:row r="629" ht="15" hidden="0">
      <x:c r="A629" s="73" t="n">
        <x:v>628</x:v>
      </x:c>
      <x:c r="B629" s="73" t="n">
        <x:v>632</x:v>
      </x:c>
      <x:c r="C629" s="73" t="s">
        <x:v>2758</x:v>
      </x:c>
      <x:c r="D629" s="73" t="s">
        <x:v>2052</x:v>
      </x:c>
      <x:c r="E629" s="73" t="s">
        <x:v>2759</x:v>
      </x:c>
      <x:c r="F629" s="73" t="s">
        <x:v>2760</x:v>
      </x:c>
      <x:c r="G629" s="73" t="s">
        <x:v>37</x:v>
      </x:c>
      <x:c r="H629" s="73" t="s">
        <x:v>2761</x:v>
      </x:c>
      <x:c r="I629" s="73" t="n">
        <x:v>25</x:v>
      </x:c>
      <x:c r="J629" s="73" t="n">
        <x:v>50</x:v>
      </x:c>
      <x:c r="K629" s="73" t="s">
        <x:v>2570</x:v>
      </x:c>
      <x:c r="L629" s="73" t="n">
        <x:v>2023</x:v>
      </x:c>
      <x:c r="M629" s="73" t="n">
        <x:v>7</x:v>
      </x:c>
      <x:c r="N629" s="73" t="n">
        <x:v>6</x:v>
      </x:c>
      <x:c r="O629" s="73" t="n">
        <x:v>14</x:v>
      </x:c>
    </x:row>
    <x:row r="630" ht="15" hidden="0">
      <x:c r="A630" s="73" t="n">
        <x:v>629</x:v>
      </x:c>
      <x:c r="B630" s="73" t="n">
        <x:v>633</x:v>
      </x:c>
      <x:c r="C630" s="73" t="s">
        <x:v>2762</x:v>
      </x:c>
      <x:c r="D630" s="73" t="s">
        <x:v>2052</x:v>
      </x:c>
      <x:c r="E630" s="73" t="s">
        <x:v>2763</x:v>
      </x:c>
      <x:c r="F630" s="73" t="s">
        <x:v>2764</x:v>
      </x:c>
      <x:c r="G630" s="73" t="s">
        <x:v>31</x:v>
      </x:c>
      <x:c r="H630" s="73" t="s">
        <x:v>2765</x:v>
      </x:c>
      <x:c r="I630" s="73" t="n">
        <x:v>22</x:v>
      </x:c>
      <x:c r="J630" s="73" t="n">
        <x:v>45</x:v>
      </x:c>
      <x:c r="K630" s="73" t="s">
        <x:v>2581</x:v>
      </x:c>
      <x:c r="L630" s="73" t="n">
        <x:v>2023</x:v>
      </x:c>
      <x:c r="M630" s="73" t="n">
        <x:v>7</x:v>
      </x:c>
      <x:c r="N630" s="73" t="n">
        <x:v>7</x:v>
      </x:c>
      <x:c r="O630" s="73" t="n">
        <x:v>19</x:v>
      </x:c>
    </x:row>
    <x:row r="631" ht="15" hidden="0">
      <x:c r="A631" s="73" t="n">
        <x:v>630</x:v>
      </x:c>
      <x:c r="B631" s="73" t="n">
        <x:v>634</x:v>
      </x:c>
      <x:c r="C631" s="73" t="s">
        <x:v>2766</x:v>
      </x:c>
      <x:c r="D631" s="73" t="s">
        <x:v>1124</x:v>
      </x:c>
      <x:c r="E631" s="73" t="s">
        <x:v>2767</x:v>
      </x:c>
      <x:c r="F631" s="73" t="s">
        <x:v>2768</x:v>
      </x:c>
      <x:c r="G631" s="73" t="s">
        <x:v>1121</x:v>
      </x:c>
      <x:c r="H631" s="73" t="s">
        <x:v>2769</x:v>
      </x:c>
      <x:c r="I631" s="73" t="n">
        <x:v>30</x:v>
      </x:c>
      <x:c r="J631" s="73" t="n">
        <x:v>60</x:v>
      </x:c>
      <x:c r="K631" s="73" t="s">
        <x:v>2576</x:v>
      </x:c>
      <x:c r="L631" s="73" t="n">
        <x:v>2023</x:v>
      </x:c>
      <x:c r="M631" s="73" t="n">
        <x:v>7</x:v>
      </x:c>
      <x:c r="N631" s="73" t="n">
        <x:v>8</x:v>
      </x:c>
      <x:c r="O631" s="73" t="n">
        <x:v>16</x:v>
      </x:c>
    </x:row>
    <x:row r="632" ht="15" hidden="0">
      <x:c r="A632" s="73" t="n">
        <x:v>631</x:v>
      </x:c>
      <x:c r="B632" s="73" t="n">
        <x:v>635</x:v>
      </x:c>
      <x:c r="C632" s="73" t="s">
        <x:v>2770</x:v>
      </x:c>
      <x:c r="D632" s="73" t="s">
        <x:v>2052</x:v>
      </x:c>
      <x:c r="E632" s="73" t="s">
        <x:v>2771</x:v>
      </x:c>
      <x:c r="F632" s="73" t="s">
        <x:v>2772</x:v>
      </x:c>
      <x:c r="G632" s="73" t="s">
        <x:v>37</x:v>
      </x:c>
      <x:c r="H632" s="73" t="s">
        <x:v>2773</x:v>
      </x:c>
      <x:c r="I632" s="73" t="n">
        <x:v>20</x:v>
      </x:c>
      <x:c r="J632" s="73" t="n">
        <x:v>40</x:v>
      </x:c>
      <x:c r="K632" s="73" t="s">
        <x:v>2570</x:v>
      </x:c>
      <x:c r="L632" s="73" t="n">
        <x:v>2023</x:v>
      </x:c>
      <x:c r="M632" s="73" t="n">
        <x:v>7</x:v>
      </x:c>
      <x:c r="N632" s="73" t="n">
        <x:v>9</x:v>
      </x:c>
      <x:c r="O632" s="73" t="n">
        <x:v>22</x:v>
      </x:c>
    </x:row>
    <x:row r="633" ht="15" hidden="0">
      <x:c r="A633" s="73" t="n">
        <x:v>632</x:v>
      </x:c>
      <x:c r="B633" s="73" t="n">
        <x:v>636</x:v>
      </x:c>
      <x:c r="C633" s="73" t="s">
        <x:v>2774</x:v>
      </x:c>
      <x:c r="D633" s="73" t="s">
        <x:v>495</x:v>
      </x:c>
      <x:c r="E633" s="73" t="s">
        <x:v>2775</x:v>
      </x:c>
      <x:c r="F633" s="73" t="s">
        <x:v>2776</x:v>
      </x:c>
      <x:c r="G633" s="73" t="s">
        <x:v>31</x:v>
      </x:c>
      <x:c r="H633" s="73" t="s">
        <x:v>2777</x:v>
      </x:c>
      <x:c r="I633" s="73" t="n">
        <x:v>28</x:v>
      </x:c>
      <x:c r="J633" s="73" t="n">
        <x:v>55</x:v>
      </x:c>
      <x:c r="K633" s="73" t="s">
        <x:v>2581</x:v>
      </x:c>
      <x:c r="L633" s="73" t="n">
        <x:v>2023</x:v>
      </x:c>
      <x:c r="M633" s="73" t="n">
        <x:v>7</x:v>
      </x:c>
      <x:c r="N633" s="73" t="n">
        <x:v>10</x:v>
      </x:c>
      <x:c r="O633" s="73" t="n">
        <x:v>14</x:v>
      </x:c>
    </x:row>
    <x:row r="634" ht="15" hidden="0">
      <x:c r="A634" s="73" t="n">
        <x:v>633</x:v>
      </x:c>
      <x:c r="B634" s="73" t="n">
        <x:v>637</x:v>
      </x:c>
      <x:c r="C634" s="73" t="s">
        <x:v>2778</x:v>
      </x:c>
      <x:c r="D634" s="73" t="s">
        <x:v>2070</x:v>
      </x:c>
      <x:c r="E634" s="73" t="s">
        <x:v>2779</x:v>
      </x:c>
      <x:c r="F634" s="73" t="s">
        <x:v>2780</x:v>
      </x:c>
      <x:c r="G634" s="73" t="s">
        <x:v>1121</x:v>
      </x:c>
      <x:c r="H634" s="73" t="s">
        <x:v>2781</x:v>
      </x:c>
      <x:c r="I634" s="73" t="n">
        <x:v>22</x:v>
      </x:c>
      <x:c r="J634" s="73" t="n">
        <x:v>45</x:v>
      </x:c>
      <x:c r="K634" s="73" t="s">
        <x:v>2576</x:v>
      </x:c>
      <x:c r="L634" s="73" t="n">
        <x:v>2023</x:v>
      </x:c>
      <x:c r="M634" s="73" t="n">
        <x:v>7</x:v>
      </x:c>
      <x:c r="N634" s="73" t="n">
        <x:v>11</x:v>
      </x:c>
      <x:c r="O634" s="73" t="n">
        <x:v>18</x:v>
      </x:c>
    </x:row>
    <x:row r="635" ht="15" hidden="0">
      <x:c r="A635" s="73" t="n">
        <x:v>634</x:v>
      </x:c>
      <x:c r="B635" s="73" t="n">
        <x:v>638</x:v>
      </x:c>
      <x:c r="C635" s="73" t="s">
        <x:v>2782</x:v>
      </x:c>
      <x:c r="D635" s="73" t="s">
        <x:v>495</x:v>
      </x:c>
      <x:c r="E635" s="73" t="s">
        <x:v>2783</x:v>
      </x:c>
      <x:c r="F635" s="73" t="s">
        <x:v>2784</x:v>
      </x:c>
      <x:c r="G635" s="73" t="s">
        <x:v>37</x:v>
      </x:c>
      <x:c r="H635" s="73" t="s">
        <x:v>2785</x:v>
      </x:c>
      <x:c r="I635" s="73" t="n">
        <x:v>25</x:v>
      </x:c>
      <x:c r="J635" s="73" t="n">
        <x:v>50</x:v>
      </x:c>
      <x:c r="K635" s="73" t="s">
        <x:v>2570</x:v>
      </x:c>
      <x:c r="L635" s="73" t="n">
        <x:v>2023</x:v>
      </x:c>
      <x:c r="M635" s="73" t="n">
        <x:v>7</x:v>
      </x:c>
      <x:c r="N635" s="73" t="n">
        <x:v>12</x:v>
      </x:c>
      <x:c r="O635" s="73" t="n">
        <x:v>13</x:v>
      </x:c>
    </x:row>
    <x:row r="636" ht="15" hidden="0">
      <x:c r="A636" s="73" t="n">
        <x:v>635</x:v>
      </x:c>
      <x:c r="B636" s="73" t="n">
        <x:v>639</x:v>
      </x:c>
      <x:c r="C636" s="73" t="s">
        <x:v>2786</x:v>
      </x:c>
      <x:c r="D636" s="73" t="s">
        <x:v>2052</x:v>
      </x:c>
      <x:c r="E636" s="73" t="s">
        <x:v>2787</x:v>
      </x:c>
      <x:c r="F636" s="73" t="s">
        <x:v>2788</x:v>
      </x:c>
      <x:c r="G636" s="73" t="s">
        <x:v>31</x:v>
      </x:c>
      <x:c r="H636" s="73" t="s">
        <x:v>2789</x:v>
      </x:c>
      <x:c r="I636" s="73" t="n">
        <x:v>35</x:v>
      </x:c>
      <x:c r="J636" s="73" t="n">
        <x:v>70</x:v>
      </x:c>
      <x:c r="K636" s="73" t="s">
        <x:v>2581</x:v>
      </x:c>
      <x:c r="L636" s="73" t="n">
        <x:v>2023</x:v>
      </x:c>
      <x:c r="M636" s="73" t="n">
        <x:v>7</x:v>
      </x:c>
      <x:c r="N636" s="73" t="n">
        <x:v>13</x:v>
      </x:c>
      <x:c r="O636" s="73" t="n">
        <x:v>20</x:v>
      </x:c>
    </x:row>
    <x:row r="637" ht="15" hidden="0">
      <x:c r="A637" s="73" t="n">
        <x:v>636</x:v>
      </x:c>
      <x:c r="B637" s="73" t="n">
        <x:v>640</x:v>
      </x:c>
      <x:c r="C637" s="73" t="s">
        <x:v>2790</x:v>
      </x:c>
      <x:c r="D637" s="73" t="s">
        <x:v>2052</x:v>
      </x:c>
      <x:c r="E637" s="73" t="s">
        <x:v>2791</x:v>
      </x:c>
      <x:c r="F637" s="73" t="s">
        <x:v>2792</x:v>
      </x:c>
      <x:c r="G637" s="73" t="s">
        <x:v>1121</x:v>
      </x:c>
      <x:c r="H637" s="73" t="s">
        <x:v>2793</x:v>
      </x:c>
      <x:c r="I637" s="73" t="n">
        <x:v>20</x:v>
      </x:c>
      <x:c r="J637" s="73" t="n">
        <x:v>40</x:v>
      </x:c>
      <x:c r="K637" s="73" t="s">
        <x:v>2570</x:v>
      </x:c>
      <x:c r="L637" s="73" t="n">
        <x:v>2023</x:v>
      </x:c>
      <x:c r="M637" s="73" t="n">
        <x:v>7</x:v>
      </x:c>
      <x:c r="N637" s="73" t="n">
        <x:v>14</x:v>
      </x:c>
      <x:c r="O637" s="73" t="n">
        <x:v>16</x:v>
      </x:c>
    </x:row>
    <x:row r="638" ht="15" hidden="0">
      <x:c r="A638" s="73" t="n">
        <x:v>637</x:v>
      </x:c>
      <x:c r="B638" s="73" t="n">
        <x:v>641</x:v>
      </x:c>
      <x:c r="C638" s="73" t="s">
        <x:v>2794</x:v>
      </x:c>
      <x:c r="D638" s="73" t="s">
        <x:v>2052</x:v>
      </x:c>
      <x:c r="E638" s="73" t="s">
        <x:v>2795</x:v>
      </x:c>
      <x:c r="F638" s="73" t="s">
        <x:v>2796</x:v>
      </x:c>
      <x:c r="G638" s="73" t="s">
        <x:v>37</x:v>
      </x:c>
      <x:c r="H638" s="73" t="s">
        <x:v>2797</x:v>
      </x:c>
      <x:c r="I638" s="73" t="n">
        <x:v>28</x:v>
      </x:c>
      <x:c r="J638" s="73" t="n">
        <x:v>55</x:v>
      </x:c>
      <x:c r="K638" s="73" t="s">
        <x:v>2576</x:v>
      </x:c>
      <x:c r="L638" s="73" t="n">
        <x:v>2023</x:v>
      </x:c>
      <x:c r="M638" s="73" t="n">
        <x:v>7</x:v>
      </x:c>
      <x:c r="N638" s="73" t="n">
        <x:v>15</x:v>
      </x:c>
      <x:c r="O638" s="73" t="n">
        <x:v>19</x:v>
      </x:c>
    </x:row>
    <x:row r="639" ht="15" hidden="0">
      <x:c r="A639" s="73" t="n">
        <x:v>638</x:v>
      </x:c>
      <x:c r="B639" s="73" t="n">
        <x:v>642</x:v>
      </x:c>
      <x:c r="C639" s="73" t="s">
        <x:v>2798</x:v>
      </x:c>
      <x:c r="D639" s="73" t="s">
        <x:v>2070</x:v>
      </x:c>
      <x:c r="E639" s="73" t="s">
        <x:v>2799</x:v>
      </x:c>
      <x:c r="F639" s="73" t="s">
        <x:v>2800</x:v>
      </x:c>
      <x:c r="G639" s="73" t="s">
        <x:v>31</x:v>
      </x:c>
      <x:c r="H639" s="73" t="s">
        <x:v>2801</x:v>
      </x:c>
      <x:c r="I639" s="73" t="n">
        <x:v>30</x:v>
      </x:c>
      <x:c r="J639" s="73" t="n">
        <x:v>60</x:v>
      </x:c>
      <x:c r="K639" s="73" t="s">
        <x:v>2570</x:v>
      </x:c>
      <x:c r="L639" s="73" t="n">
        <x:v>2023</x:v>
      </x:c>
      <x:c r="M639" s="73" t="n">
        <x:v>7</x:v>
      </x:c>
      <x:c r="N639" s="73" t="n">
        <x:v>16</x:v>
      </x:c>
      <x:c r="O639" s="73" t="n">
        <x:v>14</x:v>
      </x:c>
    </x:row>
    <x:row r="640" ht="15" hidden="0">
      <x:c r="A640" s="73" t="n">
        <x:v>639</x:v>
      </x:c>
      <x:c r="B640" s="73" t="n">
        <x:v>643</x:v>
      </x:c>
      <x:c r="C640" s="73" t="s">
        <x:v>2802</x:v>
      </x:c>
      <x:c r="D640" s="73" t="s">
        <x:v>1183</x:v>
      </x:c>
      <x:c r="E640" s="73" t="s">
        <x:v>2803</x:v>
      </x:c>
      <x:c r="F640" s="73" t="s">
        <x:v>2804</x:v>
      </x:c>
      <x:c r="G640" s="73" t="s">
        <x:v>1121</x:v>
      </x:c>
      <x:c r="H640" s="73" t="s">
        <x:v>2805</x:v>
      </x:c>
      <x:c r="I640" s="73" t="n">
        <x:v>18</x:v>
      </x:c>
      <x:c r="J640" s="73" t="n">
        <x:v>35</x:v>
      </x:c>
      <x:c r="K640" s="73" t="s">
        <x:v>2581</x:v>
      </x:c>
      <x:c r="L640" s="73" t="n">
        <x:v>2023</x:v>
      </x:c>
      <x:c r="M640" s="73" t="n">
        <x:v>7</x:v>
      </x:c>
      <x:c r="N640" s="73" t="n">
        <x:v>17</x:v>
      </x:c>
      <x:c r="O640" s="73" t="n">
        <x:v>22</x:v>
      </x:c>
    </x:row>
    <x:row r="641" ht="15" hidden="0">
      <x:c r="A641" s="73" t="n">
        <x:v>640</x:v>
      </x:c>
      <x:c r="B641" s="73" t="n">
        <x:v>644</x:v>
      </x:c>
      <x:c r="C641" s="73" t="s">
        <x:v>2806</x:v>
      </x:c>
      <x:c r="D641" s="73" t="s">
        <x:v>2052</x:v>
      </x:c>
      <x:c r="E641" s="73" t="s">
        <x:v>2807</x:v>
      </x:c>
      <x:c r="F641" s="73" t="s">
        <x:v>2808</x:v>
      </x:c>
      <x:c r="G641" s="73" t="s">
        <x:v>37</x:v>
      </x:c>
      <x:c r="H641" s="73" t="s">
        <x:v>2733</x:v>
      </x:c>
      <x:c r="I641" s="73" t="n">
        <x:v>25</x:v>
      </x:c>
      <x:c r="J641" s="73" t="n">
        <x:v>50</x:v>
      </x:c>
      <x:c r="K641" s="73" t="s">
        <x:v>2570</x:v>
      </x:c>
      <x:c r="L641" s="73" t="n">
        <x:v>2023</x:v>
      </x:c>
      <x:c r="M641" s="73" t="n">
        <x:v>7</x:v>
      </x:c>
      <x:c r="N641" s="73" t="n">
        <x:v>18</x:v>
      </x:c>
      <x:c r="O641" s="73" t="n">
        <x:v>16</x:v>
      </x:c>
    </x:row>
    <x:row r="642" ht="15" hidden="0">
      <x:c r="A642" s="73" t="n">
        <x:v>641</x:v>
      </x:c>
      <x:c r="B642" s="73" t="n">
        <x:v>645</x:v>
      </x:c>
      <x:c r="C642" s="73" t="s">
        <x:v>2809</x:v>
      </x:c>
      <x:c r="D642" s="73" t="s">
        <x:v>2070</x:v>
      </x:c>
      <x:c r="E642" s="73" t="s">
        <x:v>2810</x:v>
      </x:c>
      <x:c r="F642" s="73" t="s">
        <x:v>2811</x:v>
      </x:c>
      <x:c r="G642" s="73" t="s">
        <x:v>31</x:v>
      </x:c>
      <x:c r="H642" s="73" t="s">
        <x:v>2812</x:v>
      </x:c>
      <x:c r="I642" s="73" t="n">
        <x:v>22</x:v>
      </x:c>
      <x:c r="J642" s="73" t="n">
        <x:v>45</x:v>
      </x:c>
      <x:c r="K642" s="73" t="s">
        <x:v>2581</x:v>
      </x:c>
      <x:c r="L642" s="73" t="n">
        <x:v>2023</x:v>
      </x:c>
      <x:c r="M642" s="73" t="n">
        <x:v>7</x:v>
      </x:c>
      <x:c r="N642" s="73" t="n">
        <x:v>19</x:v>
      </x:c>
      <x:c r="O642" s="73" t="n">
        <x:v>19</x:v>
      </x:c>
    </x:row>
    <x:row r="643" ht="15" hidden="0">
      <x:c r="A643" s="73" t="n">
        <x:v>642</x:v>
      </x:c>
      <x:c r="B643" s="73" t="n">
        <x:v>646</x:v>
      </x:c>
      <x:c r="C643" s="73" t="s">
        <x:v>2813</x:v>
      </x:c>
      <x:c r="D643" s="73" t="s">
        <x:v>495</x:v>
      </x:c>
      <x:c r="E643" s="73" t="s">
        <x:v>2814</x:v>
      </x:c>
      <x:c r="F643" s="73" t="s">
        <x:v>2815</x:v>
      </x:c>
      <x:c r="G643" s="73" t="s">
        <x:v>1121</x:v>
      </x:c>
      <x:c r="H643" s="73" t="s">
        <x:v>2816</x:v>
      </x:c>
      <x:c r="I643" s="73" t="n">
        <x:v>30</x:v>
      </x:c>
      <x:c r="J643" s="73" t="n">
        <x:v>60</x:v>
      </x:c>
      <x:c r="K643" s="73" t="s">
        <x:v>2576</x:v>
      </x:c>
      <x:c r="L643" s="73" t="n">
        <x:v>2023</x:v>
      </x:c>
      <x:c r="M643" s="73" t="n">
        <x:v>7</x:v>
      </x:c>
      <x:c r="N643" s="73" t="n">
        <x:v>20</x:v>
      </x:c>
      <x:c r="O643" s="73" t="n">
        <x:v>17</x:v>
      </x:c>
    </x:row>
    <x:row r="644" ht="15" hidden="0">
      <x:c r="A644" s="73" t="n">
        <x:v>643</x:v>
      </x:c>
      <x:c r="B644" s="73" t="n">
        <x:v>647</x:v>
      </x:c>
      <x:c r="C644" s="73" t="s">
        <x:v>2817</x:v>
      </x:c>
      <x:c r="D644" s="73" t="s">
        <x:v>2818</x:v>
      </x:c>
      <x:c r="E644" s="73" t="s">
        <x:v>2819</x:v>
      </x:c>
      <x:c r="F644" s="73" t="s">
        <x:v>2820</x:v>
      </x:c>
      <x:c r="G644" s="73" t="s">
        <x:v>31</x:v>
      </x:c>
      <x:c r="H644" s="73" t="s">
        <x:v>2821</x:v>
      </x:c>
      <x:c r="I644" s="73" t="n">
        <x:v>20</x:v>
      </x:c>
      <x:c r="J644" s="73" t="n">
        <x:v>40</x:v>
      </x:c>
      <x:c r="K644" s="73" t="s">
        <x:v>2570</x:v>
      </x:c>
      <x:c r="L644" s="73" t="n">
        <x:v>2023</x:v>
      </x:c>
      <x:c r="M644" s="73" t="n">
        <x:v>8</x:v>
      </x:c>
      <x:c r="N644" s="73" t="n">
        <x:v>1</x:v>
      </x:c>
      <x:c r="O644" s="73" t="n">
        <x:v>13</x:v>
      </x:c>
    </x:row>
    <x:row r="645" ht="15" hidden="0">
      <x:c r="A645" s="73" t="n">
        <x:v>644</x:v>
      </x:c>
      <x:c r="B645" s="73" t="n">
        <x:v>648</x:v>
      </x:c>
      <x:c r="C645" s="73" t="s">
        <x:v>2822</x:v>
      </x:c>
      <x:c r="D645" s="73" t="s">
        <x:v>495</x:v>
      </x:c>
      <x:c r="E645" s="73" t="s">
        <x:v>2823</x:v>
      </x:c>
      <x:c r="F645" s="73" t="s">
        <x:v>2824</x:v>
      </x:c>
      <x:c r="G645" s="73" t="s">
        <x:v>1121</x:v>
      </x:c>
      <x:c r="H645" s="73" t="s">
        <x:v>2825</x:v>
      </x:c>
      <x:c r="I645" s="73" t="n">
        <x:v>25</x:v>
      </x:c>
      <x:c r="J645" s="73" t="n">
        <x:v>50</x:v>
      </x:c>
      <x:c r="K645" s="73" t="s">
        <x:v>2581</x:v>
      </x:c>
      <x:c r="L645" s="73" t="n">
        <x:v>2023</x:v>
      </x:c>
      <x:c r="M645" s="73" t="n">
        <x:v>8</x:v>
      </x:c>
      <x:c r="N645" s="73" t="n">
        <x:v>2</x:v>
      </x:c>
      <x:c r="O645" s="73" t="n">
        <x:v>14</x:v>
      </x:c>
    </x:row>
    <x:row r="646" ht="15" hidden="0">
      <x:c r="A646" s="73" t="n">
        <x:v>645</x:v>
      </x:c>
      <x:c r="B646" s="73" t="n">
        <x:v>649</x:v>
      </x:c>
      <x:c r="C646" s="73" t="s">
        <x:v>2826</x:v>
      </x:c>
      <x:c r="D646" s="73" t="s">
        <x:v>495</x:v>
      </x:c>
      <x:c r="E646" s="73" t="s">
        <x:v>2827</x:v>
      </x:c>
      <x:c r="F646" s="73" t="s">
        <x:v>2828</x:v>
      </x:c>
      <x:c r="G646" s="73" t="s">
        <x:v>37</x:v>
      </x:c>
      <x:c r="H646" s="73" t="s">
        <x:v>2829</x:v>
      </x:c>
      <x:c r="I646" s="73" t="n">
        <x:v>18</x:v>
      </x:c>
      <x:c r="J646" s="73" t="n">
        <x:v>35</x:v>
      </x:c>
      <x:c r="K646" s="73" t="s">
        <x:v>2576</x:v>
      </x:c>
      <x:c r="L646" s="73" t="n">
        <x:v>2023</x:v>
      </x:c>
      <x:c r="M646" s="73" t="n">
        <x:v>8</x:v>
      </x:c>
      <x:c r="N646" s="73" t="n">
        <x:v>3</x:v>
      </x:c>
      <x:c r="O646" s="73" t="n">
        <x:v>12</x:v>
      </x:c>
    </x:row>
    <x:row r="647" ht="15" hidden="0">
      <x:c r="A647" s="73" t="n">
        <x:v>646</x:v>
      </x:c>
      <x:c r="B647" s="73" t="n">
        <x:v>650</x:v>
      </x:c>
      <x:c r="C647" s="73" t="s">
        <x:v>2830</x:v>
      </x:c>
      <x:c r="D647" s="73" t="s">
        <x:v>2052</x:v>
      </x:c>
      <x:c r="E647" s="73" t="s">
        <x:v>2831</x:v>
      </x:c>
      <x:c r="F647" s="73" t="s">
        <x:v>2832</x:v>
      </x:c>
      <x:c r="G647" s="73" t="s">
        <x:v>31</x:v>
      </x:c>
      <x:c r="H647" s="73" t="s">
        <x:v>2833</x:v>
      </x:c>
      <x:c r="I647" s="73" t="n">
        <x:v>22</x:v>
      </x:c>
      <x:c r="J647" s="73" t="n">
        <x:v>45</x:v>
      </x:c>
      <x:c r="K647" s="73" t="s">
        <x:v>2570</x:v>
      </x:c>
      <x:c r="L647" s="73" t="n">
        <x:v>2023</x:v>
      </x:c>
      <x:c r="M647" s="73" t="n">
        <x:v>8</x:v>
      </x:c>
      <x:c r="N647" s="73" t="n">
        <x:v>4</x:v>
      </x:c>
      <x:c r="O647" s="73" t="n">
        <x:v>16</x:v>
      </x:c>
    </x:row>
    <x:row r="648" ht="15" hidden="0">
      <x:c r="A648" s="73" t="n">
        <x:v>647</x:v>
      </x:c>
      <x:c r="B648" s="73" t="n">
        <x:v>651</x:v>
      </x:c>
      <x:c r="C648" s="73" t="s">
        <x:v>2834</x:v>
      </x:c>
      <x:c r="D648" s="73" t="s">
        <x:v>495</x:v>
      </x:c>
      <x:c r="E648" s="73" t="s">
        <x:v>2835</x:v>
      </x:c>
      <x:c r="F648" s="73" t="s">
        <x:v>2836</x:v>
      </x:c>
      <x:c r="G648" s="73" t="s">
        <x:v>1121</x:v>
      </x:c>
      <x:c r="H648" s="73" t="s">
        <x:v>2837</x:v>
      </x:c>
      <x:c r="I648" s="73" t="n">
        <x:v>30</x:v>
      </x:c>
      <x:c r="J648" s="73" t="n">
        <x:v>60</x:v>
      </x:c>
      <x:c r="K648" s="73" t="s">
        <x:v>2576</x:v>
      </x:c>
      <x:c r="L648" s="73" t="n">
        <x:v>2023</x:v>
      </x:c>
      <x:c r="M648" s="73" t="n">
        <x:v>8</x:v>
      </x:c>
      <x:c r="N648" s="73" t="n">
        <x:v>5</x:v>
      </x:c>
      <x:c r="O648" s="73" t="n">
        <x:v>19</x:v>
      </x:c>
    </x:row>
    <x:row r="649" ht="15" hidden="0">
      <x:c r="A649" s="73" t="n">
        <x:v>648</x:v>
      </x:c>
      <x:c r="B649" s="73" t="n">
        <x:v>652</x:v>
      </x:c>
      <x:c r="C649" s="73" t="s">
        <x:v>2838</x:v>
      </x:c>
      <x:c r="D649" s="73" t="s">
        <x:v>2839</x:v>
      </x:c>
      <x:c r="E649" s="73" t="s">
        <x:v>2840</x:v>
      </x:c>
      <x:c r="F649" s="73" t="s">
        <x:v>2841</x:v>
      </x:c>
      <x:c r="G649" s="73" t="s">
        <x:v>37</x:v>
      </x:c>
      <x:c r="H649" s="73" t="s">
        <x:v>2842</x:v>
      </x:c>
      <x:c r="I649" s="73" t="n">
        <x:v>28</x:v>
      </x:c>
      <x:c r="J649" s="73" t="n">
        <x:v>55</x:v>
      </x:c>
      <x:c r="K649" s="73" t="s">
        <x:v>2570</x:v>
      </x:c>
      <x:c r="L649" s="73" t="n">
        <x:v>2023</x:v>
      </x:c>
      <x:c r="M649" s="73" t="n">
        <x:v>8</x:v>
      </x:c>
      <x:c r="N649" s="73" t="n">
        <x:v>6</x:v>
      </x:c>
      <x:c r="O649" s="73" t="n">
        <x:v>14</x:v>
      </x:c>
    </x:row>
    <x:row r="650" ht="15" hidden="0">
      <x:c r="A650" s="73" t="n">
        <x:v>649</x:v>
      </x:c>
      <x:c r="B650" s="73" t="n">
        <x:v>653</x:v>
      </x:c>
      <x:c r="C650" s="73" t="s">
        <x:v>2843</x:v>
      </x:c>
      <x:c r="D650" s="73" t="s">
        <x:v>2844</x:v>
      </x:c>
      <x:c r="E650" s="73" t="s">
        <x:v>2845</x:v>
      </x:c>
      <x:c r="F650" s="73" t="s">
        <x:v>2846</x:v>
      </x:c>
      <x:c r="G650" s="73" t="s">
        <x:v>31</x:v>
      </x:c>
      <x:c r="H650" s="73" t="s">
        <x:v>2847</x:v>
      </x:c>
      <x:c r="I650" s="73" t="n">
        <x:v>22</x:v>
      </x:c>
      <x:c r="J650" s="73" t="n">
        <x:v>45</x:v>
      </x:c>
      <x:c r="K650" s="73" t="s">
        <x:v>2581</x:v>
      </x:c>
      <x:c r="L650" s="73" t="n">
        <x:v>2023</x:v>
      </x:c>
      <x:c r="M650" s="73" t="n">
        <x:v>8</x:v>
      </x:c>
      <x:c r="N650" s="73" t="n">
        <x:v>7</x:v>
      </x:c>
      <x:c r="O650" s="73" t="n">
        <x:v>19</x:v>
      </x:c>
    </x:row>
    <x:row r="651" ht="15" hidden="0">
      <x:c r="A651" s="73" t="n">
        <x:v>650</x:v>
      </x:c>
      <x:c r="B651" s="73" t="n">
        <x:v>654</x:v>
      </x:c>
      <x:c r="C651" s="73" t="s">
        <x:v>2848</x:v>
      </x:c>
      <x:c r="D651" s="73" t="s">
        <x:v>495</x:v>
      </x:c>
      <x:c r="E651" s="73" t="s">
        <x:v>2849</x:v>
      </x:c>
      <x:c r="F651" s="73" t="s">
        <x:v>2850</x:v>
      </x:c>
      <x:c r="G651" s="73" t="s">
        <x:v>1121</x:v>
      </x:c>
      <x:c r="H651" s="73" t="s">
        <x:v>2851</x:v>
      </x:c>
      <x:c r="I651" s="73" t="n">
        <x:v>30</x:v>
      </x:c>
      <x:c r="J651" s="73" t="n">
        <x:v>60</x:v>
      </x:c>
      <x:c r="K651" s="73" t="s">
        <x:v>2576</x:v>
      </x:c>
      <x:c r="L651" s="73" t="n">
        <x:v>2023</x:v>
      </x:c>
      <x:c r="M651" s="73" t="n">
        <x:v>8</x:v>
      </x:c>
      <x:c r="N651" s="73" t="n">
        <x:v>8</x:v>
      </x:c>
      <x:c r="O651" s="73" t="n">
        <x:v>16</x:v>
      </x:c>
    </x:row>
    <x:row r="652" ht="15" hidden="0">
      <x:c r="A652" s="73" t="n">
        <x:v>651</x:v>
      </x:c>
      <x:c r="B652" s="73" t="n">
        <x:v>655</x:v>
      </x:c>
      <x:c r="C652" s="73" t="s">
        <x:v>2852</x:v>
      </x:c>
      <x:c r="D652" s="73" t="s">
        <x:v>2052</x:v>
      </x:c>
      <x:c r="E652" s="73" t="s">
        <x:v>2853</x:v>
      </x:c>
      <x:c r="F652" s="73" t="s">
        <x:v>2854</x:v>
      </x:c>
      <x:c r="G652" s="73" t="s">
        <x:v>37</x:v>
      </x:c>
      <x:c r="H652" s="73" t="s">
        <x:v>2855</x:v>
      </x:c>
      <x:c r="I652" s="73" t="n">
        <x:v>20</x:v>
      </x:c>
      <x:c r="J652" s="73" t="n">
        <x:v>40</x:v>
      </x:c>
      <x:c r="K652" s="73" t="s">
        <x:v>2570</x:v>
      </x:c>
      <x:c r="L652" s="73" t="n">
        <x:v>2023</x:v>
      </x:c>
      <x:c r="M652" s="73" t="n">
        <x:v>8</x:v>
      </x:c>
      <x:c r="N652" s="73" t="n">
        <x:v>9</x:v>
      </x:c>
      <x:c r="O652" s="73" t="n">
        <x:v>22</x:v>
      </x:c>
    </x:row>
    <x:row r="653" ht="15" hidden="0">
      <x:c r="A653" s="73" t="n">
        <x:v>652</x:v>
      </x:c>
      <x:c r="B653" s="73" t="n">
        <x:v>656</x:v>
      </x:c>
      <x:c r="C653" s="73" t="s">
        <x:v>2856</x:v>
      </x:c>
      <x:c r="D653" s="73" t="s">
        <x:v>2052</x:v>
      </x:c>
      <x:c r="E653" s="73" t="s">
        <x:v>2857</x:v>
      </x:c>
      <x:c r="F653" s="73" t="s">
        <x:v>2858</x:v>
      </x:c>
      <x:c r="G653" s="73" t="s">
        <x:v>31</x:v>
      </x:c>
      <x:c r="H653" s="73" t="s">
        <x:v>2859</x:v>
      </x:c>
      <x:c r="I653" s="73" t="n">
        <x:v>28</x:v>
      </x:c>
      <x:c r="J653" s="73" t="n">
        <x:v>55</x:v>
      </x:c>
      <x:c r="K653" s="73" t="s">
        <x:v>2581</x:v>
      </x:c>
      <x:c r="L653" s="73" t="n">
        <x:v>2023</x:v>
      </x:c>
      <x:c r="M653" s="73" t="n">
        <x:v>8</x:v>
      </x:c>
      <x:c r="N653" s="73" t="n">
        <x:v>10</x:v>
      </x:c>
      <x:c r="O653" s="73" t="n">
        <x:v>14</x:v>
      </x:c>
    </x:row>
    <x:row r="654" ht="15" hidden="0">
      <x:c r="A654" s="73" t="n">
        <x:v>653</x:v>
      </x:c>
      <x:c r="B654" s="73" t="n">
        <x:v>657</x:v>
      </x:c>
      <x:c r="C654" s="73" t="s">
        <x:v>2860</x:v>
      </x:c>
      <x:c r="D654" s="73" t="s">
        <x:v>2052</x:v>
      </x:c>
      <x:c r="E654" s="73" t="s">
        <x:v>2861</x:v>
      </x:c>
      <x:c r="F654" s="73" t="s">
        <x:v>2862</x:v>
      </x:c>
      <x:c r="G654" s="73" t="s">
        <x:v>1121</x:v>
      </x:c>
      <x:c r="H654" s="73" t="s">
        <x:v>2863</x:v>
      </x:c>
      <x:c r="I654" s="73" t="n">
        <x:v>22</x:v>
      </x:c>
      <x:c r="J654" s="73" t="n">
        <x:v>45</x:v>
      </x:c>
      <x:c r="K654" s="73" t="s">
        <x:v>2576</x:v>
      </x:c>
      <x:c r="L654" s="73" t="n">
        <x:v>2023</x:v>
      </x:c>
      <x:c r="M654" s="73" t="n">
        <x:v>8</x:v>
      </x:c>
      <x:c r="N654" s="73" t="n">
        <x:v>11</x:v>
      </x:c>
      <x:c r="O654" s="73" t="n">
        <x:v>18</x:v>
      </x:c>
    </x:row>
    <x:row r="655" ht="15" hidden="0">
      <x:c r="A655" s="73" t="n">
        <x:v>654</x:v>
      </x:c>
      <x:c r="B655" s="73" t="n">
        <x:v>658</x:v>
      </x:c>
      <x:c r="C655" s="73" t="s">
        <x:v>2864</x:v>
      </x:c>
      <x:c r="D655" s="73" t="s">
        <x:v>495</x:v>
      </x:c>
      <x:c r="E655" s="73" t="s">
        <x:v>2865</x:v>
      </x:c>
      <x:c r="F655" s="73" t="s">
        <x:v>2866</x:v>
      </x:c>
      <x:c r="G655" s="73" t="s">
        <x:v>37</x:v>
      </x:c>
      <x:c r="H655" s="73" t="s">
        <x:v>2867</x:v>
      </x:c>
      <x:c r="I655" s="73" t="n">
        <x:v>25</x:v>
      </x:c>
      <x:c r="J655" s="73" t="n">
        <x:v>50</x:v>
      </x:c>
      <x:c r="K655" s="73" t="s">
        <x:v>2570</x:v>
      </x:c>
      <x:c r="L655" s="73" t="n">
        <x:v>2023</x:v>
      </x:c>
      <x:c r="M655" s="73" t="n">
        <x:v>8</x:v>
      </x:c>
      <x:c r="N655" s="73" t="n">
        <x:v>12</x:v>
      </x:c>
      <x:c r="O655" s="73" t="n">
        <x:v>13</x:v>
      </x:c>
    </x:row>
    <x:row r="656" ht="15" hidden="0">
      <x:c r="A656" s="73" t="n">
        <x:v>655</x:v>
      </x:c>
      <x:c r="B656" s="73" t="n">
        <x:v>659</x:v>
      </x:c>
      <x:c r="C656" s="73" t="s">
        <x:v>2868</x:v>
      </x:c>
      <x:c r="D656" s="73" t="s">
        <x:v>495</x:v>
      </x:c>
      <x:c r="E656" s="73" t="s">
        <x:v>2869</x:v>
      </x:c>
      <x:c r="F656" s="73" t="s">
        <x:v>2870</x:v>
      </x:c>
      <x:c r="G656" s="73" t="s">
        <x:v>31</x:v>
      </x:c>
      <x:c r="H656" s="73" t="s">
        <x:v>2871</x:v>
      </x:c>
      <x:c r="I656" s="73" t="n">
        <x:v>35</x:v>
      </x:c>
      <x:c r="J656" s="73" t="n">
        <x:v>70</x:v>
      </x:c>
      <x:c r="K656" s="73" t="s">
        <x:v>2581</x:v>
      </x:c>
      <x:c r="L656" s="73" t="n">
        <x:v>2023</x:v>
      </x:c>
      <x:c r="M656" s="73" t="n">
        <x:v>8</x:v>
      </x:c>
      <x:c r="N656" s="73" t="n">
        <x:v>13</x:v>
      </x:c>
      <x:c r="O656" s="73" t="n">
        <x:v>20</x:v>
      </x:c>
    </x:row>
    <x:row r="657" ht="15" hidden="0">
      <x:c r="A657" s="73" t="n">
        <x:v>656</x:v>
      </x:c>
      <x:c r="B657" s="73" t="n">
        <x:v>660</x:v>
      </x:c>
      <x:c r="C657" s="73" t="s">
        <x:v>2872</x:v>
      </x:c>
      <x:c r="D657" s="73" t="s">
        <x:v>2052</x:v>
      </x:c>
      <x:c r="E657" s="73" t="s">
        <x:v>2873</x:v>
      </x:c>
      <x:c r="F657" s="73" t="s">
        <x:v>2874</x:v>
      </x:c>
      <x:c r="G657" s="73" t="s">
        <x:v>1121</x:v>
      </x:c>
      <x:c r="H657" s="73" t="s">
        <x:v>2875</x:v>
      </x:c>
      <x:c r="I657" s="73" t="n">
        <x:v>20</x:v>
      </x:c>
      <x:c r="J657" s="73" t="n">
        <x:v>40</x:v>
      </x:c>
      <x:c r="K657" s="73" t="s">
        <x:v>2570</x:v>
      </x:c>
      <x:c r="L657" s="73" t="n">
        <x:v>2023</x:v>
      </x:c>
      <x:c r="M657" s="73" t="n">
        <x:v>8</x:v>
      </x:c>
      <x:c r="N657" s="73" t="n">
        <x:v>14</x:v>
      </x:c>
      <x:c r="O657" s="73" t="n">
        <x:v>16</x:v>
      </x:c>
    </x:row>
    <x:row r="658" ht="15" hidden="0">
      <x:c r="A658" s="73" t="n">
        <x:v>657</x:v>
      </x:c>
      <x:c r="B658" s="73" t="n">
        <x:v>661</x:v>
      </x:c>
      <x:c r="C658" s="73" t="s">
        <x:v>2876</x:v>
      </x:c>
      <x:c r="D658" s="73" t="s">
        <x:v>495</x:v>
      </x:c>
      <x:c r="E658" s="73" t="s">
        <x:v>2877</x:v>
      </x:c>
      <x:c r="F658" s="73" t="s">
        <x:v>2878</x:v>
      </x:c>
      <x:c r="G658" s="73" t="s">
        <x:v>37</x:v>
      </x:c>
      <x:c r="H658" s="73" t="s">
        <x:v>2879</x:v>
      </x:c>
      <x:c r="I658" s="73" t="n">
        <x:v>28</x:v>
      </x:c>
      <x:c r="J658" s="73" t="n">
        <x:v>55</x:v>
      </x:c>
      <x:c r="K658" s="73" t="s">
        <x:v>2576</x:v>
      </x:c>
      <x:c r="L658" s="73" t="n">
        <x:v>2023</x:v>
      </x:c>
      <x:c r="M658" s="73" t="n">
        <x:v>8</x:v>
      </x:c>
      <x:c r="N658" s="73" t="n">
        <x:v>15</x:v>
      </x:c>
      <x:c r="O658" s="73" t="n">
        <x:v>19</x:v>
      </x:c>
    </x:row>
    <x:row r="659" ht="15" hidden="0">
      <x:c r="A659" s="73" t="n">
        <x:v>658</x:v>
      </x:c>
      <x:c r="B659" s="73" t="n">
        <x:v>662</x:v>
      </x:c>
      <x:c r="C659" s="73" t="s">
        <x:v>2880</x:v>
      </x:c>
      <x:c r="D659" s="73" t="s">
        <x:v>2881</x:v>
      </x:c>
      <x:c r="E659" s="73" t="s">
        <x:v>2882</x:v>
      </x:c>
      <x:c r="F659" s="73" t="s">
        <x:v>2883</x:v>
      </x:c>
      <x:c r="G659" s="73" t="s">
        <x:v>31</x:v>
      </x:c>
      <x:c r="H659" s="73" t="s">
        <x:v>2884</x:v>
      </x:c>
      <x:c r="I659" s="73" t="n">
        <x:v>30</x:v>
      </x:c>
      <x:c r="J659" s="73" t="n">
        <x:v>60</x:v>
      </x:c>
      <x:c r="K659" s="73" t="s">
        <x:v>2570</x:v>
      </x:c>
      <x:c r="L659" s="73" t="n">
        <x:v>2023</x:v>
      </x:c>
      <x:c r="M659" s="73" t="n">
        <x:v>8</x:v>
      </x:c>
      <x:c r="N659" s="73" t="n">
        <x:v>16</x:v>
      </x:c>
      <x:c r="O659" s="73" t="n">
        <x:v>14</x:v>
      </x:c>
    </x:row>
    <x:row r="660" ht="15" hidden="0">
      <x:c r="A660" s="73" t="n">
        <x:v>659</x:v>
      </x:c>
      <x:c r="B660" s="73" t="n">
        <x:v>663</x:v>
      </x:c>
      <x:c r="C660" s="73" t="s">
        <x:v>2885</x:v>
      </x:c>
      <x:c r="D660" s="73" t="s">
        <x:v>495</x:v>
      </x:c>
      <x:c r="E660" s="73" t="s">
        <x:v>2886</x:v>
      </x:c>
      <x:c r="F660" s="73" t="s">
        <x:v>2887</x:v>
      </x:c>
      <x:c r="G660" s="73" t="s">
        <x:v>1121</x:v>
      </x:c>
      <x:c r="H660" s="73" t="s">
        <x:v>2888</x:v>
      </x:c>
      <x:c r="I660" s="73" t="n">
        <x:v>18</x:v>
      </x:c>
      <x:c r="J660" s="73" t="n">
        <x:v>35</x:v>
      </x:c>
      <x:c r="K660" s="73" t="s">
        <x:v>2581</x:v>
      </x:c>
      <x:c r="L660" s="73" t="n">
        <x:v>2023</x:v>
      </x:c>
      <x:c r="M660" s="73" t="n">
        <x:v>8</x:v>
      </x:c>
      <x:c r="N660" s="73" t="n">
        <x:v>17</x:v>
      </x:c>
      <x:c r="O660" s="73" t="n">
        <x:v>22</x:v>
      </x:c>
    </x:row>
    <x:row r="661" ht="15" hidden="0">
      <x:c r="A661" s="73" t="n">
        <x:v>660</x:v>
      </x:c>
      <x:c r="B661" s="73" t="n">
        <x:v>664</x:v>
      </x:c>
      <x:c r="C661" s="73" t="s">
        <x:v>2889</x:v>
      </x:c>
      <x:c r="D661" s="73" t="s">
        <x:v>2844</x:v>
      </x:c>
      <x:c r="E661" s="73" t="s">
        <x:v>2890</x:v>
      </x:c>
      <x:c r="F661" s="73" t="s">
        <x:v>2891</x:v>
      </x:c>
      <x:c r="G661" s="73" t="s">
        <x:v>37</x:v>
      </x:c>
      <x:c r="H661" s="73" t="s">
        <x:v>2892</x:v>
      </x:c>
      <x:c r="I661" s="73" t="n">
        <x:v>25</x:v>
      </x:c>
      <x:c r="J661" s="73" t="n">
        <x:v>50</x:v>
      </x:c>
      <x:c r="K661" s="73" t="s">
        <x:v>2570</x:v>
      </x:c>
      <x:c r="L661" s="73" t="n">
        <x:v>2023</x:v>
      </x:c>
      <x:c r="M661" s="73" t="n">
        <x:v>8</x:v>
      </x:c>
      <x:c r="N661" s="73" t="n">
        <x:v>18</x:v>
      </x:c>
      <x:c r="O661" s="73" t="n">
        <x:v>16</x:v>
      </x:c>
    </x:row>
    <x:row r="662" ht="15" hidden="0">
      <x:c r="A662" s="73" t="n">
        <x:v>661</x:v>
      </x:c>
      <x:c r="B662" s="73" t="n">
        <x:v>665</x:v>
      </x:c>
      <x:c r="C662" s="73" t="s">
        <x:v>2893</x:v>
      </x:c>
      <x:c r="D662" s="73" t="s">
        <x:v>2844</x:v>
      </x:c>
      <x:c r="E662" s="73" t="s">
        <x:v>2894</x:v>
      </x:c>
      <x:c r="F662" s="73" t="s">
        <x:v>2895</x:v>
      </x:c>
      <x:c r="G662" s="73" t="s">
        <x:v>31</x:v>
      </x:c>
      <x:c r="H662" s="73" t="s">
        <x:v>2896</x:v>
      </x:c>
      <x:c r="I662" s="73" t="n">
        <x:v>22</x:v>
      </x:c>
      <x:c r="J662" s="73" t="n">
        <x:v>45</x:v>
      </x:c>
      <x:c r="K662" s="73" t="s">
        <x:v>2581</x:v>
      </x:c>
      <x:c r="L662" s="73" t="n">
        <x:v>2023</x:v>
      </x:c>
      <x:c r="M662" s="73" t="n">
        <x:v>8</x:v>
      </x:c>
      <x:c r="N662" s="73" t="n">
        <x:v>19</x:v>
      </x:c>
      <x:c r="O662" s="73" t="n">
        <x:v>19</x:v>
      </x:c>
    </x:row>
    <x:row r="663" ht="15" hidden="0">
      <x:c r="A663" s="73" t="n">
        <x:v>662</x:v>
      </x:c>
      <x:c r="B663" s="73" t="n">
        <x:v>666</x:v>
      </x:c>
      <x:c r="C663" s="73" t="s">
        <x:v>2897</x:v>
      </x:c>
      <x:c r="D663" s="73" t="s">
        <x:v>2844</x:v>
      </x:c>
      <x:c r="E663" s="73" t="s">
        <x:v>2898</x:v>
      </x:c>
      <x:c r="F663" s="73" t="s">
        <x:v>2899</x:v>
      </x:c>
      <x:c r="G663" s="73" t="s">
        <x:v>1121</x:v>
      </x:c>
      <x:c r="H663" s="73" t="s">
        <x:v>2900</x:v>
      </x:c>
      <x:c r="I663" s="73" t="n">
        <x:v>30</x:v>
      </x:c>
      <x:c r="J663" s="73" t="n">
        <x:v>60</x:v>
      </x:c>
      <x:c r="K663" s="73" t="s">
        <x:v>2576</x:v>
      </x:c>
      <x:c r="L663" s="73" t="n">
        <x:v>2023</x:v>
      </x:c>
      <x:c r="M663" s="73" t="n">
        <x:v>8</x:v>
      </x:c>
      <x:c r="N663" s="73" t="n">
        <x:v>20</x:v>
      </x:c>
      <x:c r="O663" s="73" t="n">
        <x:v>17</x:v>
      </x:c>
    </x:row>
    <x:row r="664" ht="15" hidden="0">
      <x:c r="A664" s="73" t="n">
        <x:v>663</x:v>
      </x:c>
      <x:c r="B664" s="73" t="n">
        <x:v>667</x:v>
      </x:c>
      <x:c r="C664" s="73" t="s">
        <x:v>2901</x:v>
      </x:c>
      <x:c r="D664" s="73" t="s">
        <x:v>2052</x:v>
      </x:c>
      <x:c r="E664" s="73" t="s">
        <x:v>2902</x:v>
      </x:c>
      <x:c r="F664" s="73" t="s">
        <x:v>2903</x:v>
      </x:c>
      <x:c r="G664" s="73" t="s">
        <x:v>31</x:v>
      </x:c>
      <x:c r="H664" s="73" t="s">
        <x:v>2904</x:v>
      </x:c>
      <x:c r="I664" s="73" t="n">
        <x:v>15</x:v>
      </x:c>
      <x:c r="J664" s="73" t="n">
        <x:v>30</x:v>
      </x:c>
      <x:c r="K664" s="73" t="s">
        <x:v>2570</x:v>
      </x:c>
      <x:c r="L664" s="73" t="n">
        <x:v>2023</x:v>
      </x:c>
      <x:c r="M664" s="73" t="n">
        <x:v>8</x:v>
      </x:c>
      <x:c r="N664" s="73" t="n">
        <x:v>21</x:v>
      </x:c>
      <x:c r="O664" s="73" t="n">
        <x:v>15</x:v>
      </x:c>
    </x:row>
    <x:row r="665" ht="15" hidden="0">
      <x:c r="A665" s="73" t="n">
        <x:v>664</x:v>
      </x:c>
      <x:c r="B665" s="73" t="n">
        <x:v>668</x:v>
      </x:c>
      <x:c r="C665" s="73" t="s">
        <x:v>2905</x:v>
      </x:c>
      <x:c r="D665" s="73" t="s">
        <x:v>495</x:v>
      </x:c>
      <x:c r="E665" s="73" t="s">
        <x:v>2906</x:v>
      </x:c>
      <x:c r="F665" s="73" t="s">
        <x:v>2907</x:v>
      </x:c>
      <x:c r="G665" s="73" t="s">
        <x:v>37</x:v>
      </x:c>
      <x:c r="H665" s="73" t="s">
        <x:v>2908</x:v>
      </x:c>
      <x:c r="I665" s="73" t="n">
        <x:v>22</x:v>
      </x:c>
      <x:c r="J665" s="73" t="n">
        <x:v>40</x:v>
      </x:c>
      <x:c r="K665" s="73" t="s">
        <x:v>2576</x:v>
      </x:c>
      <x:c r="L665" s="73" t="n">
        <x:v>2023</x:v>
      </x:c>
      <x:c r="M665" s="73" t="n">
        <x:v>8</x:v>
      </x:c>
      <x:c r="N665" s="73" t="n">
        <x:v>22</x:v>
      </x:c>
      <x:c r="O665" s="73" t="n">
        <x:v>12</x:v>
      </x:c>
    </x:row>
    <x:row r="666" ht="15" hidden="0">
      <x:c r="A666" s="73" t="n">
        <x:v>665</x:v>
      </x:c>
      <x:c r="B666" s="73" t="n">
        <x:v>669</x:v>
      </x:c>
      <x:c r="C666" s="73" t="s">
        <x:v>2909</x:v>
      </x:c>
      <x:c r="D666" s="73" t="s">
        <x:v>2881</x:v>
      </x:c>
      <x:c r="E666" s="73" t="s">
        <x:v>2910</x:v>
      </x:c>
      <x:c r="F666" s="73" t="s">
        <x:v>2911</x:v>
      </x:c>
      <x:c r="G666" s="73" t="s">
        <x:v>1121</x:v>
      </x:c>
      <x:c r="H666" s="73" t="s">
        <x:v>2912</x:v>
      </x:c>
      <x:c r="I666" s="73" t="n">
        <x:v>28</x:v>
      </x:c>
      <x:c r="J666" s="73" t="n">
        <x:v>55</x:v>
      </x:c>
      <x:c r="K666" s="73" t="s">
        <x:v>2570</x:v>
      </x:c>
      <x:c r="L666" s="73" t="n">
        <x:v>2023</x:v>
      </x:c>
      <x:c r="M666" s="73" t="n">
        <x:v>8</x:v>
      </x:c>
      <x:c r="N666" s="73" t="n">
        <x:v>23</x:v>
      </x:c>
      <x:c r="O666" s="73" t="n">
        <x:v>16</x:v>
      </x:c>
    </x:row>
    <x:row r="667" ht="15" hidden="0">
      <x:c r="A667" s="73" t="n">
        <x:v>666</x:v>
      </x:c>
      <x:c r="B667" s="73" t="n">
        <x:v>670</x:v>
      </x:c>
      <x:c r="C667" s="73" t="s">
        <x:v>2913</x:v>
      </x:c>
      <x:c r="D667" s="73" t="s">
        <x:v>495</x:v>
      </x:c>
      <x:c r="E667" s="73" t="s">
        <x:v>2914</x:v>
      </x:c>
      <x:c r="F667" s="73" t="s">
        <x:v>2915</x:v>
      </x:c>
      <x:c r="G667" s="73" t="s">
        <x:v>31</x:v>
      </x:c>
      <x:c r="H667" s="73" t="s">
        <x:v>2916</x:v>
      </x:c>
      <x:c r="I667" s="73" t="n">
        <x:v>20</x:v>
      </x:c>
      <x:c r="J667" s="73" t="n">
        <x:v>38</x:v>
      </x:c>
      <x:c r="K667" s="73" t="s">
        <x:v>2581</x:v>
      </x:c>
      <x:c r="L667" s="73" t="n">
        <x:v>2023</x:v>
      </x:c>
      <x:c r="M667" s="73" t="n">
        <x:v>8</x:v>
      </x:c>
      <x:c r="N667" s="73" t="n">
        <x:v>24</x:v>
      </x:c>
      <x:c r="O667" s="73" t="n">
        <x:v>18</x:v>
      </x:c>
    </x:row>
    <x:row r="668" ht="15" hidden="0">
      <x:c r="A668" s="73" t="n">
        <x:v>667</x:v>
      </x:c>
      <x:c r="B668" s="73" t="n">
        <x:v>671</x:v>
      </x:c>
      <x:c r="C668" s="73" t="s">
        <x:v>2917</x:v>
      </x:c>
      <x:c r="D668" s="73" t="s">
        <x:v>2052</x:v>
      </x:c>
      <x:c r="E668" s="73" t="s">
        <x:v>2918</x:v>
      </x:c>
      <x:c r="F668" s="73" t="s">
        <x:v>2919</x:v>
      </x:c>
      <x:c r="G668" s="73" t="s">
        <x:v>37</x:v>
      </x:c>
      <x:c r="H668" s="73" t="s">
        <x:v>2920</x:v>
      </x:c>
      <x:c r="I668" s="73" t="n">
        <x:v>25</x:v>
      </x:c>
      <x:c r="J668" s="73" t="n">
        <x:v>50</x:v>
      </x:c>
      <x:c r="K668" s="73" t="s">
        <x:v>2576</x:v>
      </x:c>
      <x:c r="L668" s="73" t="n">
        <x:v>2023</x:v>
      </x:c>
      <x:c r="M668" s="73" t="n">
        <x:v>8</x:v>
      </x:c>
      <x:c r="N668" s="73" t="n">
        <x:v>25</x:v>
      </x:c>
      <x:c r="O668" s="73" t="n">
        <x:v>14</x:v>
      </x:c>
    </x:row>
    <x:row r="669" ht="15" hidden="0">
      <x:c r="A669" s="73" t="n">
        <x:v>668</x:v>
      </x:c>
      <x:c r="B669" s="73" t="n">
        <x:v>672</x:v>
      </x:c>
      <x:c r="C669" s="73" t="s">
        <x:v>2921</x:v>
      </x:c>
      <x:c r="D669" s="73" t="s">
        <x:v>2844</x:v>
      </x:c>
      <x:c r="E669" s="73" t="s">
        <x:v>2922</x:v>
      </x:c>
      <x:c r="F669" s="73" t="s">
        <x:v>2923</x:v>
      </x:c>
      <x:c r="G669" s="73" t="s">
        <x:v>1121</x:v>
      </x:c>
      <x:c r="H669" s="73" t="s">
        <x:v>2924</x:v>
      </x:c>
      <x:c r="I669" s="73" t="n">
        <x:v>18</x:v>
      </x:c>
      <x:c r="J669" s="73" t="n">
        <x:v>35</x:v>
      </x:c>
      <x:c r="K669" s="73" t="s">
        <x:v>2570</x:v>
      </x:c>
      <x:c r="L669" s="73" t="n">
        <x:v>2023</x:v>
      </x:c>
      <x:c r="M669" s="73" t="n">
        <x:v>8</x:v>
      </x:c>
      <x:c r="N669" s="73" t="n">
        <x:v>26</x:v>
      </x:c>
      <x:c r="O669" s="73" t="n">
        <x:v>17</x:v>
      </x:c>
    </x:row>
    <x:row r="670" ht="15" hidden="0">
      <x:c r="A670" s="73" t="n">
        <x:v>669</x:v>
      </x:c>
      <x:c r="B670" s="73" t="n">
        <x:v>673</x:v>
      </x:c>
      <x:c r="C670" s="73" t="s">
        <x:v>2925</x:v>
      </x:c>
      <x:c r="D670" s="73" t="s">
        <x:v>2844</x:v>
      </x:c>
      <x:c r="E670" s="73" t="s">
        <x:v>2926</x:v>
      </x:c>
      <x:c r="F670" s="73" t="s">
        <x:v>2927</x:v>
      </x:c>
      <x:c r="G670" s="73" t="s">
        <x:v>31</x:v>
      </x:c>
      <x:c r="H670" s="73" t="s">
        <x:v>2928</x:v>
      </x:c>
      <x:c r="I670" s="73" t="n">
        <x:v>22</x:v>
      </x:c>
      <x:c r="J670" s="73" t="n">
        <x:v>45</x:v>
      </x:c>
      <x:c r="K670" s="73" t="s">
        <x:v>2581</x:v>
      </x:c>
      <x:c r="L670" s="73" t="n">
        <x:v>2023</x:v>
      </x:c>
      <x:c r="M670" s="73" t="n">
        <x:v>8</x:v>
      </x:c>
      <x:c r="N670" s="73" t="n">
        <x:v>27</x:v>
      </x:c>
      <x:c r="O670" s="73" t="n">
        <x:v>20</x:v>
      </x:c>
    </x:row>
    <x:row r="671" ht="15" hidden="0">
      <x:c r="A671" s="73" t="n">
        <x:v>670</x:v>
      </x:c>
      <x:c r="B671" s="73" t="n">
        <x:v>674</x:v>
      </x:c>
      <x:c r="C671" s="73" t="s">
        <x:v>2929</x:v>
      </x:c>
      <x:c r="D671" s="73" t="s">
        <x:v>2052</x:v>
      </x:c>
      <x:c r="E671" s="73" t="s">
        <x:v>2930</x:v>
      </x:c>
      <x:c r="F671" s="73" t="s">
        <x:v>2931</x:v>
      </x:c>
      <x:c r="G671" s="73" t="s">
        <x:v>1121</x:v>
      </x:c>
      <x:c r="H671" s="73" t="s">
        <x:v>2932</x:v>
      </x:c>
      <x:c r="I671" s="73" t="n">
        <x:v>18</x:v>
      </x:c>
      <x:c r="J671" s="73" t="n">
        <x:v>36</x:v>
      </x:c>
      <x:c r="K671" s="73" t="s">
        <x:v>2570</x:v>
      </x:c>
      <x:c r="L671" s="73" t="n">
        <x:v>2023</x:v>
      </x:c>
      <x:c r="M671" s="73" t="n">
        <x:v>8</x:v>
      </x:c>
      <x:c r="N671" s="73" t="n">
        <x:v>28</x:v>
      </x:c>
      <x:c r="O671" s="73" t="n">
        <x:v>16</x:v>
      </x:c>
    </x:row>
    <x:row r="672" ht="15" hidden="0">
      <x:c r="A672" s="73" t="n">
        <x:v>671</x:v>
      </x:c>
      <x:c r="B672" s="73" t="n">
        <x:v>675</x:v>
      </x:c>
      <x:c r="C672" s="73" t="s">
        <x:v>2933</x:v>
      </x:c>
      <x:c r="D672" s="73" t="s">
        <x:v>495</x:v>
      </x:c>
      <x:c r="E672" s="73" t="s">
        <x:v>2934</x:v>
      </x:c>
      <x:c r="F672" s="73" t="s">
        <x:v>2935</x:v>
      </x:c>
      <x:c r="G672" s="73" t="s">
        <x:v>31</x:v>
      </x:c>
      <x:c r="H672" s="73" t="s">
        <x:v>2936</x:v>
      </x:c>
      <x:c r="I672" s="73" t="n">
        <x:v>26</x:v>
      </x:c>
      <x:c r="J672" s="73" t="n">
        <x:v>48</x:v>
      </x:c>
      <x:c r="K672" s="73" t="s">
        <x:v>2576</x:v>
      </x:c>
      <x:c r="L672" s="73" t="n">
        <x:v>2023</x:v>
      </x:c>
      <x:c r="M672" s="73" t="n">
        <x:v>8</x:v>
      </x:c>
      <x:c r="N672" s="73" t="n">
        <x:v>29</x:v>
      </x:c>
      <x:c r="O672" s="73" t="n">
        <x:v>13</x:v>
      </x:c>
    </x:row>
    <x:row r="673" ht="15" hidden="0">
      <x:c r="A673" s="73" t="n">
        <x:v>672</x:v>
      </x:c>
      <x:c r="B673" s="73" t="n">
        <x:v>676</x:v>
      </x:c>
      <x:c r="C673" s="73" t="s">
        <x:v>2937</x:v>
      </x:c>
      <x:c r="D673" s="73" t="s">
        <x:v>2052</x:v>
      </x:c>
      <x:c r="E673" s="73" t="s">
        <x:v>2938</x:v>
      </x:c>
      <x:c r="F673" s="73" t="s">
        <x:v>2939</x:v>
      </x:c>
      <x:c r="G673" s="73" t="s">
        <x:v>37</x:v>
      </x:c>
      <x:c r="H673" s="73" t="s">
        <x:v>2940</x:v>
      </x:c>
      <x:c r="I673" s="73" t="n">
        <x:v>20</x:v>
      </x:c>
      <x:c r="J673" s="73" t="n">
        <x:v>40</x:v>
      </x:c>
      <x:c r="K673" s="73" t="s">
        <x:v>2570</x:v>
      </x:c>
      <x:c r="L673" s="73" t="n">
        <x:v>2023</x:v>
      </x:c>
      <x:c r="M673" s="73" t="n">
        <x:v>8</x:v>
      </x:c>
      <x:c r="N673" s="73" t="n">
        <x:v>30</x:v>
      </x:c>
      <x:c r="O673" s="73" t="n">
        <x:v>17</x:v>
      </x:c>
    </x:row>
    <x:row r="674" ht="15" hidden="0">
      <x:c r="A674" s="73" t="n">
        <x:v>673</x:v>
      </x:c>
      <x:c r="B674" s="73" t="n">
        <x:v>677</x:v>
      </x:c>
      <x:c r="C674" s="73" t="s">
        <x:v>2941</x:v>
      </x:c>
      <x:c r="D674" s="73" t="s">
        <x:v>495</x:v>
      </x:c>
      <x:c r="E674" s="73" t="s">
        <x:v>2942</x:v>
      </x:c>
      <x:c r="F674" s="73" t="s">
        <x:v>2943</x:v>
      </x:c>
      <x:c r="G674" s="73" t="s">
        <x:v>1121</x:v>
      </x:c>
      <x:c r="H674" s="73" t="s">
        <x:v>2944</x:v>
      </x:c>
      <x:c r="I674" s="73" t="n">
        <x:v>24</x:v>
      </x:c>
      <x:c r="J674" s="73" t="n">
        <x:v>42</x:v>
      </x:c>
      <x:c r="K674" s="73" t="s">
        <x:v>2581</x:v>
      </x:c>
      <x:c r="L674" s="73" t="n">
        <x:v>2023</x:v>
      </x:c>
      <x:c r="M674" s="73" t="n">
        <x:v>8</x:v>
      </x:c>
      <x:c r="N674" s="73" t="n">
        <x:v>31</x:v>
      </x:c>
      <x:c r="O674" s="73" t="n">
        <x:v>20</x:v>
      </x:c>
    </x:row>
    <x:row r="675" ht="15" hidden="0">
      <x:c r="A675" s="73" t="n">
        <x:v>674</x:v>
      </x:c>
      <x:c r="B675" s="73" t="n">
        <x:v>678</x:v>
      </x:c>
      <x:c r="C675" s="73" t="s">
        <x:v>2945</x:v>
      </x:c>
      <x:c r="D675" s="73" t="s">
        <x:v>2052</x:v>
      </x:c>
      <x:c r="E675" s="73" t="s">
        <x:v>2946</x:v>
      </x:c>
      <x:c r="F675" s="73" t="s">
        <x:v>2947</x:v>
      </x:c>
      <x:c r="G675" s="73" t="s">
        <x:v>31</x:v>
      </x:c>
      <x:c r="H675" s="73" t="s">
        <x:v>2948</x:v>
      </x:c>
      <x:c r="I675" s="73" t="n">
        <x:v>21</x:v>
      </x:c>
      <x:c r="J675" s="73" t="n">
        <x:v>39</x:v>
      </x:c>
      <x:c r="K675" s="73" t="s">
        <x:v>2576</x:v>
      </x:c>
      <x:c r="L675" s="73" t="n">
        <x:v>2023</x:v>
      </x:c>
      <x:c r="M675" s="73" t="n">
        <x:v>9</x:v>
      </x:c>
      <x:c r="N675" s="73" t="n">
        <x:v>1</x:v>
      </x:c>
      <x:c r="O675" s="73" t="n">
        <x:v>14</x:v>
      </x:c>
    </x:row>
    <x:row r="676" ht="15" hidden="0">
      <x:c r="A676" s="73" t="n">
        <x:v>675</x:v>
      </x:c>
      <x:c r="B676" s="73" t="n">
        <x:v>679</x:v>
      </x:c>
      <x:c r="C676" s="73" t="s">
        <x:v>2949</x:v>
      </x:c>
      <x:c r="D676" s="73" t="s">
        <x:v>2844</x:v>
      </x:c>
      <x:c r="E676" s="73" t="s">
        <x:v>2950</x:v>
      </x:c>
      <x:c r="F676" s="73" t="s">
        <x:v>2951</x:v>
      </x:c>
      <x:c r="G676" s="73" t="s">
        <x:v>37</x:v>
      </x:c>
      <x:c r="H676" s="73" t="s">
        <x:v>2952</x:v>
      </x:c>
      <x:c r="I676" s="73" t="n">
        <x:v>17</x:v>
      </x:c>
      <x:c r="J676" s="73" t="n">
        <x:v>33</x:v>
      </x:c>
      <x:c r="K676" s="73" t="s">
        <x:v>2570</x:v>
      </x:c>
      <x:c r="L676" s="73" t="n">
        <x:v>2023</x:v>
      </x:c>
      <x:c r="M676" s="73" t="n">
        <x:v>9</x:v>
      </x:c>
      <x:c r="N676" s="73" t="n">
        <x:v>2</x:v>
      </x:c>
      <x:c r="O676" s="73" t="n">
        <x:v>18</x:v>
      </x:c>
    </x:row>
    <x:row r="677" ht="15" hidden="0">
      <x:c r="A677" s="73" t="n">
        <x:v>676</x:v>
      </x:c>
      <x:c r="B677" s="73" t="n">
        <x:v>680</x:v>
      </x:c>
      <x:c r="C677" s="73" t="s">
        <x:v>2953</x:v>
      </x:c>
      <x:c r="D677" s="73" t="s">
        <x:v>495</x:v>
      </x:c>
      <x:c r="E677" s="73" t="s">
        <x:v>2954</x:v>
      </x:c>
      <x:c r="F677" s="73" t="s">
        <x:v>2955</x:v>
      </x:c>
      <x:c r="G677" s="73" t="s">
        <x:v>1121</x:v>
      </x:c>
      <x:c r="H677" s="73" t="s">
        <x:v>2956</x:v>
      </x:c>
      <x:c r="I677" s="73" t="n">
        <x:v>23</x:v>
      </x:c>
      <x:c r="J677" s="73" t="n">
        <x:v>44</x:v>
      </x:c>
      <x:c r="K677" s="73" t="s">
        <x:v>2581</x:v>
      </x:c>
      <x:c r="L677" s="73" t="n">
        <x:v>2023</x:v>
      </x:c>
      <x:c r="M677" s="73" t="n">
        <x:v>9</x:v>
      </x:c>
      <x:c r="N677" s="73" t="n">
        <x:v>3</x:v>
      </x:c>
      <x:c r="O677" s="73" t="n">
        <x:v>22</x:v>
      </x:c>
    </x:row>
    <x:row r="678" ht="15" hidden="0">
      <x:c r="A678" s="73" t="n">
        <x:v>677</x:v>
      </x:c>
      <x:c r="B678" s="73" t="n">
        <x:v>681</x:v>
      </x:c>
      <x:c r="C678" s="73" t="s">
        <x:v>2957</x:v>
      </x:c>
      <x:c r="D678" s="73" t="s">
        <x:v>2052</x:v>
      </x:c>
      <x:c r="E678" s="73" t="s">
        <x:v>2958</x:v>
      </x:c>
      <x:c r="F678" s="73" t="s">
        <x:v>2959</x:v>
      </x:c>
      <x:c r="G678" s="73" t="s">
        <x:v>31</x:v>
      </x:c>
      <x:c r="H678" s="73" t="s">
        <x:v>2960</x:v>
      </x:c>
      <x:c r="I678" s="73" t="n">
        <x:v>19</x:v>
      </x:c>
      <x:c r="J678" s="73" t="n">
        <x:v>37</x:v>
      </x:c>
      <x:c r="K678" s="73" t="s">
        <x:v>2570</x:v>
      </x:c>
      <x:c r="L678" s="73" t="n">
        <x:v>2023</x:v>
      </x:c>
      <x:c r="M678" s="73" t="n">
        <x:v>9</x:v>
      </x:c>
      <x:c r="N678" s="73" t="n">
        <x:v>4</x:v>
      </x:c>
      <x:c r="O678" s="73" t="n">
        <x:v>15</x:v>
      </x:c>
    </x:row>
    <x:row r="679" ht="15" hidden="0">
      <x:c r="A679" s="73" t="n">
        <x:v>678</x:v>
      </x:c>
      <x:c r="B679" s="73" t="n">
        <x:v>682</x:v>
      </x:c>
      <x:c r="C679" s="73" t="s">
        <x:v>2961</x:v>
      </x:c>
      <x:c r="D679" s="73" t="s">
        <x:v>495</x:v>
      </x:c>
      <x:c r="E679" s="73" t="s">
        <x:v>2962</x:v>
      </x:c>
      <x:c r="F679" s="73" t="s">
        <x:v>2963</x:v>
      </x:c>
      <x:c r="G679" s="73" t="s">
        <x:v>1121</x:v>
      </x:c>
      <x:c r="H679" s="73" t="s">
        <x:v>2964</x:v>
      </x:c>
      <x:c r="I679" s="73" t="n">
        <x:v>27</x:v>
      </x:c>
      <x:c r="J679" s="73" t="n">
        <x:v>52</x:v>
      </x:c>
      <x:c r="K679" s="73" t="s">
        <x:v>2576</x:v>
      </x:c>
      <x:c r="L679" s="73" t="n">
        <x:v>2023</x:v>
      </x:c>
      <x:c r="M679" s="73" t="n">
        <x:v>9</x:v>
      </x:c>
      <x:c r="N679" s="73" t="n">
        <x:v>5</x:v>
      </x:c>
      <x:c r="O679" s="73" t="n">
        <x:v>12</x:v>
      </x:c>
    </x:row>
    <x:row r="680" ht="15" hidden="0">
      <x:c r="A680" s="73" t="n">
        <x:v>679</x:v>
      </x:c>
      <x:c r="B680" s="73" t="n">
        <x:v>683</x:v>
      </x:c>
      <x:c r="C680" s="73" t="s">
        <x:v>2965</x:v>
      </x:c>
      <x:c r="D680" s="73" t="s">
        <x:v>2052</x:v>
      </x:c>
      <x:c r="E680" s="73" t="s">
        <x:v>2966</x:v>
      </x:c>
      <x:c r="F680" s="73" t="s">
        <x:v>2967</x:v>
      </x:c>
      <x:c r="G680" s="73" t="s">
        <x:v>37</x:v>
      </x:c>
      <x:c r="H680" s="73" t="s">
        <x:v>2968</x:v>
      </x:c>
      <x:c r="I680" s="73" t="n">
        <x:v>22</x:v>
      </x:c>
      <x:c r="J680" s="73" t="n">
        <x:v>43</x:v>
      </x:c>
      <x:c r="K680" s="73" t="s">
        <x:v>2581</x:v>
      </x:c>
      <x:c r="L680" s="73" t="n">
        <x:v>2023</x:v>
      </x:c>
      <x:c r="M680" s="73" t="n">
        <x:v>9</x:v>
      </x:c>
      <x:c r="N680" s="73" t="n">
        <x:v>6</x:v>
      </x:c>
      <x:c r="O680" s="73" t="n">
        <x:v>16</x:v>
      </x:c>
    </x:row>
    <x:row r="681" ht="15" hidden="0">
      <x:c r="A681" s="73" t="n">
        <x:v>680</x:v>
      </x:c>
      <x:c r="B681" s="73" t="n">
        <x:v>684</x:v>
      </x:c>
      <x:c r="C681" s="73" t="s">
        <x:v>2969</x:v>
      </x:c>
      <x:c r="D681" s="73" t="s">
        <x:v>495</x:v>
      </x:c>
      <x:c r="E681" s="73" t="s">
        <x:v>2970</x:v>
      </x:c>
      <x:c r="F681" s="73" t="s">
        <x:v>2971</x:v>
      </x:c>
      <x:c r="G681" s="73" t="s">
        <x:v>31</x:v>
      </x:c>
      <x:c r="H681" s="73" t="s">
        <x:v>2972</x:v>
      </x:c>
      <x:c r="I681" s="73" t="n">
        <x:v>20</x:v>
      </x:c>
      <x:c r="J681" s="73" t="n">
        <x:v>39</x:v>
      </x:c>
      <x:c r="K681" s="73" t="s">
        <x:v>2570</x:v>
      </x:c>
      <x:c r="L681" s="73" t="n">
        <x:v>2023</x:v>
      </x:c>
      <x:c r="M681" s="73" t="n">
        <x:v>9</x:v>
      </x:c>
      <x:c r="N681" s="73" t="n">
        <x:v>7</x:v>
      </x:c>
      <x:c r="O681" s="73" t="n">
        <x:v>18</x:v>
      </x:c>
    </x:row>
    <x:row r="682" ht="15" hidden="0">
      <x:c r="A682" s="73" t="n">
        <x:v>681</x:v>
      </x:c>
      <x:c r="B682" s="73" t="n">
        <x:v>685</x:v>
      </x:c>
      <x:c r="C682" s="73" t="s">
        <x:v>2973</x:v>
      </x:c>
      <x:c r="D682" s="73" t="s">
        <x:v>2052</x:v>
      </x:c>
      <x:c r="E682" s="73" t="s">
        <x:v>2974</x:v>
      </x:c>
      <x:c r="F682" s="73" t="s">
        <x:v>2975</x:v>
      </x:c>
      <x:c r="G682" s="73" t="s">
        <x:v>37</x:v>
      </x:c>
      <x:c r="H682" s="73" t="s">
        <x:v>2976</x:v>
      </x:c>
      <x:c r="I682" s="73" t="n">
        <x:v>26</x:v>
      </x:c>
      <x:c r="J682" s="73" t="n">
        <x:v>48</x:v>
      </x:c>
      <x:c r="K682" s="73" t="s">
        <x:v>2576</x:v>
      </x:c>
      <x:c r="L682" s="73" t="n">
        <x:v>2023</x:v>
      </x:c>
      <x:c r="M682" s="73" t="n">
        <x:v>9</x:v>
      </x:c>
      <x:c r="N682" s="73" t="n">
        <x:v>8</x:v>
      </x:c>
      <x:c r="O682" s="73" t="n">
        <x:v>14</x:v>
      </x:c>
    </x:row>
    <x:row r="683" ht="15" hidden="0">
      <x:c r="A683" s="73" t="n">
        <x:v>682</x:v>
      </x:c>
      <x:c r="B683" s="73" t="n">
        <x:v>686</x:v>
      </x:c>
      <x:c r="C683" s="73" t="s">
        <x:v>2977</x:v>
      </x:c>
      <x:c r="D683" s="73" t="s">
        <x:v>2844</x:v>
      </x:c>
      <x:c r="E683" s="73" t="s">
        <x:v>2978</x:v>
      </x:c>
      <x:c r="F683" s="73" t="s">
        <x:v>2979</x:v>
      </x:c>
      <x:c r="G683" s="73" t="s">
        <x:v>1121</x:v>
      </x:c>
      <x:c r="H683" s="73" t="s">
        <x:v>2980</x:v>
      </x:c>
      <x:c r="I683" s="73" t="n">
        <x:v>16</x:v>
      </x:c>
      <x:c r="J683" s="73" t="n">
        <x:v>32</x:v>
      </x:c>
      <x:c r="K683" s="73" t="s">
        <x:v>2570</x:v>
      </x:c>
      <x:c r="L683" s="73" t="n">
        <x:v>2023</x:v>
      </x:c>
      <x:c r="M683" s="73" t="n">
        <x:v>9</x:v>
      </x:c>
      <x:c r="N683" s="73" t="n">
        <x:v>9</x:v>
      </x:c>
      <x:c r="O683" s="73" t="n">
        <x:v>17</x:v>
      </x:c>
    </x:row>
    <x:row r="684" ht="15" hidden="0">
      <x:c r="A684" s="73" t="n">
        <x:v>683</x:v>
      </x:c>
      <x:c r="B684" s="73" t="n">
        <x:v>687</x:v>
      </x:c>
      <x:c r="C684" s="73" t="s">
        <x:v>2981</x:v>
      </x:c>
      <x:c r="D684" s="73" t="s">
        <x:v>495</x:v>
      </x:c>
      <x:c r="E684" s="73" t="s">
        <x:v>2982</x:v>
      </x:c>
      <x:c r="F684" s="73" t="s">
        <x:v>2983</x:v>
      </x:c>
      <x:c r="G684" s="73" t="s">
        <x:v>31</x:v>
      </x:c>
      <x:c r="H684" s="73" t="s">
        <x:v>2984</x:v>
      </x:c>
      <x:c r="I684" s="73" t="n">
        <x:v>23</x:v>
      </x:c>
      <x:c r="J684" s="73" t="n">
        <x:v>42</x:v>
      </x:c>
      <x:c r="K684" s="73" t="s">
        <x:v>2581</x:v>
      </x:c>
      <x:c r="L684" s="73" t="n">
        <x:v>2023</x:v>
      </x:c>
      <x:c r="M684" s="73" t="n">
        <x:v>9</x:v>
      </x:c>
      <x:c r="N684" s="73" t="n">
        <x:v>10</x:v>
      </x:c>
      <x:c r="O684" s="73" t="n">
        <x:v>20</x:v>
      </x:c>
    </x:row>
    <x:row r="685" ht="15" hidden="0">
      <x:c r="A685" s="73" t="n">
        <x:v>684</x:v>
      </x:c>
      <x:c r="B685" s="73" t="n">
        <x:v>688</x:v>
      </x:c>
      <x:c r="C685" s="73" t="s">
        <x:v>2985</x:v>
      </x:c>
      <x:c r="D685" s="73" t="s">
        <x:v>2986</x:v>
      </x:c>
      <x:c r="E685" s="73" t="s">
        <x:v>2987</x:v>
      </x:c>
      <x:c r="F685" s="73" t="s">
        <x:v>2988</x:v>
      </x:c>
      <x:c r="G685" s="73" t="s">
        <x:v>1121</x:v>
      </x:c>
      <x:c r="H685" s="73" t="s">
        <x:v>2989</x:v>
      </x:c>
      <x:c r="I685" s="73" t="n">
        <x:v>15</x:v>
      </x:c>
      <x:c r="J685" s="73" t="n">
        <x:v>28</x:v>
      </x:c>
      <x:c r="K685" s="73" t="s">
        <x:v>2570</x:v>
      </x:c>
      <x:c r="L685" s="73" t="n">
        <x:v>2023</x:v>
      </x:c>
      <x:c r="M685" s="73" t="n">
        <x:v>9</x:v>
      </x:c>
      <x:c r="N685" s="73" t="n">
        <x:v>11</x:v>
      </x:c>
      <x:c r="O685" s="73" t="n">
        <x:v>15</x:v>
      </x:c>
    </x:row>
    <x:row r="686" ht="15" hidden="0">
      <x:c r="A686" s="73" t="n">
        <x:v>685</x:v>
      </x:c>
      <x:c r="B686" s="73" t="n">
        <x:v>689</x:v>
      </x:c>
      <x:c r="C686" s="73" t="s">
        <x:v>2990</x:v>
      </x:c>
      <x:c r="D686" s="73" t="s">
        <x:v>2991</x:v>
      </x:c>
      <x:c r="E686" s="73" t="s">
        <x:v>2992</x:v>
      </x:c>
      <x:c r="F686" s="73" t="s">
        <x:v>2993</x:v>
      </x:c>
      <x:c r="G686" s="73" t="s">
        <x:v>31</x:v>
      </x:c>
      <x:c r="H686" s="73" t="s">
        <x:v>2994</x:v>
      </x:c>
      <x:c r="I686" s="73" t="n">
        <x:v>18</x:v>
      </x:c>
      <x:c r="J686" s="73" t="n">
        <x:v>36</x:v>
      </x:c>
      <x:c r="K686" s="73" t="s">
        <x:v>2576</x:v>
      </x:c>
      <x:c r="L686" s="73" t="n">
        <x:v>2023</x:v>
      </x:c>
      <x:c r="M686" s="73" t="n">
        <x:v>9</x:v>
      </x:c>
      <x:c r="N686" s="73" t="n">
        <x:v>12</x:v>
      </x:c>
      <x:c r="O686" s="73" t="n">
        <x:v>12</x:v>
      </x:c>
    </x:row>
    <x:row r="687" ht="15" hidden="0">
      <x:c r="A687" s="73" t="n">
        <x:v>686</x:v>
      </x:c>
      <x:c r="B687" s="73" t="n">
        <x:v>690</x:v>
      </x:c>
      <x:c r="C687" s="73" t="s">
        <x:v>2995</x:v>
      </x:c>
      <x:c r="D687" s="73" t="s">
        <x:v>2996</x:v>
      </x:c>
      <x:c r="E687" s="73" t="s">
        <x:v>2997</x:v>
      </x:c>
      <x:c r="F687" s="73" t="s">
        <x:v>2998</x:v>
      </x:c>
      <x:c r="G687" s="73" t="s">
        <x:v>37</x:v>
      </x:c>
      <x:c r="H687" s="73" t="s">
        <x:v>2999</x:v>
      </x:c>
      <x:c r="I687" s="73" t="n">
        <x:v>20</x:v>
      </x:c>
      <x:c r="J687" s="73" t="n">
        <x:v>40</x:v>
      </x:c>
      <x:c r="K687" s="73" t="s">
        <x:v>2581</x:v>
      </x:c>
      <x:c r="L687" s="73" t="n">
        <x:v>2023</x:v>
      </x:c>
      <x:c r="M687" s="73" t="n">
        <x:v>9</x:v>
      </x:c>
      <x:c r="N687" s="73" t="n">
        <x:v>13</x:v>
      </x:c>
      <x:c r="O687" s="73" t="n">
        <x:v>16</x:v>
      </x:c>
    </x:row>
    <x:row r="688" ht="15" hidden="0">
      <x:c r="A688" s="73" t="n">
        <x:v>687</x:v>
      </x:c>
      <x:c r="B688" s="73" t="n">
        <x:v>691</x:v>
      </x:c>
      <x:c r="C688" s="73" t="s">
        <x:v>3000</x:v>
      </x:c>
      <x:c r="D688" s="73" t="s">
        <x:v>2986</x:v>
      </x:c>
      <x:c r="E688" s="73" t="s">
        <x:v>3001</x:v>
      </x:c>
      <x:c r="F688" s="73" t="s">
        <x:v>3002</x:v>
      </x:c>
      <x:c r="G688" s="73" t="s">
        <x:v>1121</x:v>
      </x:c>
      <x:c r="H688" s="73" t="s">
        <x:v>3003</x:v>
      </x:c>
      <x:c r="I688" s="73" t="n">
        <x:v>17</x:v>
      </x:c>
      <x:c r="J688" s="73" t="n">
        <x:v>34</x:v>
      </x:c>
      <x:c r="K688" s="73" t="s">
        <x:v>2570</x:v>
      </x:c>
      <x:c r="L688" s="73" t="n">
        <x:v>2023</x:v>
      </x:c>
      <x:c r="M688" s="73" t="n">
        <x:v>9</x:v>
      </x:c>
      <x:c r="N688" s="73" t="n">
        <x:v>14</x:v>
      </x:c>
      <x:c r="O688" s="73" t="n">
        <x:v>18</x:v>
      </x:c>
    </x:row>
    <x:row r="689" ht="15" hidden="0">
      <x:c r="A689" s="73" t="n">
        <x:v>688</x:v>
      </x:c>
      <x:c r="B689" s="73" t="n">
        <x:v>692</x:v>
      </x:c>
      <x:c r="C689" s="73" t="s">
        <x:v>3004</x:v>
      </x:c>
      <x:c r="D689" s="73" t="s">
        <x:v>2991</x:v>
      </x:c>
      <x:c r="E689" s="73" t="s">
        <x:v>3005</x:v>
      </x:c>
      <x:c r="F689" s="73" t="s">
        <x:v>3006</x:v>
      </x:c>
      <x:c r="G689" s="73" t="s">
        <x:v>31</x:v>
      </x:c>
      <x:c r="H689" s="73" t="s">
        <x:v>3007</x:v>
      </x:c>
      <x:c r="I689" s="73" t="n">
        <x:v>21</x:v>
      </x:c>
      <x:c r="J689" s="73" t="n">
        <x:v>41</x:v>
      </x:c>
      <x:c r="K689" s="73" t="s">
        <x:v>2576</x:v>
      </x:c>
      <x:c r="L689" s="73" t="n">
        <x:v>2023</x:v>
      </x:c>
      <x:c r="M689" s="73" t="n">
        <x:v>9</x:v>
      </x:c>
      <x:c r="N689" s="73" t="n">
        <x:v>15</x:v>
      </x:c>
      <x:c r="O689" s="73" t="n">
        <x:v>14</x:v>
      </x:c>
    </x:row>
    <x:row r="690" ht="15" hidden="0">
      <x:c r="A690" s="73" t="n">
        <x:v>689</x:v>
      </x:c>
      <x:c r="B690" s="73" t="n">
        <x:v>693</x:v>
      </x:c>
      <x:c r="C690" s="73" t="s">
        <x:v>3008</x:v>
      </x:c>
      <x:c r="D690" s="73" t="s">
        <x:v>2996</x:v>
      </x:c>
      <x:c r="E690" s="73" t="s">
        <x:v>3009</x:v>
      </x:c>
      <x:c r="F690" s="73" t="s">
        <x:v>3010</x:v>
      </x:c>
      <x:c r="G690" s="73" t="s">
        <x:v>37</x:v>
      </x:c>
      <x:c r="H690" s="73" t="s">
        <x:v>3011</x:v>
      </x:c>
      <x:c r="I690" s="73" t="n">
        <x:v>19</x:v>
      </x:c>
      <x:c r="J690" s="73" t="n">
        <x:v>38</x:v>
      </x:c>
      <x:c r="K690" s="73" t="s">
        <x:v>2581</x:v>
      </x:c>
      <x:c r="L690" s="73" t="n">
        <x:v>2023</x:v>
      </x:c>
      <x:c r="M690" s="73" t="n">
        <x:v>9</x:v>
      </x:c>
      <x:c r="N690" s="73" t="n">
        <x:v>16</x:v>
      </x:c>
      <x:c r="O690" s="73" t="n">
        <x:v>17</x:v>
      </x:c>
    </x:row>
    <x:row r="691" ht="15" hidden="0">
      <x:c r="A691" s="73" t="n">
        <x:v>690</x:v>
      </x:c>
      <x:c r="B691" s="73" t="n">
        <x:v>694</x:v>
      </x:c>
      <x:c r="C691" s="73" t="s">
        <x:v>3012</x:v>
      </x:c>
      <x:c r="D691" s="73" t="s">
        <x:v>2986</x:v>
      </x:c>
      <x:c r="E691" s="73" t="s">
        <x:v>3013</x:v>
      </x:c>
      <x:c r="F691" s="73" t="s">
        <x:v>3014</x:v>
      </x:c>
      <x:c r="G691" s="73" t="s">
        <x:v>1121</x:v>
      </x:c>
      <x:c r="H691" s="73" t="s">
        <x:v>3015</x:v>
      </x:c>
      <x:c r="I691" s="73" t="n">
        <x:v>22</x:v>
      </x:c>
      <x:c r="J691" s="73" t="n">
        <x:v>44</x:v>
      </x:c>
      <x:c r="K691" s="73" t="s">
        <x:v>2570</x:v>
      </x:c>
      <x:c r="L691" s="73" t="n">
        <x:v>2023</x:v>
      </x:c>
      <x:c r="M691" s="73" t="n">
        <x:v>9</x:v>
      </x:c>
      <x:c r="N691" s="73" t="n">
        <x:v>17</x:v>
      </x:c>
      <x:c r="O691" s="73" t="n">
        <x:v>20</x:v>
      </x:c>
    </x:row>
    <x:row r="692" ht="15" hidden="0">
      <x:c r="A692" s="73" t="n">
        <x:v>691</x:v>
      </x:c>
      <x:c r="B692" s="73" t="n">
        <x:v>695</x:v>
      </x:c>
      <x:c r="C692" s="73" t="s">
        <x:v>3016</x:v>
      </x:c>
      <x:c r="D692" s="73" t="s">
        <x:v>2986</x:v>
      </x:c>
      <x:c r="E692" s="73" t="s">
        <x:v>3017</x:v>
      </x:c>
      <x:c r="F692" s="73" t="s">
        <x:v>3018</x:v>
      </x:c>
      <x:c r="G692" s="73" t="s">
        <x:v>31</x:v>
      </x:c>
      <x:c r="H692" s="73" t="s">
        <x:v>3019</x:v>
      </x:c>
      <x:c r="I692" s="73" t="n">
        <x:v>16</x:v>
      </x:c>
      <x:c r="J692" s="73" t="n">
        <x:v>31</x:v>
      </x:c>
      <x:c r="K692" s="73" t="s">
        <x:v>2576</x:v>
      </x:c>
      <x:c r="L692" s="73" t="n">
        <x:v>2023</x:v>
      </x:c>
      <x:c r="M692" s="73" t="n">
        <x:v>9</x:v>
      </x:c>
      <x:c r="N692" s="73" t="n">
        <x:v>18</x:v>
      </x:c>
      <x:c r="O692" s="73" t="n">
        <x:v>22</x:v>
      </x:c>
    </x:row>
    <x:row r="693" ht="15" hidden="0">
      <x:c r="A693" s="73" t="n">
        <x:v>692</x:v>
      </x:c>
      <x:c r="B693" s="73" t="n">
        <x:v>696</x:v>
      </x:c>
      <x:c r="C693" s="73" t="s">
        <x:v>3020</x:v>
      </x:c>
      <x:c r="D693" s="73" t="s">
        <x:v>2991</x:v>
      </x:c>
      <x:c r="E693" s="73" t="s">
        <x:v>3021</x:v>
      </x:c>
      <x:c r="F693" s="73" t="s">
        <x:v>3022</x:v>
      </x:c>
      <x:c r="G693" s="73" t="s">
        <x:v>37</x:v>
      </x:c>
      <x:c r="H693" s="73" t="s">
        <x:v>3023</x:v>
      </x:c>
      <x:c r="I693" s="73" t="n">
        <x:v>14</x:v>
      </x:c>
      <x:c r="J693" s="73" t="n">
        <x:v>27</x:v>
      </x:c>
      <x:c r="K693" s="73" t="s">
        <x:v>2581</x:v>
      </x:c>
      <x:c r="L693" s="73" t="n">
        <x:v>2023</x:v>
      </x:c>
      <x:c r="M693" s="73" t="n">
        <x:v>9</x:v>
      </x:c>
      <x:c r="N693" s="73" t="n">
        <x:v>19</x:v>
      </x:c>
      <x:c r="O693" s="73" t="n">
        <x:v>15</x:v>
      </x:c>
    </x:row>
    <x:row r="694" ht="15" hidden="0">
      <x:c r="A694" s="73" t="n">
        <x:v>693</x:v>
      </x:c>
      <x:c r="B694" s="73" t="n">
        <x:v>697</x:v>
      </x:c>
      <x:c r="C694" s="73" t="s">
        <x:v>3024</x:v>
      </x:c>
      <x:c r="D694" s="73" t="s">
        <x:v>2996</x:v>
      </x:c>
      <x:c r="E694" s="73" t="s">
        <x:v>3025</x:v>
      </x:c>
      <x:c r="F694" s="73" t="s">
        <x:v>3026</x:v>
      </x:c>
      <x:c r="G694" s="73" t="s">
        <x:v>1121</x:v>
      </x:c>
      <x:c r="H694" s="73" t="s">
        <x:v>3027</x:v>
      </x:c>
      <x:c r="I694" s="73" t="n">
        <x:v>18</x:v>
      </x:c>
      <x:c r="J694" s="73" t="n">
        <x:v>35</x:v>
      </x:c>
      <x:c r="K694" s="73" t="s">
        <x:v>2570</x:v>
      </x:c>
      <x:c r="L694" s="73" t="n">
        <x:v>2023</x:v>
      </x:c>
      <x:c r="M694" s="73" t="n">
        <x:v>9</x:v>
      </x:c>
      <x:c r="N694" s="73" t="n">
        <x:v>20</x:v>
      </x:c>
      <x:c r="O694" s="73" t="n">
        <x:v>12</x:v>
      </x:c>
    </x:row>
    <x:row r="695" ht="15" hidden="0">
      <x:c r="A695" s="73" t="n">
        <x:v>694</x:v>
      </x:c>
      <x:c r="B695" s="73" t="n">
        <x:v>698</x:v>
      </x:c>
      <x:c r="C695" s="73" t="s">
        <x:v>3028</x:v>
      </x:c>
      <x:c r="D695" s="73" t="s">
        <x:v>2986</x:v>
      </x:c>
      <x:c r="E695" s="73" t="s">
        <x:v>3029</x:v>
      </x:c>
      <x:c r="F695" s="73" t="s">
        <x:v>3030</x:v>
      </x:c>
      <x:c r="G695" s="73" t="s">
        <x:v>31</x:v>
      </x:c>
      <x:c r="H695" s="73" t="s">
        <x:v>3031</x:v>
      </x:c>
      <x:c r="I695" s="73" t="n">
        <x:v>20</x:v>
      </x:c>
      <x:c r="J695" s="73" t="n">
        <x:v>39</x:v>
      </x:c>
      <x:c r="K695" s="73" t="s">
        <x:v>2576</x:v>
      </x:c>
      <x:c r="L695" s="73" t="n">
        <x:v>2023</x:v>
      </x:c>
      <x:c r="M695" s="73" t="n">
        <x:v>9</x:v>
      </x:c>
      <x:c r="N695" s="73" t="n">
        <x:v>21</x:v>
      </x:c>
      <x:c r="O695" s="73" t="n">
        <x:v>16</x:v>
      </x:c>
    </x:row>
    <x:row r="696" ht="15" hidden="0">
      <x:c r="A696" s="73" t="n">
        <x:v>695</x:v>
      </x:c>
      <x:c r="B696" s="73" t="n">
        <x:v>699</x:v>
      </x:c>
      <x:c r="C696" s="73" t="s">
        <x:v>3032</x:v>
      </x:c>
      <x:c r="D696" s="73" t="s">
        <x:v>2991</x:v>
      </x:c>
      <x:c r="E696" s="73" t="s">
        <x:v>3033</x:v>
      </x:c>
      <x:c r="F696" s="73" t="s">
        <x:v>3034</x:v>
      </x:c>
      <x:c r="G696" s="73" t="s">
        <x:v>37</x:v>
      </x:c>
      <x:c r="H696" s="73" t="s">
        <x:v>3035</x:v>
      </x:c>
      <x:c r="I696" s="73" t="n">
        <x:v>23</x:v>
      </x:c>
      <x:c r="J696" s="73" t="n">
        <x:v>46</x:v>
      </x:c>
      <x:c r="K696" s="73" t="s">
        <x:v>2581</x:v>
      </x:c>
      <x:c r="L696" s="73" t="n">
        <x:v>2023</x:v>
      </x:c>
      <x:c r="M696" s="73" t="n">
        <x:v>9</x:v>
      </x:c>
      <x:c r="N696" s="73" t="n">
        <x:v>22</x:v>
      </x:c>
      <x:c r="O696" s="73" t="n">
        <x:v>18</x:v>
      </x:c>
    </x:row>
    <x:row r="697" ht="15" hidden="0">
      <x:c r="A697" s="73" t="n">
        <x:v>696</x:v>
      </x:c>
      <x:c r="B697" s="73" t="n">
        <x:v>700</x:v>
      </x:c>
      <x:c r="C697" s="73" t="s">
        <x:v>3036</x:v>
      </x:c>
      <x:c r="D697" s="73" t="s">
        <x:v>2996</x:v>
      </x:c>
      <x:c r="E697" s="73" t="s">
        <x:v>3037</x:v>
      </x:c>
      <x:c r="F697" s="73" t="s">
        <x:v>3038</x:v>
      </x:c>
      <x:c r="G697" s="73" t="s">
        <x:v>1121</x:v>
      </x:c>
      <x:c r="H697" s="73" t="s">
        <x:v>3039</x:v>
      </x:c>
      <x:c r="I697" s="73" t="n">
        <x:v>25</x:v>
      </x:c>
      <x:c r="J697" s="73" t="n">
        <x:v>50</x:v>
      </x:c>
      <x:c r="K697" s="73" t="s">
        <x:v>2570</x:v>
      </x:c>
      <x:c r="L697" s="73" t="n">
        <x:v>2023</x:v>
      </x:c>
      <x:c r="M697" s="73" t="n">
        <x:v>9</x:v>
      </x:c>
      <x:c r="N697" s="73" t="n">
        <x:v>23</x:v>
      </x:c>
      <x:c r="O697" s="73" t="n">
        <x:v>14</x:v>
      </x:c>
    </x:row>
    <x:row r="698" ht="15" hidden="0">
      <x:c r="A698" s="73" t="n">
        <x:v>697</x:v>
      </x:c>
      <x:c r="B698" s="73" t="n">
        <x:v>701</x:v>
      </x:c>
      <x:c r="C698" s="73" t="s">
        <x:v>3040</x:v>
      </x:c>
      <x:c r="D698" s="73" t="s">
        <x:v>2986</x:v>
      </x:c>
      <x:c r="E698" s="73" t="s">
        <x:v>3041</x:v>
      </x:c>
      <x:c r="F698" s="73" t="s">
        <x:v>3042</x:v>
      </x:c>
      <x:c r="G698" s="73" t="s">
        <x:v>31</x:v>
      </x:c>
      <x:c r="H698" s="73" t="s">
        <x:v>3043</x:v>
      </x:c>
      <x:c r="I698" s="73" t="n">
        <x:v>21</x:v>
      </x:c>
      <x:c r="J698" s="73" t="n">
        <x:v>42</x:v>
      </x:c>
      <x:c r="K698" s="73" t="s">
        <x:v>2576</x:v>
      </x:c>
      <x:c r="L698" s="73" t="n">
        <x:v>2023</x:v>
      </x:c>
      <x:c r="M698" s="73" t="n">
        <x:v>9</x:v>
      </x:c>
      <x:c r="N698" s="73" t="n">
        <x:v>24</x:v>
      </x:c>
      <x:c r="O698" s="73" t="n">
        <x:v>17</x:v>
      </x:c>
    </x:row>
    <x:row r="699" ht="15" hidden="0">
      <x:c r="A699" s="73" t="n">
        <x:v>698</x:v>
      </x:c>
      <x:c r="B699" s="73" t="n">
        <x:v>702</x:v>
      </x:c>
      <x:c r="C699" s="73" t="s">
        <x:v>3044</x:v>
      </x:c>
      <x:c r="D699" s="73" t="s">
        <x:v>2986</x:v>
      </x:c>
      <x:c r="E699" s="73" t="s">
        <x:v>3045</x:v>
      </x:c>
      <x:c r="F699" s="73" t="s">
        <x:v>3046</x:v>
      </x:c>
      <x:c r="G699" s="73" t="s">
        <x:v>37</x:v>
      </x:c>
      <x:c r="H699" s="73" t="s">
        <x:v>3047</x:v>
      </x:c>
      <x:c r="I699" s="73" t="n">
        <x:v>19</x:v>
      </x:c>
      <x:c r="J699" s="73" t="n">
        <x:v>37</x:v>
      </x:c>
      <x:c r="K699" s="73" t="s">
        <x:v>2581</x:v>
      </x:c>
      <x:c r="L699" s="73" t="n">
        <x:v>2023</x:v>
      </x:c>
      <x:c r="M699" s="73" t="n">
        <x:v>9</x:v>
      </x:c>
      <x:c r="N699" s="73" t="n">
        <x:v>25</x:v>
      </x:c>
      <x:c r="O699" s="73" t="n">
        <x:v>20</x:v>
      </x:c>
    </x:row>
    <x:row r="700" ht="15" hidden="0">
      <x:c r="A700" s="73" t="n">
        <x:v>699</x:v>
      </x:c>
      <x:c r="B700" s="73" t="n">
        <x:v>703</x:v>
      </x:c>
      <x:c r="C700" s="73" t="s">
        <x:v>3048</x:v>
      </x:c>
      <x:c r="D700" s="73" t="s">
        <x:v>2991</x:v>
      </x:c>
      <x:c r="E700" s="73" t="s">
        <x:v>3049</x:v>
      </x:c>
      <x:c r="F700" s="73" t="s">
        <x:v>3050</x:v>
      </x:c>
      <x:c r="G700" s="73" t="s">
        <x:v>1121</x:v>
      </x:c>
      <x:c r="H700" s="73" t="s">
        <x:v>3051</x:v>
      </x:c>
      <x:c r="I700" s="73" t="n">
        <x:v>16</x:v>
      </x:c>
      <x:c r="J700" s="73" t="n">
        <x:v>32</x:v>
      </x:c>
      <x:c r="K700" s="73" t="s">
        <x:v>2570</x:v>
      </x:c>
      <x:c r="L700" s="73" t="n">
        <x:v>2023</x:v>
      </x:c>
      <x:c r="M700" s="73" t="n">
        <x:v>9</x:v>
      </x:c>
      <x:c r="N700" s="73" t="n">
        <x:v>26</x:v>
      </x:c>
      <x:c r="O700" s="73" t="n">
        <x:v>14</x:v>
      </x:c>
    </x:row>
    <x:row r="701" ht="15" hidden="0">
      <x:c r="A701" s="73" t="n">
        <x:v>700</x:v>
      </x:c>
      <x:c r="B701" s="73" t="n">
        <x:v>704</x:v>
      </x:c>
      <x:c r="C701" s="73" t="s">
        <x:v>3052</x:v>
      </x:c>
      <x:c r="D701" s="73" t="s">
        <x:v>2996</x:v>
      </x:c>
      <x:c r="E701" s="73" t="s">
        <x:v>3053</x:v>
      </x:c>
      <x:c r="F701" s="73" t="s">
        <x:v>3054</x:v>
      </x:c>
      <x:c r="G701" s="73" t="s">
        <x:v>31</x:v>
      </x:c>
      <x:c r="H701" s="73" t="s">
        <x:v>3055</x:v>
      </x:c>
      <x:c r="I701" s="73" t="n">
        <x:v>18</x:v>
      </x:c>
      <x:c r="J701" s="73" t="n">
        <x:v>36</x:v>
      </x:c>
      <x:c r="K701" s="73" t="s">
        <x:v>2576</x:v>
      </x:c>
      <x:c r="L701" s="73" t="n">
        <x:v>2023</x:v>
      </x:c>
      <x:c r="M701" s="73" t="n">
        <x:v>9</x:v>
      </x:c>
      <x:c r="N701" s="73" t="n">
        <x:v>27</x:v>
      </x:c>
      <x:c r="O701" s="73" t="n">
        <x:v>17</x:v>
      </x:c>
    </x:row>
    <x:row r="702" ht="15" hidden="0">
      <x:c r="A702" s="73" t="n">
        <x:v>701</x:v>
      </x:c>
      <x:c r="B702" s="73" t="n">
        <x:v>705</x:v>
      </x:c>
      <x:c r="C702" s="73" t="s">
        <x:v>3056</x:v>
      </x:c>
      <x:c r="D702" s="73" t="s">
        <x:v>2986</x:v>
      </x:c>
      <x:c r="E702" s="73" t="s">
        <x:v>3057</x:v>
      </x:c>
      <x:c r="F702" s="73" t="s">
        <x:v>3058</x:v>
      </x:c>
      <x:c r="G702" s="73" t="s">
        <x:v>37</x:v>
      </x:c>
      <x:c r="H702" s="73" t="s">
        <x:v>3059</x:v>
      </x:c>
      <x:c r="I702" s="73" t="n">
        <x:v>21</x:v>
      </x:c>
      <x:c r="J702" s="73" t="n">
        <x:v>41</x:v>
      </x:c>
      <x:c r="K702" s="73" t="s">
        <x:v>2581</x:v>
      </x:c>
      <x:c r="L702" s="73" t="n">
        <x:v>2023</x:v>
      </x:c>
      <x:c r="M702" s="73" t="n">
        <x:v>9</x:v>
      </x:c>
      <x:c r="N702" s="73" t="n">
        <x:v>28</x:v>
      </x:c>
      <x:c r="O702" s="73" t="n">
        <x:v>22</x:v>
      </x:c>
    </x:row>
    <x:row r="703" ht="15" hidden="0">
      <x:c r="A703" s="73" t="n">
        <x:v>702</x:v>
      </x:c>
      <x:c r="B703" s="73" t="n">
        <x:v>706</x:v>
      </x:c>
      <x:c r="C703" s="73" t="s">
        <x:v>3060</x:v>
      </x:c>
      <x:c r="D703" s="73" t="s">
        <x:v>2991</x:v>
      </x:c>
      <x:c r="E703" s="73" t="s">
        <x:v>3061</x:v>
      </x:c>
      <x:c r="F703" s="73" t="s">
        <x:v>3062</x:v>
      </x:c>
      <x:c r="G703" s="73" t="s">
        <x:v>1121</x:v>
      </x:c>
      <x:c r="H703" s="73" t="s">
        <x:v>3063</x:v>
      </x:c>
      <x:c r="I703" s="73" t="n">
        <x:v>24</x:v>
      </x:c>
      <x:c r="J703" s="73" t="n">
        <x:v>48</x:v>
      </x:c>
      <x:c r="K703" s="73" t="s">
        <x:v>2570</x:v>
      </x:c>
      <x:c r="L703" s="73" t="n">
        <x:v>2023</x:v>
      </x:c>
      <x:c r="M703" s="73" t="n">
        <x:v>9</x:v>
      </x:c>
      <x:c r="N703" s="73" t="n">
        <x:v>29</x:v>
      </x:c>
      <x:c r="O703" s="73" t="n">
        <x:v>15</x:v>
      </x:c>
    </x:row>
    <x:row r="704" ht="15" hidden="0">
      <x:c r="A704" s="73" t="n">
        <x:v>703</x:v>
      </x:c>
      <x:c r="B704" s="73" t="n">
        <x:v>707</x:v>
      </x:c>
      <x:c r="C704" s="73" t="s">
        <x:v>3064</x:v>
      </x:c>
      <x:c r="D704" s="73" t="s">
        <x:v>2996</x:v>
      </x:c>
      <x:c r="E704" s="73" t="s">
        <x:v>3065</x:v>
      </x:c>
      <x:c r="F704" s="73" t="s">
        <x:v>3066</x:v>
      </x:c>
      <x:c r="G704" s="73" t="s">
        <x:v>31</x:v>
      </x:c>
      <x:c r="H704" s="73" t="s">
        <x:v>3067</x:v>
      </x:c>
      <x:c r="I704" s="73" t="n">
        <x:v>22</x:v>
      </x:c>
      <x:c r="J704" s="73" t="n">
        <x:v>43</x:v>
      </x:c>
      <x:c r="K704" s="73" t="s">
        <x:v>2576</x:v>
      </x:c>
      <x:c r="L704" s="73" t="n">
        <x:v>2023</x:v>
      </x:c>
      <x:c r="M704" s="73" t="n">
        <x:v>9</x:v>
      </x:c>
      <x:c r="N704" s="73" t="n">
        <x:v>30</x:v>
      </x:c>
      <x:c r="O704" s="73" t="n">
        <x:v>18</x:v>
      </x:c>
    </x:row>
    <x:row r="705" ht="15" hidden="0">
      <x:c r="A705" s="73" t="n">
        <x:v>704</x:v>
      </x:c>
      <x:c r="B705" s="73" t="n">
        <x:v>708</x:v>
      </x:c>
      <x:c r="C705" s="73" t="s">
        <x:v>3068</x:v>
      </x:c>
      <x:c r="D705" s="73" t="s">
        <x:v>2986</x:v>
      </x:c>
      <x:c r="E705" s="73" t="s">
        <x:v>3069</x:v>
      </x:c>
      <x:c r="F705" s="73" t="s">
        <x:v>3070</x:v>
      </x:c>
      <x:c r="G705" s="73" t="s">
        <x:v>37</x:v>
      </x:c>
      <x:c r="H705" s="73" t="s">
        <x:v>3071</x:v>
      </x:c>
      <x:c r="I705" s="73" t="n">
        <x:v>20</x:v>
      </x:c>
      <x:c r="J705" s="73" t="n">
        <x:v>39</x:v>
      </x:c>
      <x:c r="K705" s="73" t="s">
        <x:v>2581</x:v>
      </x:c>
      <x:c r="L705" s="73" t="n">
        <x:v>2023</x:v>
      </x:c>
      <x:c r="M705" s="73" t="n">
        <x:v>10</x:v>
      </x:c>
      <x:c r="N705" s="73" t="n">
        <x:v>1</x:v>
      </x:c>
      <x:c r="O705" s="73" t="n">
        <x:v>14</x:v>
      </x:c>
    </x:row>
    <x:row r="706" ht="15" hidden="0">
      <x:c r="A706" s="73" t="n">
        <x:v>705</x:v>
      </x:c>
      <x:c r="B706" s="73" t="n">
        <x:v>709</x:v>
      </x:c>
      <x:c r="C706" s="73" t="s">
        <x:v>3072</x:v>
      </x:c>
      <x:c r="D706" s="73" t="s">
        <x:v>3073</x:v>
      </x:c>
      <x:c r="E706" s="73" t="s">
        <x:v>3074</x:v>
      </x:c>
      <x:c r="F706" s="73" t="s">
        <x:v>3075</x:v>
      </x:c>
      <x:c r="G706" s="73" t="s">
        <x:v>31</x:v>
      </x:c>
      <x:c r="H706" s="73" t="s">
        <x:v>3076</x:v>
      </x:c>
      <x:c r="I706" s="73" t="n">
        <x:v>23</x:v>
      </x:c>
      <x:c r="J706" s="73" t="n">
        <x:v>42</x:v>
      </x:c>
      <x:c r="K706" s="73" t="s">
        <x:v>2570</x:v>
      </x:c>
      <x:c r="L706" s="73" t="n">
        <x:v>2023</x:v>
      </x:c>
      <x:c r="M706" s="73" t="n">
        <x:v>10</x:v>
      </x:c>
      <x:c r="N706" s="73" t="n">
        <x:v>2</x:v>
      </x:c>
      <x:c r="O706" s="73" t="n">
        <x:v>16</x:v>
      </x:c>
    </x:row>
    <x:row r="707" ht="15" hidden="0">
      <x:c r="A707" s="73" t="n">
        <x:v>706</x:v>
      </x:c>
      <x:c r="B707" s="73" t="n">
        <x:v>710</x:v>
      </x:c>
      <x:c r="C707" s="73" t="s">
        <x:v>3077</x:v>
      </x:c>
      <x:c r="D707" s="73" t="s">
        <x:v>3073</x:v>
      </x:c>
      <x:c r="E707" s="73" t="s">
        <x:v>3078</x:v>
      </x:c>
      <x:c r="F707" s="73" t="s">
        <x:v>3079</x:v>
      </x:c>
      <x:c r="G707" s="73" t="s">
        <x:v>1121</x:v>
      </x:c>
      <x:c r="H707" s="73" t="s">
        <x:v>3080</x:v>
      </x:c>
      <x:c r="I707" s="73" t="n">
        <x:v>26</x:v>
      </x:c>
      <x:c r="J707" s="73" t="n">
        <x:v>50</x:v>
      </x:c>
      <x:c r="K707" s="73" t="s">
        <x:v>2576</x:v>
      </x:c>
      <x:c r="L707" s="73" t="n">
        <x:v>2023</x:v>
      </x:c>
      <x:c r="M707" s="73" t="n">
        <x:v>10</x:v>
      </x:c>
      <x:c r="N707" s="73" t="n">
        <x:v>3</x:v>
      </x:c>
      <x:c r="O707" s="73" t="n">
        <x:v>12</x:v>
      </x:c>
    </x:row>
    <x:row r="708" ht="15" hidden="0">
      <x:c r="A708" s="73" t="n">
        <x:v>707</x:v>
      </x:c>
      <x:c r="B708" s="73" t="n">
        <x:v>711</x:v>
      </x:c>
      <x:c r="C708" s="73" t="s">
        <x:v>3081</x:v>
      </x:c>
      <x:c r="D708" s="73" t="s">
        <x:v>3073</x:v>
      </x:c>
      <x:c r="E708" s="73" t="s">
        <x:v>3082</x:v>
      </x:c>
      <x:c r="F708" s="73" t="s">
        <x:v>3083</x:v>
      </x:c>
      <x:c r="G708" s="73" t="s">
        <x:v>37</x:v>
      </x:c>
      <x:c r="H708" s="73" t="s">
        <x:v>3084</x:v>
      </x:c>
      <x:c r="I708" s="73" t="n">
        <x:v>19</x:v>
      </x:c>
      <x:c r="J708" s="73" t="n">
        <x:v>38</x:v>
      </x:c>
      <x:c r="K708" s="73" t="s">
        <x:v>2581</x:v>
      </x:c>
      <x:c r="L708" s="73" t="n">
        <x:v>2023</x:v>
      </x:c>
      <x:c r="M708" s="73" t="n">
        <x:v>10</x:v>
      </x:c>
      <x:c r="N708" s="73" t="n">
        <x:v>4</x:v>
      </x:c>
      <x:c r="O708" s="73" t="n">
        <x:v>18</x:v>
      </x:c>
    </x:row>
    <x:row r="709" ht="15" hidden="0">
      <x:c r="A709" s="73" t="n">
        <x:v>708</x:v>
      </x:c>
      <x:c r="B709" s="73" t="n">
        <x:v>712</x:v>
      </x:c>
      <x:c r="C709" s="73" t="s">
        <x:v>3085</x:v>
      </x:c>
      <x:c r="D709" s="73" t="s">
        <x:v>3073</x:v>
      </x:c>
      <x:c r="E709" s="73" t="s">
        <x:v>3086</x:v>
      </x:c>
      <x:c r="F709" s="73" t="s">
        <x:v>3087</x:v>
      </x:c>
      <x:c r="G709" s="73" t="s">
        <x:v>31</x:v>
      </x:c>
      <x:c r="H709" s="73" t="s">
        <x:v>3088</x:v>
      </x:c>
      <x:c r="I709" s="73" t="n">
        <x:v>21</x:v>
      </x:c>
      <x:c r="J709" s="73" t="n">
        <x:v>43</x:v>
      </x:c>
      <x:c r="K709" s="73" t="s">
        <x:v>2570</x:v>
      </x:c>
      <x:c r="L709" s="73" t="n">
        <x:v>2023</x:v>
      </x:c>
      <x:c r="M709" s="73" t="n">
        <x:v>10</x:v>
      </x:c>
      <x:c r="N709" s="73" t="n">
        <x:v>5</x:v>
      </x:c>
      <x:c r="O709" s="73" t="n">
        <x:v>14</x:v>
      </x:c>
    </x:row>
    <x:row r="710" ht="15" hidden="0">
      <x:c r="A710" s="73" t="n">
        <x:v>709</x:v>
      </x:c>
      <x:c r="B710" s="73" t="n">
        <x:v>713</x:v>
      </x:c>
      <x:c r="C710" s="73" t="s">
        <x:v>3089</x:v>
      </x:c>
      <x:c r="D710" s="73" t="s">
        <x:v>3073</x:v>
      </x:c>
      <x:c r="E710" s="73" t="s">
        <x:v>3090</x:v>
      </x:c>
      <x:c r="F710" s="73" t="s">
        <x:v>3091</x:v>
      </x:c>
      <x:c r="G710" s="73" t="s">
        <x:v>1121</x:v>
      </x:c>
      <x:c r="H710" s="73" t="s">
        <x:v>3092</x:v>
      </x:c>
      <x:c r="I710" s="73" t="n">
        <x:v>18</x:v>
      </x:c>
      <x:c r="J710" s="73" t="n">
        <x:v>36</x:v>
      </x:c>
      <x:c r="K710" s="73" t="s">
        <x:v>2576</x:v>
      </x:c>
      <x:c r="L710" s="73" t="n">
        <x:v>2023</x:v>
      </x:c>
      <x:c r="M710" s="73" t="n">
        <x:v>10</x:v>
      </x:c>
      <x:c r="N710" s="73" t="n">
        <x:v>6</x:v>
      </x:c>
      <x:c r="O710" s="73" t="n">
        <x:v>17</x:v>
      </x:c>
    </x:row>
    <x:row r="711" ht="15" hidden="0">
      <x:c r="A711" s="73" t="n">
        <x:v>710</x:v>
      </x:c>
      <x:c r="B711" s="73" t="n">
        <x:v>714</x:v>
      </x:c>
      <x:c r="C711" s="73" t="s">
        <x:v>3093</x:v>
      </x:c>
      <x:c r="D711" s="73" t="s">
        <x:v>3073</x:v>
      </x:c>
      <x:c r="E711" s="73" t="s">
        <x:v>3094</x:v>
      </x:c>
      <x:c r="F711" s="73" t="s">
        <x:v>3095</x:v>
      </x:c>
      <x:c r="G711" s="73" t="s">
        <x:v>31</x:v>
      </x:c>
      <x:c r="H711" s="73" t="s">
        <x:v>3096</x:v>
      </x:c>
      <x:c r="I711" s="73" t="n">
        <x:v>22</x:v>
      </x:c>
      <x:c r="J711" s="73" t="n">
        <x:v>45</x:v>
      </x:c>
      <x:c r="K711" s="73" t="s">
        <x:v>2581</x:v>
      </x:c>
      <x:c r="L711" s="73" t="n">
        <x:v>2023</x:v>
      </x:c>
      <x:c r="M711" s="73" t="n">
        <x:v>10</x:v>
      </x:c>
      <x:c r="N711" s="73" t="n">
        <x:v>7</x:v>
      </x:c>
      <x:c r="O711" s="73" t="n">
        <x:v>20</x:v>
      </x:c>
    </x:row>
    <x:row r="712" ht="15" hidden="0">
      <x:c r="A712" s="73" t="n">
        <x:v>711</x:v>
      </x:c>
      <x:c r="B712" s="73" t="n">
        <x:v>715</x:v>
      </x:c>
      <x:c r="C712" s="73" t="s">
        <x:v>3097</x:v>
      </x:c>
      <x:c r="D712" s="73" t="s">
        <x:v>3073</x:v>
      </x:c>
      <x:c r="E712" s="73" t="s">
        <x:v>3098</x:v>
      </x:c>
      <x:c r="F712" s="73" t="s">
        <x:v>3099</x:v>
      </x:c>
      <x:c r="G712" s="73" t="s">
        <x:v>37</x:v>
      </x:c>
      <x:c r="H712" s="73" t="s">
        <x:v>3100</x:v>
      </x:c>
      <x:c r="I712" s="73" t="n">
        <x:v>24</x:v>
      </x:c>
      <x:c r="J712" s="73" t="n">
        <x:v>48</x:v>
      </x:c>
      <x:c r="K712" s="73" t="s">
        <x:v>2570</x:v>
      </x:c>
      <x:c r="L712" s="73" t="n">
        <x:v>2023</x:v>
      </x:c>
      <x:c r="M712" s="73" t="n">
        <x:v>10</x:v>
      </x:c>
      <x:c r="N712" s="73" t="n">
        <x:v>8</x:v>
      </x:c>
      <x:c r="O712" s="73" t="n">
        <x:v>15</x:v>
      </x:c>
    </x:row>
    <x:row r="713" ht="15" hidden="0">
      <x:c r="A713" s="73" t="n">
        <x:v>712</x:v>
      </x:c>
      <x:c r="B713" s="73" t="n">
        <x:v>716</x:v>
      </x:c>
      <x:c r="C713" s="73" t="s">
        <x:v>3101</x:v>
      </x:c>
      <x:c r="D713" s="73" t="s">
        <x:v>3073</x:v>
      </x:c>
      <x:c r="E713" s="73" t="s">
        <x:v>3102</x:v>
      </x:c>
      <x:c r="F713" s="73" t="s">
        <x:v>3103</x:v>
      </x:c>
      <x:c r="G713" s="73" t="s">
        <x:v>1121</x:v>
      </x:c>
      <x:c r="H713" s="73" t="s">
        <x:v>3104</x:v>
      </x:c>
      <x:c r="I713" s="73" t="n">
        <x:v>20</x:v>
      </x:c>
      <x:c r="J713" s="73" t="n">
        <x:v>40</x:v>
      </x:c>
      <x:c r="K713" s="73" t="s">
        <x:v>2576</x:v>
      </x:c>
      <x:c r="L713" s="73" t="n">
        <x:v>2023</x:v>
      </x:c>
      <x:c r="M713" s="73" t="n">
        <x:v>10</x:v>
      </x:c>
      <x:c r="N713" s="73" t="n">
        <x:v>9</x:v>
      </x:c>
      <x:c r="O713" s="73" t="n">
        <x:v>22</x:v>
      </x:c>
    </x:row>
    <x:row r="714" ht="15" hidden="0">
      <x:c r="A714" s="73" t="n">
        <x:v>713</x:v>
      </x:c>
      <x:c r="B714" s="73" t="n">
        <x:v>717</x:v>
      </x:c>
      <x:c r="C714" s="73" t="s">
        <x:v>3105</x:v>
      </x:c>
      <x:c r="D714" s="73" t="s">
        <x:v>3073</x:v>
      </x:c>
      <x:c r="E714" s="73" t="s">
        <x:v>3106</x:v>
      </x:c>
      <x:c r="F714" s="73" t="s">
        <x:v>3107</x:v>
      </x:c>
      <x:c r="G714" s="73" t="s">
        <x:v>31</x:v>
      </x:c>
      <x:c r="H714" s="73" t="s">
        <x:v>3108</x:v>
      </x:c>
      <x:c r="I714" s="73" t="n">
        <x:v>25</x:v>
      </x:c>
      <x:c r="J714" s="73" t="n">
        <x:v>49</x:v>
      </x:c>
      <x:c r="K714" s="73" t="s">
        <x:v>2581</x:v>
      </x:c>
      <x:c r="L714" s="73" t="n">
        <x:v>2023</x:v>
      </x:c>
      <x:c r="M714" s="73" t="n">
        <x:v>10</x:v>
      </x:c>
      <x:c r="N714" s="73" t="n">
        <x:v>10</x:v>
      </x:c>
      <x:c r="O714" s="73" t="n">
        <x:v>14</x:v>
      </x:c>
    </x:row>
    <x:row r="715" ht="15" hidden="0">
      <x:c r="A715" s="73" t="n">
        <x:v>714</x:v>
      </x:c>
      <x:c r="B715" s="73" t="n">
        <x:v>718</x:v>
      </x:c>
      <x:c r="C715" s="73" t="s">
        <x:v>3109</x:v>
      </x:c>
      <x:c r="D715" s="73" t="s">
        <x:v>3073</x:v>
      </x:c>
      <x:c r="E715" s="73" t="s">
        <x:v>3110</x:v>
      </x:c>
      <x:c r="F715" s="73" t="s">
        <x:v>3111</x:v>
      </x:c>
      <x:c r="G715" s="73" t="s">
        <x:v>37</x:v>
      </x:c>
      <x:c r="H715" s="73" t="s">
        <x:v>3112</x:v>
      </x:c>
      <x:c r="I715" s="73" t="n">
        <x:v>19</x:v>
      </x:c>
      <x:c r="J715" s="73" t="n">
        <x:v>37</x:v>
      </x:c>
      <x:c r="K715" s="73" t="s">
        <x:v>2570</x:v>
      </x:c>
      <x:c r="L715" s="73" t="n">
        <x:v>2023</x:v>
      </x:c>
      <x:c r="M715" s="73" t="n">
        <x:v>10</x:v>
      </x:c>
      <x:c r="N715" s="73" t="n">
        <x:v>11</x:v>
      </x:c>
      <x:c r="O715" s="73" t="n">
        <x:v>16</x:v>
      </x:c>
    </x:row>
    <x:row r="716" ht="15" hidden="0">
      <x:c r="A716" s="73" t="n">
        <x:v>715</x:v>
      </x:c>
      <x:c r="B716" s="73" t="n">
        <x:v>719</x:v>
      </x:c>
      <x:c r="C716" s="73" t="s">
        <x:v>3113</x:v>
      </x:c>
      <x:c r="D716" s="73" t="s">
        <x:v>3073</x:v>
      </x:c>
      <x:c r="E716" s="73" t="s">
        <x:v>3114</x:v>
      </x:c>
      <x:c r="F716" s="73" t="s">
        <x:v>3115</x:v>
      </x:c>
      <x:c r="G716" s="73" t="s">
        <x:v>1121</x:v>
      </x:c>
      <x:c r="H716" s="73" t="s">
        <x:v>3116</x:v>
      </x:c>
      <x:c r="I716" s="73" t="n">
        <x:v>23</x:v>
      </x:c>
      <x:c r="J716" s="73" t="n">
        <x:v>44</x:v>
      </x:c>
      <x:c r="K716" s="73" t="s">
        <x:v>2576</x:v>
      </x:c>
      <x:c r="L716" s="73" t="n">
        <x:v>2023</x:v>
      </x:c>
      <x:c r="M716" s="73" t="n">
        <x:v>10</x:v>
      </x:c>
      <x:c r="N716" s="73" t="n">
        <x:v>12</x:v>
      </x:c>
      <x:c r="O716" s="73" t="n">
        <x:v>18</x:v>
      </x:c>
    </x:row>
    <x:row r="717" ht="15" hidden="0">
      <x:c r="A717" s="73" t="n">
        <x:v>716</x:v>
      </x:c>
      <x:c r="B717" s="73" t="n">
        <x:v>720</x:v>
      </x:c>
      <x:c r="C717" s="73" t="s">
        <x:v>3117</x:v>
      </x:c>
      <x:c r="D717" s="73" t="s">
        <x:v>3073</x:v>
      </x:c>
      <x:c r="E717" s="73" t="s">
        <x:v>3118</x:v>
      </x:c>
      <x:c r="F717" s="73" t="s">
        <x:v>3119</x:v>
      </x:c>
      <x:c r="G717" s="73" t="s">
        <x:v>31</x:v>
      </x:c>
      <x:c r="H717" s="73" t="s">
        <x:v>3120</x:v>
      </x:c>
      <x:c r="I717" s="73" t="n">
        <x:v>20</x:v>
      </x:c>
      <x:c r="J717" s="73" t="n">
        <x:v>39</x:v>
      </x:c>
      <x:c r="K717" s="73" t="s">
        <x:v>2581</x:v>
      </x:c>
      <x:c r="L717" s="73" t="n">
        <x:v>2023</x:v>
      </x:c>
      <x:c r="M717" s="73" t="n">
        <x:v>10</x:v>
      </x:c>
      <x:c r="N717" s="73" t="n">
        <x:v>13</x:v>
      </x:c>
      <x:c r="O717" s="73" t="n">
        <x:v>12</x:v>
      </x:c>
    </x:row>
    <x:row r="718" ht="15" hidden="0">
      <x:c r="A718" s="73" t="n">
        <x:v>717</x:v>
      </x:c>
      <x:c r="B718" s="73" t="n">
        <x:v>721</x:v>
      </x:c>
      <x:c r="C718" s="73" t="s">
        <x:v>3121</x:v>
      </x:c>
      <x:c r="D718" s="73" t="s">
        <x:v>3073</x:v>
      </x:c>
      <x:c r="E718" s="73" t="s">
        <x:v>3122</x:v>
      </x:c>
      <x:c r="F718" s="73" t="s">
        <x:v>3123</x:v>
      </x:c>
      <x:c r="G718" s="73" t="s">
        <x:v>37</x:v>
      </x:c>
      <x:c r="H718" s="73" t="s">
        <x:v>3124</x:v>
      </x:c>
      <x:c r="I718" s="73" t="n">
        <x:v>18</x:v>
      </x:c>
      <x:c r="J718" s="73" t="n">
        <x:v>35</x:v>
      </x:c>
      <x:c r="K718" s="73" t="s">
        <x:v>2570</x:v>
      </x:c>
      <x:c r="L718" s="73" t="n">
        <x:v>2023</x:v>
      </x:c>
      <x:c r="M718" s="73" t="n">
        <x:v>10</x:v>
      </x:c>
      <x:c r="N718" s="73" t="n">
        <x:v>14</x:v>
      </x:c>
      <x:c r="O718" s="73" t="n">
        <x:v>17</x:v>
      </x:c>
    </x:row>
    <x:row r="719" ht="15" hidden="0">
      <x:c r="A719" s="73" t="n">
        <x:v>718</x:v>
      </x:c>
      <x:c r="B719" s="73" t="n">
        <x:v>722</x:v>
      </x:c>
      <x:c r="C719" s="73" t="s">
        <x:v>3125</x:v>
      </x:c>
      <x:c r="D719" s="73" t="s">
        <x:v>3073</x:v>
      </x:c>
      <x:c r="E719" s="73" t="s">
        <x:v>3126</x:v>
      </x:c>
      <x:c r="F719" s="73" t="s">
        <x:v>3127</x:v>
      </x:c>
      <x:c r="G719" s="73" t="s">
        <x:v>1121</x:v>
      </x:c>
      <x:c r="H719" s="73" t="s">
        <x:v>3128</x:v>
      </x:c>
      <x:c r="I719" s="73" t="n">
        <x:v>22</x:v>
      </x:c>
      <x:c r="J719" s="73" t="n">
        <x:v>43</x:v>
      </x:c>
      <x:c r="K719" s="73" t="s">
        <x:v>2576</x:v>
      </x:c>
      <x:c r="L719" s="73" t="n">
        <x:v>2023</x:v>
      </x:c>
      <x:c r="M719" s="73" t="n">
        <x:v>10</x:v>
      </x:c>
      <x:c r="N719" s="73" t="n">
        <x:v>15</x:v>
      </x:c>
      <x:c r="O719" s="73" t="n">
        <x:v>20</x:v>
      </x:c>
    </x:row>
    <x:row r="720" ht="15" hidden="0">
      <x:c r="A720" s="73" t="n">
        <x:v>719</x:v>
      </x:c>
      <x:c r="B720" s="73" t="n">
        <x:v>723</x:v>
      </x:c>
      <x:c r="C720" s="73" t="s">
        <x:v>3129</x:v>
      </x:c>
      <x:c r="D720" s="73" t="s">
        <x:v>3130</x:v>
      </x:c>
      <x:c r="E720" s="73" t="s">
        <x:v>3131</x:v>
      </x:c>
      <x:c r="F720" s="73" t="s">
        <x:v>3132</x:v>
      </x:c>
      <x:c r="G720" s="73" t="s">
        <x:v>31</x:v>
      </x:c>
      <x:c r="H720" s="73" t="s">
        <x:v>3133</x:v>
      </x:c>
      <x:c r="I720" s="73" t="n">
        <x:v>27</x:v>
      </x:c>
      <x:c r="J720" s="73" t="n">
        <x:v>52</x:v>
      </x:c>
      <x:c r="K720" s="73" t="s">
        <x:v>2581</x:v>
      </x:c>
      <x:c r="L720" s="73" t="n">
        <x:v>2023</x:v>
      </x:c>
      <x:c r="M720" s="73" t="n">
        <x:v>10</x:v>
      </x:c>
      <x:c r="N720" s="73" t="n">
        <x:v>16</x:v>
      </x:c>
      <x:c r="O720" s="73" t="n">
        <x:v>15</x:v>
      </x:c>
    </x:row>
    <x:row r="721" ht="15" hidden="0">
      <x:c r="A721" s="73" t="n">
        <x:v>720</x:v>
      </x:c>
      <x:c r="B721" s="73" t="n">
        <x:v>724</x:v>
      </x:c>
      <x:c r="C721" s="73" t="s">
        <x:v>3134</x:v>
      </x:c>
      <x:c r="D721" s="73" t="s">
        <x:v>3130</x:v>
      </x:c>
      <x:c r="E721" s="73" t="s">
        <x:v>3135</x:v>
      </x:c>
      <x:c r="F721" s="73" t="s">
        <x:v>3136</x:v>
      </x:c>
      <x:c r="G721" s="73" t="s">
        <x:v>1121</x:v>
      </x:c>
      <x:c r="H721" s="73" t="s">
        <x:v>3137</x:v>
      </x:c>
      <x:c r="I721" s="73" t="n">
        <x:v>24</x:v>
      </x:c>
      <x:c r="J721" s="73" t="n">
        <x:v>48</x:v>
      </x:c>
      <x:c r="K721" s="73" t="s">
        <x:v>2570</x:v>
      </x:c>
      <x:c r="L721" s="73" t="n">
        <x:v>2023</x:v>
      </x:c>
      <x:c r="M721" s="73" t="n">
        <x:v>10</x:v>
      </x:c>
      <x:c r="N721" s="73" t="n">
        <x:v>17</x:v>
      </x:c>
      <x:c r="O721" s="73" t="n">
        <x:v>12</x:v>
      </x:c>
    </x:row>
    <x:row r="722" ht="15" hidden="0">
      <x:c r="A722" s="73" t="n">
        <x:v>721</x:v>
      </x:c>
      <x:c r="B722" s="73" t="n">
        <x:v>725</x:v>
      </x:c>
      <x:c r="C722" s="73" t="s">
        <x:v>3138</x:v>
      </x:c>
      <x:c r="D722" s="73" t="s">
        <x:v>3130</x:v>
      </x:c>
      <x:c r="E722" s="73" t="s">
        <x:v>3139</x:v>
      </x:c>
      <x:c r="F722" s="73" t="s">
        <x:v>3140</x:v>
      </x:c>
      <x:c r="G722" s="73" t="s">
        <x:v>37</x:v>
      </x:c>
      <x:c r="H722" s="73" t="s">
        <x:v>3141</x:v>
      </x:c>
      <x:c r="I722" s="73" t="n">
        <x:v>19</x:v>
      </x:c>
      <x:c r="J722" s="73" t="n">
        <x:v>38</x:v>
      </x:c>
      <x:c r="K722" s="73" t="s">
        <x:v>2576</x:v>
      </x:c>
      <x:c r="L722" s="73" t="n">
        <x:v>2023</x:v>
      </x:c>
      <x:c r="M722" s="73" t="n">
        <x:v>10</x:v>
      </x:c>
      <x:c r="N722" s="73" t="n">
        <x:v>18</x:v>
      </x:c>
      <x:c r="O722" s="73" t="n">
        <x:v>16</x:v>
      </x:c>
    </x:row>
    <x:row r="723" ht="15" hidden="0">
      <x:c r="A723" s="73" t="n">
        <x:v>722</x:v>
      </x:c>
      <x:c r="B723" s="73" t="n">
        <x:v>726</x:v>
      </x:c>
      <x:c r="C723" s="73" t="s">
        <x:v>3142</x:v>
      </x:c>
      <x:c r="D723" s="73" t="s">
        <x:v>3130</x:v>
      </x:c>
      <x:c r="E723" s="73" t="s">
        <x:v>3143</x:v>
      </x:c>
      <x:c r="F723" s="73" t="s">
        <x:v>3144</x:v>
      </x:c>
      <x:c r="G723" s="73" t="s">
        <x:v>31</x:v>
      </x:c>
      <x:c r="H723" s="73" t="s">
        <x:v>3145</x:v>
      </x:c>
      <x:c r="I723" s="73" t="n">
        <x:v>21</x:v>
      </x:c>
      <x:c r="J723" s="73" t="n">
        <x:v>42</x:v>
      </x:c>
      <x:c r="K723" s="73" t="s">
        <x:v>2581</x:v>
      </x:c>
      <x:c r="L723" s="73" t="n">
        <x:v>2023</x:v>
      </x:c>
      <x:c r="M723" s="73" t="n">
        <x:v>10</x:v>
      </x:c>
      <x:c r="N723" s="73" t="n">
        <x:v>19</x:v>
      </x:c>
      <x:c r="O723" s="73" t="n">
        <x:v>18</x:v>
      </x:c>
    </x:row>
    <x:row r="724" ht="15" hidden="0">
      <x:c r="A724" s="73" t="n">
        <x:v>723</x:v>
      </x:c>
      <x:c r="B724" s="73" t="n">
        <x:v>727</x:v>
      </x:c>
      <x:c r="C724" s="73" t="s">
        <x:v>3146</x:v>
      </x:c>
      <x:c r="D724" s="73" t="s">
        <x:v>3130</x:v>
      </x:c>
      <x:c r="E724" s="73" t="s">
        <x:v>3147</x:v>
      </x:c>
      <x:c r="F724" s="73" t="s">
        <x:v>3148</x:v>
      </x:c>
      <x:c r="G724" s="73" t="s">
        <x:v>1121</x:v>
      </x:c>
      <x:c r="H724" s="73" t="s">
        <x:v>3149</x:v>
      </x:c>
      <x:c r="I724" s="73" t="n">
        <x:v>26</x:v>
      </x:c>
      <x:c r="J724" s="73" t="n">
        <x:v>50</x:v>
      </x:c>
      <x:c r="K724" s="73" t="s">
        <x:v>2570</x:v>
      </x:c>
      <x:c r="L724" s="73" t="n">
        <x:v>2023</x:v>
      </x:c>
      <x:c r="M724" s="73" t="n">
        <x:v>10</x:v>
      </x:c>
      <x:c r="N724" s="73" t="n">
        <x:v>20</x:v>
      </x:c>
      <x:c r="O724" s="73" t="n">
        <x:v>14</x:v>
      </x:c>
    </x:row>
    <x:row r="725" ht="15" hidden="0">
      <x:c r="A725" s="73" t="n">
        <x:v>724</x:v>
      </x:c>
      <x:c r="B725" s="73" t="n">
        <x:v>728</x:v>
      </x:c>
      <x:c r="C725" s="73" t="s">
        <x:v>3150</x:v>
      </x:c>
      <x:c r="D725" s="73" t="s">
        <x:v>3130</x:v>
      </x:c>
      <x:c r="E725" s="73" t="s">
        <x:v>3151</x:v>
      </x:c>
      <x:c r="F725" s="73" t="s">
        <x:v>3152</x:v>
      </x:c>
      <x:c r="G725" s="73" t="s">
        <x:v>37</x:v>
      </x:c>
      <x:c r="H725" s="73" t="s">
        <x:v>3153</x:v>
      </x:c>
      <x:c r="I725" s="73" t="n">
        <x:v>23</x:v>
      </x:c>
      <x:c r="J725" s="73" t="n">
        <x:v>45</x:v>
      </x:c>
      <x:c r="K725" s="73" t="s">
        <x:v>2576</x:v>
      </x:c>
      <x:c r="L725" s="73" t="n">
        <x:v>2023</x:v>
      </x:c>
      <x:c r="M725" s="73" t="n">
        <x:v>10</x:v>
      </x:c>
      <x:c r="N725" s="73" t="n">
        <x:v>21</x:v>
      </x:c>
      <x:c r="O725" s="73" t="n">
        <x:v>17</x:v>
      </x:c>
    </x:row>
    <x:row r="726" ht="15" hidden="0">
      <x:c r="A726" s="73" t="n">
        <x:v>725</x:v>
      </x:c>
      <x:c r="B726" s="73" t="n">
        <x:v>729</x:v>
      </x:c>
      <x:c r="C726" s="73" t="s">
        <x:v>3154</x:v>
      </x:c>
      <x:c r="D726" s="73" t="s">
        <x:v>3130</x:v>
      </x:c>
      <x:c r="E726" s="73" t="s">
        <x:v>3155</x:v>
      </x:c>
      <x:c r="F726" s="73" t="s">
        <x:v>3156</x:v>
      </x:c>
      <x:c r="G726" s="73" t="s">
        <x:v>31</x:v>
      </x:c>
      <x:c r="H726" s="73" t="s">
        <x:v>3157</x:v>
      </x:c>
      <x:c r="I726" s="73" t="n">
        <x:v>22</x:v>
      </x:c>
      <x:c r="J726" s="73" t="n">
        <x:v>43</x:v>
      </x:c>
      <x:c r="K726" s="73" t="s">
        <x:v>2581</x:v>
      </x:c>
      <x:c r="L726" s="73" t="n">
        <x:v>2023</x:v>
      </x:c>
      <x:c r="M726" s="73" t="n">
        <x:v>10</x:v>
      </x:c>
      <x:c r="N726" s="73" t="n">
        <x:v>22</x:v>
      </x:c>
      <x:c r="O726" s="73" t="n">
        <x:v>20</x:v>
      </x:c>
    </x:row>
    <x:row r="727" ht="15" hidden="0">
      <x:c r="A727" s="73" t="n">
        <x:v>726</x:v>
      </x:c>
      <x:c r="B727" s="73" t="n">
        <x:v>730</x:v>
      </x:c>
      <x:c r="C727" s="73" t="s">
        <x:v>3158</x:v>
      </x:c>
      <x:c r="D727" s="73" t="s">
        <x:v>3130</x:v>
      </x:c>
      <x:c r="E727" s="73" t="s">
        <x:v>3159</x:v>
      </x:c>
      <x:c r="F727" s="73" t="s">
        <x:v>3160</x:v>
      </x:c>
      <x:c r="G727" s="73" t="s">
        <x:v>31</x:v>
      </x:c>
      <x:c r="H727" s="73" t="s">
        <x:v>3161</x:v>
      </x:c>
      <x:c r="I727" s="73" t="n">
        <x:v>23</x:v>
      </x:c>
      <x:c r="J727" s="73" t="n">
        <x:v>44</x:v>
      </x:c>
      <x:c r="K727" s="73" t="s">
        <x:v>2570</x:v>
      </x:c>
      <x:c r="L727" s="73" t="n">
        <x:v>2015</x:v>
      </x:c>
      <x:c r="M727" s="73" t="n">
        <x:v>11</x:v>
      </x:c>
      <x:c r="N727" s="73" t="n">
        <x:v>10</x:v>
      </x:c>
      <x:c r="O727" s="73" t="n">
        <x:v>16</x:v>
      </x:c>
    </x:row>
    <x:row r="728" ht="15" hidden="0">
      <x:c r="A728" s="73" t="n">
        <x:v>727</x:v>
      </x:c>
      <x:c r="B728" s="73" t="n">
        <x:v>731</x:v>
      </x:c>
      <x:c r="C728" s="73" t="s">
        <x:v>3162</x:v>
      </x:c>
      <x:c r="D728" s="73" t="s">
        <x:v>3130</x:v>
      </x:c>
      <x:c r="E728" s="73" t="s">
        <x:v>3163</x:v>
      </x:c>
      <x:c r="F728" s="73" t="s">
        <x:v>3164</x:v>
      </x:c>
      <x:c r="G728" s="73" t="s">
        <x:v>1121</x:v>
      </x:c>
      <x:c r="H728" s="73" t="s">
        <x:v>3165</x:v>
      </x:c>
      <x:c r="I728" s="73" t="n">
        <x:v>26</x:v>
      </x:c>
      <x:c r="J728" s="73" t="n">
        <x:v>51</x:v>
      </x:c>
      <x:c r="K728" s="73" t="s">
        <x:v>2576</x:v>
      </x:c>
      <x:c r="L728" s="73" t="n">
        <x:v>2016</x:v>
      </x:c>
      <x:c r="M728" s="73" t="n">
        <x:v>9</x:v>
      </x:c>
      <x:c r="N728" s="73" t="n">
        <x:v>14</x:v>
      </x:c>
      <x:c r="O728" s="73" t="n">
        <x:v>12</x:v>
      </x:c>
    </x:row>
    <x:row r="729" ht="15" hidden="0">
      <x:c r="A729" s="73" t="n">
        <x:v>728</x:v>
      </x:c>
      <x:c r="B729" s="73" t="n">
        <x:v>732</x:v>
      </x:c>
      <x:c r="C729" s="73" t="s">
        <x:v>3166</x:v>
      </x:c>
      <x:c r="D729" s="73" t="s">
        <x:v>3130</x:v>
      </x:c>
      <x:c r="E729" s="73" t="s">
        <x:v>3167</x:v>
      </x:c>
      <x:c r="F729" s="73" t="s">
        <x:v>3168</x:v>
      </x:c>
      <x:c r="G729" s="73" t="s">
        <x:v>37</x:v>
      </x:c>
      <x:c r="H729" s="73" t="s">
        <x:v>3169</x:v>
      </x:c>
      <x:c r="I729" s="73" t="n">
        <x:v>20</x:v>
      </x:c>
      <x:c r="J729" s="73" t="n">
        <x:v>39</x:v>
      </x:c>
      <x:c r="K729" s="73" t="s">
        <x:v>2581</x:v>
      </x:c>
      <x:c r="L729" s="73" t="n">
        <x:v>2017</x:v>
      </x:c>
      <x:c r="M729" s="73" t="n">
        <x:v>8</x:v>
      </x:c>
      <x:c r="N729" s="73" t="n">
        <x:v>18</x:v>
      </x:c>
      <x:c r="O729" s="73" t="n">
        <x:v>18</x:v>
      </x:c>
    </x:row>
    <x:row r="730" ht="15" hidden="0">
      <x:c r="A730" s="73" t="n">
        <x:v>729</x:v>
      </x:c>
      <x:c r="B730" s="73" t="n">
        <x:v>733</x:v>
      </x:c>
      <x:c r="C730" s="73" t="s">
        <x:v>3170</x:v>
      </x:c>
      <x:c r="D730" s="73" t="s">
        <x:v>3130</x:v>
      </x:c>
      <x:c r="E730" s="73" t="s">
        <x:v>3171</x:v>
      </x:c>
      <x:c r="F730" s="73" t="s">
        <x:v>3172</x:v>
      </x:c>
      <x:c r="G730" s="73" t="s">
        <x:v>31</x:v>
      </x:c>
      <x:c r="H730" s="73" t="s">
        <x:v>3173</x:v>
      </x:c>
      <x:c r="I730" s="73" t="n">
        <x:v>25</x:v>
      </x:c>
      <x:c r="J730" s="73" t="n">
        <x:v>48</x:v>
      </x:c>
      <x:c r="K730" s="73" t="s">
        <x:v>2570</x:v>
      </x:c>
      <x:c r="L730" s="73" t="n">
        <x:v>2018</x:v>
      </x:c>
      <x:c r="M730" s="73" t="n">
        <x:v>6</x:v>
      </x:c>
      <x:c r="N730" s="73" t="n">
        <x:v>22</x:v>
      </x:c>
      <x:c r="O730" s="73" t="n">
        <x:v>14</x:v>
      </x:c>
    </x:row>
    <x:row r="731" ht="15" hidden="0">
      <x:c r="A731" s="73" t="n">
        <x:v>730</x:v>
      </x:c>
      <x:c r="B731" s="73" t="n">
        <x:v>734</x:v>
      </x:c>
      <x:c r="C731" s="73" t="s">
        <x:v>3174</x:v>
      </x:c>
      <x:c r="D731" s="73" t="s">
        <x:v>3130</x:v>
      </x:c>
      <x:c r="E731" s="73" t="s">
        <x:v>1594</x:v>
      </x:c>
      <x:c r="F731" s="73" t="s">
        <x:v>3175</x:v>
      </x:c>
      <x:c r="G731" s="73" t="s">
        <x:v>1121</x:v>
      </x:c>
      <x:c r="H731" s="73" t="s">
        <x:v>3176</x:v>
      </x:c>
      <x:c r="I731" s="73" t="n">
        <x:v>22</x:v>
      </x:c>
      <x:c r="J731" s="73" t="n">
        <x:v>42</x:v>
      </x:c>
      <x:c r="K731" s="73" t="s">
        <x:v>2576</x:v>
      </x:c>
      <x:c r="L731" s="73" t="n">
        <x:v>2019</x:v>
      </x:c>
      <x:c r="M731" s="73" t="n">
        <x:v>4</x:v>
      </x:c>
      <x:c r="N731" s="73" t="n">
        <x:v>5</x:v>
      </x:c>
      <x:c r="O731" s="73" t="n">
        <x:v>17</x:v>
      </x:c>
    </x:row>
    <x:row r="732" ht="15" hidden="0">
      <x:c r="A732" s="73" t="n">
        <x:v>731</x:v>
      </x:c>
      <x:c r="B732" s="73" t="n">
        <x:v>735</x:v>
      </x:c>
      <x:c r="C732" s="73" t="s">
        <x:v>3177</x:v>
      </x:c>
      <x:c r="D732" s="73" t="s">
        <x:v>3130</x:v>
      </x:c>
      <x:c r="E732" s="73" t="s">
        <x:v>3178</x:v>
      </x:c>
      <x:c r="F732" s="73" t="s">
        <x:v>3179</x:v>
      </x:c>
      <x:c r="G732" s="73" t="s">
        <x:v>37</x:v>
      </x:c>
      <x:c r="H732" s="73" t="s">
        <x:v>3180</x:v>
      </x:c>
      <x:c r="I732" s="73" t="n">
        <x:v>21</x:v>
      </x:c>
      <x:c r="J732" s="73" t="n">
        <x:v>43</x:v>
      </x:c>
      <x:c r="K732" s="73" t="s">
        <x:v>2581</x:v>
      </x:c>
      <x:c r="L732" s="73" t="n">
        <x:v>2020</x:v>
      </x:c>
      <x:c r="M732" s="73" t="n">
        <x:v>2</x:v>
      </x:c>
      <x:c r="N732" s="73" t="n">
        <x:v>29</x:v>
      </x:c>
      <x:c r="O732" s="73" t="n">
        <x:v>20</x:v>
      </x:c>
    </x:row>
    <x:row r="733" ht="15" hidden="0">
      <x:c r="A733" s="73" t="n">
        <x:v>732</x:v>
      </x:c>
      <x:c r="B733" s="73" t="n">
        <x:v>736</x:v>
      </x:c>
      <x:c r="C733" s="73" t="s">
        <x:v>3181</x:v>
      </x:c>
      <x:c r="D733" s="73" t="s">
        <x:v>3130</x:v>
      </x:c>
      <x:c r="E733" s="73" t="s">
        <x:v>3182</x:v>
      </x:c>
      <x:c r="F733" s="73" t="s">
        <x:v>3183</x:v>
      </x:c>
      <x:c r="G733" s="73" t="s">
        <x:v>31</x:v>
      </x:c>
      <x:c r="H733" s="73" t="s">
        <x:v>3184</x:v>
      </x:c>
      <x:c r="I733" s="73" t="n">
        <x:v>24</x:v>
      </x:c>
      <x:c r="J733" s="73" t="n">
        <x:v>47</x:v>
      </x:c>
      <x:c r="K733" s="73" t="s">
        <x:v>2570</x:v>
      </x:c>
      <x:c r="L733" s="73" t="n">
        <x:v>2020</x:v>
      </x:c>
      <x:c r="M733" s="73" t="n">
        <x:v>11</x:v>
      </x:c>
      <x:c r="N733" s="73" t="n">
        <x:v>15</x:v>
      </x:c>
      <x:c r="O733" s="73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246faf3344e14a86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28" hidden="0" customWidth="1"/>
    <x:col min="3" max="3" width="42" hidden="0" customWidth="1"/>
    <x:col min="4" max="4" width="35" hidden="0" customWidth="1"/>
  </x:cols>
  <x:sheetData>
    <x:row r="1" ht="17.350000381469727" hidden="0">
      <x:c r="A1" s="107"/>
      <x:c r="B1" s="104" t="str">
        <x:v>Data Quality Assessment and Cleaning Log</x:v>
      </x:c>
      <x:c r="C1" s="107"/>
      <x:c r="D1" s="107"/>
    </x:row>
    <x:row r="2">
      <x:c r="A2" s="107"/>
      <x:c r="B2" s="107"/>
      <x:c r="C2" s="107"/>
      <x:c r="D2" s="107"/>
    </x:row>
    <x:row r="3" ht="15" hidden="0">
      <x:c r="A3" s="51" t="str">
        <x:v>Step</x:v>
      </x:c>
      <x:c r="B3" s="51" t="str">
        <x:v>Check Performed</x:v>
      </x:c>
      <x:c r="C3" s="51" t="str">
        <x:v>Result Found</x:v>
      </x:c>
      <x:c r="D3" s="51" t="str">
        <x:v>Action Taken</x:v>
      </x:c>
    </x:row>
    <x:row r="4" ht="23.850000381469727" hidden="0">
      <x:c r="A4" s="116" t="n">
        <x:v>1</x:v>
      </x:c>
      <x:c r="B4" s="116" t="str">
        <x:v>Dataset size</x:v>
      </x:c>
      <x:c r="C4" s="116" t="str">
        <x:v>732 rows and 15 columns</x:v>
      </x:c>
      <x:c r="D4" s="116" t="str">
        <x:v>Checked before cleaning</x:v>
      </x:c>
    </x:row>
    <x:row r="5" ht="15" hidden="0">
      <x:c r="A5" s="116" t="n">
        <x:v>2</x:v>
      </x:c>
      <x:c r="B5" s="116" t="str">
        <x:v>Missing values</x:v>
      </x:c>
      <x:c r="C5" s="116" t="str">
        <x:v>0 missing values</x:v>
      </x:c>
      <x:c r="D5" s="116" t="str">
        <x:v>No imputation required</x:v>
      </x:c>
    </x:row>
    <x:row r="6" ht="15" hidden="0">
      <x:c r="A6" s="116" t="n">
        <x:v>3</x:v>
      </x:c>
      <x:c r="B6" s="116" t="str">
        <x:v>Duplicate rows</x:v>
      </x:c>
      <x:c r="C6" s="116" t="str">
        <x:v>0 duplicate rows</x:v>
      </x:c>
      <x:c r="D6" s="116" t="str">
        <x:v>No rows removed</x:v>
      </x:c>
    </x:row>
    <x:row r="7" ht="23.850000381469727" hidden="0">
      <x:c r="A7" s="116" t="n">
        <x:v>4</x:v>
      </x:c>
      <x:c r="B7" s="116" t="str">
        <x:v>Redundant index columns</x:v>
      </x:c>
      <x:c r="C7" s="116" t="str">
        <x:v>Two unnamed index columns</x:v>
      </x:c>
      <x:c r="D7" s="116" t="str">
        <x:v>Removed from Cleaned_Data</x:v>
      </x:c>
    </x:row>
    <x:row r="8" ht="23.850000381469727" hidden="0">
      <x:c r="A8" s="116" t="n">
        <x:v>5</x:v>
      </x:c>
      <x:c r="B8" s="116" t="str">
        <x:v>Leading and trailing spaces</x:v>
      </x:c>
      <x:c r="C8" s="116" t="str">
        <x:v>Spaces found in several text columns</x:v>
      </x:c>
      <x:c r="D8" s="116" t="str">
        <x:v>Text values were trimmed</x:v>
      </x:c>
    </x:row>
    <x:row r="9" ht="35.04999923706055" hidden="0">
      <x:c r="A9" s="116" t="n">
        <x:v>6</x:v>
      </x:c>
      <x:c r="B9" s="116" t="str">
        <x:v>Sentiment categories</x:v>
      </x:c>
      <x:c r="C9" s="116" t="str">
        <x:v>Many detailed sentiment labels were present</x:v>
      </x:c>
      <x:c r="D9" s="116" t="str">
        <x:v>Grouped into Positive, Negative and Neutral</x:v>
      </x:c>
    </x:row>
    <x:row r="10" ht="23.850000381469727" hidden="0">
      <x:c r="A10" s="116" t="n">
        <x:v>7</x:v>
      </x:c>
      <x:c r="B10" s="116" t="str">
        <x:v>Likes range</x:v>
      </x:c>
      <x:c r="C10" s="116" t="str">
        <x:v>Minimum 10, maximum 80, mean 42.90</x:v>
      </x:c>
      <x:c r="D10" s="116" t="str">
        <x:v>No extreme value removed</x:v>
      </x:c>
    </x:row>
    <x:row r="11" ht="23.850000381469727" hidden="0">
      <x:c r="A11" s="116" t="n">
        <x:v>8</x:v>
      </x:c>
      <x:c r="B11" s="116" t="str">
        <x:v>Retweets range</x:v>
      </x:c>
      <x:c r="C11" s="116" t="str">
        <x:v>Minimum 5, maximum 40, mean 21.51</x:v>
      </x:c>
      <x:c r="D11" s="116" t="str">
        <x:v>No extreme value removed</x:v>
      </x:c>
    </x:row>
    <x:row r="12" ht="23.850000381469727" hidden="0">
      <x:c r="A12" s="116" t="n">
        <x:v>9</x:v>
      </x:c>
      <x:c r="B12" s="116" t="str">
        <x:v>Data types</x:v>
      </x:c>
      <x:c r="C12" s="116" t="str">
        <x:v>Likes, Retweets and date parts are numeric</x:v>
      </x:c>
      <x:c r="D12" s="116" t="str">
        <x:v>Kept as numeric values</x:v>
      </x:c>
    </x:row>
    <x:row r="13" ht="23.850000381469727" hidden="0">
      <x:c r="A13" s="116" t="n">
        <x:v>10</x:v>
      </x:c>
      <x:c r="B13" s="116" t="str">
        <x:v>Final dataset</x:v>
      </x:c>
      <x:c r="C13" s="116" t="str">
        <x:v>732 rows and 14 columns</x:v>
      </x:c>
      <x:c r="D13" s="116" t="str">
        <x:v>Used for the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2" width="18" hidden="0" customWidth="1"/>
    <x:col min="3" max="3" width="20" hidden="0" customWidth="1"/>
  </x:cols>
  <x:sheetData>
    <x:row r="2" ht="17.350000381469727" hidden="0">
      <x:c r="A2" s="107"/>
      <x:c r="B2" s="104" t="str">
        <x:v>Sentiment Label Grouping</x:v>
      </x:c>
      <x:c r="C2" s="107"/>
      <x:c r="D2" s="107"/>
      <x:c r="E2" s="107"/>
    </x:row>
    <x:row r="3" ht="15" hidden="0">
      <x:c r="A3" s="107"/>
      <x:c r="B3" s="106" t="str">
        <x:v>The original sentiment labels were grouped into three categories for easier analysis: Positive, Negative and Neutral.</x:v>
      </x:c>
      <x:c r="C3" s="117"/>
      <x:c r="D3" s="117"/>
      <x:c r="E3" s="117"/>
    </x:row>
    <x:row r="4">
      <x:c r="A4" s="107"/>
      <x:c r="B4" s="107"/>
      <x:c r="C4" s="107"/>
      <x:c r="D4" s="107"/>
      <x:c r="E4" s="107"/>
    </x:row>
    <x:row r="5" ht="26.850000381469727" hidden="0">
      <x:c r="A5" s="51" t="s">
        <x:v>3185</x:v>
      </x:c>
      <x:c r="B5" s="51" t="s">
        <x:v>3186</x:v>
      </x:c>
      <x:c r="C5" s="51" t="s">
        <x:v>3187</x:v>
      </x:c>
      <x:c r="D5" s="107"/>
      <x:c r="E5" s="107"/>
    </x:row>
    <x:row r="6" ht="15" hidden="0">
      <x:c r="A6" s="118" t="s">
        <x:v>3188</x:v>
      </x:c>
      <x:c r="B6" s="118" t="s">
        <x:v>3189</x:v>
      </x:c>
      <x:c r="C6" s="118" t="n">
        <x:v>11</x:v>
      </x:c>
      <x:c r="D6" s="107"/>
      <x:c r="E6" s="107"/>
    </x:row>
    <x:row r="7" ht="15" hidden="0">
      <x:c r="A7" s="118" t="s">
        <x:v>3190</x:v>
      </x:c>
      <x:c r="B7" s="118" t="s">
        <x:v>3189</x:v>
      </x:c>
      <x:c r="C7" s="118" t="n">
        <x:v>9</x:v>
      </x:c>
      <x:c r="D7" s="107"/>
      <x:c r="E7" s="107"/>
    </x:row>
    <x:row r="8" ht="15" hidden="0">
      <x:c r="A8" s="118" t="s">
        <x:v>3191</x:v>
      </x:c>
      <x:c r="B8" s="118" t="s">
        <x:v>3189</x:v>
      </x:c>
      <x:c r="C8" s="118" t="n">
        <x:v>9</x:v>
      </x:c>
      <x:c r="D8" s="107"/>
      <x:c r="E8" s="107"/>
    </x:row>
    <x:row r="9" ht="15" hidden="0">
      <x:c r="A9" s="118" t="s">
        <x:v>3192</x:v>
      </x:c>
      <x:c r="B9" s="118" t="s">
        <x:v>3189</x:v>
      </x:c>
      <x:c r="C9" s="118" t="n">
        <x:v>9</x:v>
      </x:c>
      <x:c r="D9" s="107"/>
      <x:c r="E9" s="107"/>
    </x:row>
    <x:row r="10" ht="15" hidden="0">
      <x:c r="A10" s="118" t="s">
        <x:v>3193</x:v>
      </x:c>
      <x:c r="B10" s="118" t="s">
        <x:v>3189</x:v>
      </x:c>
      <x:c r="C10" s="118" t="n">
        <x:v>8</x:v>
      </x:c>
      <x:c r="D10" s="107"/>
      <x:c r="E10" s="107"/>
    </x:row>
    <x:row r="11" ht="15" hidden="0">
      <x:c r="A11" s="118" t="s">
        <x:v>3194</x:v>
      </x:c>
      <x:c r="B11" s="118" t="s">
        <x:v>3189</x:v>
      </x:c>
      <x:c r="C11" s="118" t="n">
        <x:v>8</x:v>
      </x:c>
      <x:c r="D11" s="107"/>
      <x:c r="E11" s="107"/>
    </x:row>
    <x:row r="12" ht="15" hidden="0">
      <x:c r="A12" s="118" t="s">
        <x:v>3195</x:v>
      </x:c>
      <x:c r="B12" s="118" t="s">
        <x:v>3189</x:v>
      </x:c>
      <x:c r="C12" s="118" t="n">
        <x:v>6</x:v>
      </x:c>
      <x:c r="D12" s="107"/>
      <x:c r="E12" s="107"/>
    </x:row>
    <x:row r="13" ht="15" hidden="0">
      <x:c r="A13" s="118" t="s">
        <x:v>3196</x:v>
      </x:c>
      <x:c r="B13" s="118" t="s">
        <x:v>3189</x:v>
      </x:c>
      <x:c r="C13" s="118" t="n">
        <x:v>6</x:v>
      </x:c>
      <x:c r="D13" s="107"/>
      <x:c r="E13" s="107"/>
    </x:row>
    <x:row r="14" ht="15" hidden="0">
      <x:c r="A14" s="118" t="s">
        <x:v>3197</x:v>
      </x:c>
      <x:c r="B14" s="118" t="s">
        <x:v>3189</x:v>
      </x:c>
      <x:c r="C14" s="118" t="n">
        <x:v>6</x:v>
      </x:c>
      <x:c r="D14" s="107"/>
      <x:c r="E14" s="107"/>
    </x:row>
    <x:row r="15" ht="15" hidden="0">
      <x:c r="A15" s="118" t="s">
        <x:v>3198</x:v>
      </x:c>
      <x:c r="B15" s="118" t="s">
        <x:v>3189</x:v>
      </x:c>
      <x:c r="C15" s="118" t="n">
        <x:v>6</x:v>
      </x:c>
      <x:c r="D15" s="107"/>
      <x:c r="E15" s="107"/>
    </x:row>
    <x:row r="16" ht="15" hidden="0">
      <x:c r="A16" s="118" t="s">
        <x:v>3199</x:v>
      </x:c>
      <x:c r="B16" s="118" t="s">
        <x:v>3189</x:v>
      </x:c>
      <x:c r="C16" s="118" t="n">
        <x:v>6</x:v>
      </x:c>
      <x:c r="D16" s="107"/>
      <x:c r="E16" s="107"/>
    </x:row>
    <x:row r="17" ht="15" hidden="0">
      <x:c r="A17" s="118" t="s">
        <x:v>3200</x:v>
      </x:c>
      <x:c r="B17" s="118" t="s">
        <x:v>3189</x:v>
      </x:c>
      <x:c r="C17" s="118" t="n">
        <x:v>6</x:v>
      </x:c>
      <x:c r="D17" s="107"/>
      <x:c r="E17" s="107"/>
    </x:row>
    <x:row r="18" ht="15" hidden="0">
      <x:c r="A18" s="118" t="s">
        <x:v>3201</x:v>
      </x:c>
      <x:c r="B18" s="118" t="s">
        <x:v>3189</x:v>
      </x:c>
      <x:c r="C18" s="118" t="n">
        <x:v>5</x:v>
      </x:c>
      <x:c r="D18" s="107"/>
      <x:c r="E18" s="107"/>
    </x:row>
    <x:row r="19" ht="15" hidden="0">
      <x:c r="A19" s="118" t="s">
        <x:v>3202</x:v>
      </x:c>
      <x:c r="B19" s="118" t="s">
        <x:v>3189</x:v>
      </x:c>
      <x:c r="C19" s="118" t="n">
        <x:v>5</x:v>
      </x:c>
      <x:c r="D19" s="107"/>
      <x:c r="E19" s="107"/>
    </x:row>
    <x:row r="20" ht="15" hidden="0">
      <x:c r="A20" s="118" t="s">
        <x:v>3203</x:v>
      </x:c>
      <x:c r="B20" s="118" t="s">
        <x:v>3189</x:v>
      </x:c>
      <x:c r="C20" s="118" t="n">
        <x:v>5</x:v>
      </x:c>
      <x:c r="D20" s="107"/>
      <x:c r="E20" s="107"/>
    </x:row>
    <x:row r="21" ht="15" hidden="0">
      <x:c r="A21" s="118" t="s">
        <x:v>3204</x:v>
      </x:c>
      <x:c r="B21" s="118" t="s">
        <x:v>3189</x:v>
      </x:c>
      <x:c r="C21" s="118" t="n">
        <x:v>5</x:v>
      </x:c>
      <x:c r="D21" s="107"/>
      <x:c r="E21" s="107"/>
    </x:row>
    <x:row r="22" ht="15" hidden="0">
      <x:c r="A22" s="118" t="s">
        <x:v>3205</x:v>
      </x:c>
      <x:c r="B22" s="118" t="s">
        <x:v>3189</x:v>
      </x:c>
      <x:c r="C22" s="118" t="n">
        <x:v>4</x:v>
      </x:c>
      <x:c r="D22" s="107"/>
      <x:c r="E22" s="107"/>
    </x:row>
    <x:row r="23" ht="15" hidden="0">
      <x:c r="A23" s="118" t="s">
        <x:v>3206</x:v>
      </x:c>
      <x:c r="B23" s="118" t="s">
        <x:v>3189</x:v>
      </x:c>
      <x:c r="C23" s="118" t="n">
        <x:v>4</x:v>
      </x:c>
      <x:c r="D23" s="107"/>
      <x:c r="E23" s="107"/>
    </x:row>
    <x:row r="24" ht="15" hidden="0">
      <x:c r="A24" s="118" t="s">
        <x:v>3189</x:v>
      </x:c>
      <x:c r="B24" s="118" t="s">
        <x:v>3189</x:v>
      </x:c>
      <x:c r="C24" s="118" t="n">
        <x:v>4</x:v>
      </x:c>
      <x:c r="D24" s="107"/>
      <x:c r="E24" s="107"/>
    </x:row>
    <x:row r="25" ht="15" hidden="0">
      <x:c r="A25" s="118" t="s">
        <x:v>3207</x:v>
      </x:c>
      <x:c r="B25" s="118" t="s">
        <x:v>3189</x:v>
      </x:c>
      <x:c r="C25" s="118" t="n">
        <x:v>4</x:v>
      </x:c>
      <x:c r="D25" s="107"/>
      <x:c r="E25" s="107"/>
    </x:row>
    <x:row r="26" ht="15" hidden="0">
      <x:c r="A26" s="118" t="s">
        <x:v>3208</x:v>
      </x:c>
      <x:c r="B26" s="118" t="s">
        <x:v>3189</x:v>
      </x:c>
      <x:c r="C26" s="118" t="n">
        <x:v>3</x:v>
      </x:c>
      <x:c r="D26" s="107"/>
      <x:c r="E26" s="107"/>
    </x:row>
    <x:row r="27" ht="15" hidden="0">
      <x:c r="A27" s="118" t="s">
        <x:v>3209</x:v>
      </x:c>
      <x:c r="B27" s="118" t="s">
        <x:v>3189</x:v>
      </x:c>
      <x:c r="C27" s="118" t="n">
        <x:v>3</x:v>
      </x:c>
      <x:c r="D27" s="107"/>
      <x:c r="E27" s="107"/>
    </x:row>
    <x:row r="28" ht="15" hidden="0">
      <x:c r="A28" s="118" t="s">
        <x:v>3210</x:v>
      </x:c>
      <x:c r="B28" s="118" t="s">
        <x:v>3189</x:v>
      </x:c>
      <x:c r="C28" s="118" t="n">
        <x:v>3</x:v>
      </x:c>
      <x:c r="D28" s="107"/>
      <x:c r="E28" s="107"/>
    </x:row>
    <x:row r="29" ht="15" hidden="0">
      <x:c r="A29" s="118" t="s">
        <x:v>3211</x:v>
      </x:c>
      <x:c r="B29" s="118" t="s">
        <x:v>3189</x:v>
      </x:c>
      <x:c r="C29" s="118" t="n">
        <x:v>3</x:v>
      </x:c>
      <x:c r="D29" s="107"/>
      <x:c r="E29" s="107"/>
    </x:row>
    <x:row r="30" ht="15" hidden="0">
      <x:c r="A30" s="118" t="s">
        <x:v>3212</x:v>
      </x:c>
      <x:c r="B30" s="118" t="s">
        <x:v>3189</x:v>
      </x:c>
      <x:c r="C30" s="118" t="n">
        <x:v>3</x:v>
      </x:c>
      <x:c r="D30" s="107"/>
      <x:c r="E30" s="107"/>
    </x:row>
    <x:row r="31" ht="15" hidden="0">
      <x:c r="A31" s="118" t="s">
        <x:v>3213</x:v>
      </x:c>
      <x:c r="B31" s="118" t="s">
        <x:v>3189</x:v>
      </x:c>
      <x:c r="C31" s="118" t="n">
        <x:v>3</x:v>
      </x:c>
      <x:c r="D31" s="107"/>
      <x:c r="E31" s="107"/>
    </x:row>
    <x:row r="32" ht="15" hidden="0">
      <x:c r="A32" s="118" t="s">
        <x:v>3214</x:v>
      </x:c>
      <x:c r="B32" s="118" t="s">
        <x:v>3189</x:v>
      </x:c>
      <x:c r="C32" s="118" t="n">
        <x:v>3</x:v>
      </x:c>
      <x:c r="D32" s="107"/>
      <x:c r="E32" s="107"/>
    </x:row>
    <x:row r="33" ht="15" hidden="0">
      <x:c r="A33" s="118" t="s">
        <x:v>3215</x:v>
      </x:c>
      <x:c r="B33" s="118" t="s">
        <x:v>3189</x:v>
      </x:c>
      <x:c r="C33" s="118" t="n">
        <x:v>3</x:v>
      </x:c>
      <x:c r="D33" s="107"/>
      <x:c r="E33" s="107"/>
    </x:row>
    <x:row r="34" ht="15" hidden="0">
      <x:c r="A34" s="118" t="s">
        <x:v>3216</x:v>
      </x:c>
      <x:c r="B34" s="118" t="s">
        <x:v>3189</x:v>
      </x:c>
      <x:c r="C34" s="118" t="n">
        <x:v>3</x:v>
      </x:c>
      <x:c r="D34" s="107"/>
      <x:c r="E34" s="107"/>
    </x:row>
    <x:row r="35" ht="15" hidden="0">
      <x:c r="A35" s="118" t="s">
        <x:v>3217</x:v>
      </x:c>
      <x:c r="B35" s="118" t="s">
        <x:v>3189</x:v>
      </x:c>
      <x:c r="C35" s="118" t="n">
        <x:v>3</x:v>
      </x:c>
      <x:c r="D35" s="107"/>
      <x:c r="E35" s="107"/>
    </x:row>
    <x:row r="36" ht="15" hidden="0">
      <x:c r="A36" s="118" t="s">
        <x:v>3218</x:v>
      </x:c>
      <x:c r="B36" s="118" t="s">
        <x:v>3189</x:v>
      </x:c>
      <x:c r="C36" s="118" t="n">
        <x:v>2</x:v>
      </x:c>
      <x:c r="D36" s="107"/>
      <x:c r="E36" s="107"/>
    </x:row>
    <x:row r="37" ht="15" hidden="0">
      <x:c r="A37" s="118" t="s">
        <x:v>3219</x:v>
      </x:c>
      <x:c r="B37" s="118" t="s">
        <x:v>3189</x:v>
      </x:c>
      <x:c r="C37" s="118" t="n">
        <x:v>2</x:v>
      </x:c>
      <x:c r="D37" s="107"/>
      <x:c r="E37" s="107"/>
    </x:row>
    <x:row r="38" ht="15" hidden="0">
      <x:c r="A38" s="118" t="s">
        <x:v>3220</x:v>
      </x:c>
      <x:c r="B38" s="118" t="s">
        <x:v>3189</x:v>
      </x:c>
      <x:c r="C38" s="118" t="n">
        <x:v>2</x:v>
      </x:c>
      <x:c r="D38" s="107"/>
      <x:c r="E38" s="107"/>
    </x:row>
    <x:row r="39" ht="15" hidden="0">
      <x:c r="A39" s="118" t="s">
        <x:v>3221</x:v>
      </x:c>
      <x:c r="B39" s="118" t="s">
        <x:v>3189</x:v>
      </x:c>
      <x:c r="C39" s="118" t="n">
        <x:v>2</x:v>
      </x:c>
      <x:c r="D39" s="107"/>
      <x:c r="E39" s="107"/>
    </x:row>
    <x:row r="40" ht="15" hidden="0">
      <x:c r="A40" s="118" t="s">
        <x:v>3222</x:v>
      </x:c>
      <x:c r="B40" s="118" t="s">
        <x:v>3189</x:v>
      </x:c>
      <x:c r="C40" s="118" t="n">
        <x:v>2</x:v>
      </x:c>
      <x:c r="D40" s="107"/>
      <x:c r="E40" s="107"/>
    </x:row>
    <x:row r="41" ht="15" hidden="0">
      <x:c r="A41" s="118" t="s">
        <x:v>3223</x:v>
      </x:c>
      <x:c r="B41" s="118" t="s">
        <x:v>3189</x:v>
      </x:c>
      <x:c r="C41" s="118" t="n">
        <x:v>2</x:v>
      </x:c>
      <x:c r="D41" s="107"/>
      <x:c r="E41" s="107"/>
    </x:row>
    <x:row r="42" ht="15" hidden="0">
      <x:c r="A42" s="118" t="s">
        <x:v>3224</x:v>
      </x:c>
      <x:c r="B42" s="118" t="s">
        <x:v>3189</x:v>
      </x:c>
      <x:c r="C42" s="118" t="n">
        <x:v>2</x:v>
      </x:c>
      <x:c r="D42" s="107"/>
      <x:c r="E42" s="107"/>
    </x:row>
    <x:row r="43" ht="15" hidden="0">
      <x:c r="A43" s="118" t="s">
        <x:v>3225</x:v>
      </x:c>
      <x:c r="B43" s="118" t="s">
        <x:v>3189</x:v>
      </x:c>
      <x:c r="C43" s="118" t="n">
        <x:v>2</x:v>
      </x:c>
      <x:c r="D43" s="107"/>
      <x:c r="E43" s="107"/>
    </x:row>
    <x:row r="44" ht="15" hidden="0">
      <x:c r="A44" s="118" t="s">
        <x:v>3226</x:v>
      </x:c>
      <x:c r="B44" s="118" t="s">
        <x:v>3189</x:v>
      </x:c>
      <x:c r="C44" s="118" t="n">
        <x:v>2</x:v>
      </x:c>
      <x:c r="D44" s="107"/>
      <x:c r="E44" s="107"/>
    </x:row>
    <x:row r="45" ht="15" hidden="0">
      <x:c r="A45" s="118" t="s">
        <x:v>3227</x:v>
      </x:c>
      <x:c r="B45" s="118" t="s">
        <x:v>3189</x:v>
      </x:c>
      <x:c r="C45" s="118" t="n">
        <x:v>2</x:v>
      </x:c>
      <x:c r="D45" s="107"/>
      <x:c r="E45" s="107"/>
    </x:row>
    <x:row r="46" ht="15" hidden="0">
      <x:c r="A46" s="118" t="s">
        <x:v>3228</x:v>
      </x:c>
      <x:c r="B46" s="118" t="s">
        <x:v>3189</x:v>
      </x:c>
      <x:c r="C46" s="118" t="n">
        <x:v>2</x:v>
      </x:c>
      <x:c r="D46" s="107"/>
      <x:c r="E46" s="107"/>
    </x:row>
    <x:row r="47" ht="15" hidden="0">
      <x:c r="A47" s="118" t="s">
        <x:v>3229</x:v>
      </x:c>
      <x:c r="B47" s="118" t="s">
        <x:v>3189</x:v>
      </x:c>
      <x:c r="C47" s="118" t="n">
        <x:v>2</x:v>
      </x:c>
      <x:c r="D47" s="107"/>
      <x:c r="E47" s="107"/>
    </x:row>
    <x:row r="48" ht="15" hidden="0">
      <x:c r="A48" s="118" t="s">
        <x:v>3230</x:v>
      </x:c>
      <x:c r="B48" s="118" t="s">
        <x:v>3189</x:v>
      </x:c>
      <x:c r="C48" s="118" t="n">
        <x:v>2</x:v>
      </x:c>
      <x:c r="D48" s="107"/>
      <x:c r="E48" s="107"/>
    </x:row>
    <x:row r="49" ht="15" hidden="0">
      <x:c r="A49" s="118" t="s">
        <x:v>3231</x:v>
      </x:c>
      <x:c r="B49" s="118" t="s">
        <x:v>3189</x:v>
      </x:c>
      <x:c r="C49" s="118" t="n">
        <x:v>1</x:v>
      </x:c>
      <x:c r="D49" s="107"/>
      <x:c r="E49" s="107"/>
    </x:row>
    <x:row r="50" ht="15" hidden="0">
      <x:c r="A50" s="118" t="s">
        <x:v>3232</x:v>
      </x:c>
      <x:c r="B50" s="118" t="s">
        <x:v>3189</x:v>
      </x:c>
      <x:c r="C50" s="118" t="n">
        <x:v>1</x:v>
      </x:c>
      <x:c r="D50" s="107"/>
      <x:c r="E50" s="107"/>
    </x:row>
    <x:row r="51" ht="15" hidden="0">
      <x:c r="A51" s="118" t="s">
        <x:v>3233</x:v>
      </x:c>
      <x:c r="B51" s="118" t="s">
        <x:v>3189</x:v>
      </x:c>
      <x:c r="C51" s="118" t="n">
        <x:v>1</x:v>
      </x:c>
      <x:c r="D51" s="107"/>
      <x:c r="E51" s="107"/>
    </x:row>
    <x:row r="52" ht="15" hidden="0">
      <x:c r="A52" s="118" t="s">
        <x:v>3234</x:v>
      </x:c>
      <x:c r="B52" s="118" t="s">
        <x:v>3189</x:v>
      </x:c>
      <x:c r="C52" s="118" t="n">
        <x:v>1</x:v>
      </x:c>
      <x:c r="D52" s="107"/>
      <x:c r="E52" s="107"/>
    </x:row>
    <x:row r="53" ht="15" hidden="0">
      <x:c r="A53" s="118" t="s">
        <x:v>3235</x:v>
      </x:c>
      <x:c r="B53" s="118" t="s">
        <x:v>3189</x:v>
      </x:c>
      <x:c r="C53" s="118" t="n">
        <x:v>1</x:v>
      </x:c>
      <x:c r="D53" s="107"/>
      <x:c r="E53" s="107"/>
    </x:row>
    <x:row r="54" ht="15" hidden="0">
      <x:c r="A54" s="118" t="s">
        <x:v>3236</x:v>
      </x:c>
      <x:c r="B54" s="118" t="s">
        <x:v>3189</x:v>
      </x:c>
      <x:c r="C54" s="118" t="n">
        <x:v>1</x:v>
      </x:c>
      <x:c r="D54" s="107"/>
      <x:c r="E54" s="107"/>
    </x:row>
    <x:row r="55" ht="15" hidden="0">
      <x:c r="A55" s="118" t="s">
        <x:v>3237</x:v>
      </x:c>
      <x:c r="B55" s="118" t="s">
        <x:v>3189</x:v>
      </x:c>
      <x:c r="C55" s="118" t="n">
        <x:v>1</x:v>
      </x:c>
      <x:c r="D55" s="107"/>
      <x:c r="E55" s="107"/>
    </x:row>
    <x:row r="56" ht="15" hidden="0">
      <x:c r="A56" s="118" t="s">
        <x:v>3238</x:v>
      </x:c>
      <x:c r="B56" s="118" t="s">
        <x:v>3189</x:v>
      </x:c>
      <x:c r="C56" s="118" t="n">
        <x:v>1</x:v>
      </x:c>
      <x:c r="D56" s="107"/>
      <x:c r="E56" s="107"/>
    </x:row>
    <x:row r="57" ht="15" hidden="0">
      <x:c r="A57" s="118" t="s">
        <x:v>3239</x:v>
      </x:c>
      <x:c r="B57" s="118" t="s">
        <x:v>3189</x:v>
      </x:c>
      <x:c r="C57" s="118" t="n">
        <x:v>1</x:v>
      </x:c>
      <x:c r="D57" s="107"/>
      <x:c r="E57" s="107"/>
    </x:row>
    <x:row r="58" ht="15" hidden="0">
      <x:c r="A58" s="118" t="s">
        <x:v>3240</x:v>
      </x:c>
      <x:c r="B58" s="118" t="s">
        <x:v>3189</x:v>
      </x:c>
      <x:c r="C58" s="118" t="n">
        <x:v>1</x:v>
      </x:c>
      <x:c r="D58" s="107"/>
      <x:c r="E58" s="107"/>
    </x:row>
    <x:row r="59" ht="15" hidden="0">
      <x:c r="A59" s="118" t="s">
        <x:v>3241</x:v>
      </x:c>
      <x:c r="B59" s="118" t="s">
        <x:v>3189</x:v>
      </x:c>
      <x:c r="C59" s="118" t="n">
        <x:v>1</x:v>
      </x:c>
      <x:c r="D59" s="107"/>
      <x:c r="E59" s="107"/>
    </x:row>
    <x:row r="60" ht="15" hidden="0">
      <x:c r="A60" s="118" t="s">
        <x:v>3242</x:v>
      </x:c>
      <x:c r="B60" s="118" t="s">
        <x:v>3189</x:v>
      </x:c>
      <x:c r="C60" s="118" t="n">
        <x:v>1</x:v>
      </x:c>
      <x:c r="D60" s="107"/>
      <x:c r="E60" s="107"/>
    </x:row>
    <x:row r="61" ht="15" hidden="0">
      <x:c r="A61" s="118" t="s">
        <x:v>3243</x:v>
      </x:c>
      <x:c r="B61" s="118" t="s">
        <x:v>3189</x:v>
      </x:c>
      <x:c r="C61" s="118" t="n">
        <x:v>1</x:v>
      </x:c>
      <x:c r="D61" s="107"/>
      <x:c r="E61" s="107"/>
    </x:row>
    <x:row r="62" ht="15" hidden="0">
      <x:c r="A62" s="118" t="s">
        <x:v>3244</x:v>
      </x:c>
      <x:c r="B62" s="118" t="s">
        <x:v>3244</x:v>
      </x:c>
      <x:c r="C62" s="118" t="n">
        <x:v>18</x:v>
      </x:c>
      <x:c r="D62" s="107"/>
      <x:c r="E62" s="107"/>
    </x:row>
    <x:row r="63" ht="15" hidden="0">
      <x:c r="A63" s="118" t="s">
        <x:v>3245</x:v>
      </x:c>
      <x:c r="B63" s="118" t="s">
        <x:v>3244</x:v>
      </x:c>
      <x:c r="C63" s="118" t="n">
        <x:v>11</x:v>
      </x:c>
      <x:c r="D63" s="107"/>
      <x:c r="E63" s="107"/>
    </x:row>
    <x:row r="64" ht="15" hidden="0">
      <x:c r="A64" s="118" t="s">
        <x:v>3246</x:v>
      </x:c>
      <x:c r="B64" s="118" t="s">
        <x:v>3244</x:v>
      </x:c>
      <x:c r="C64" s="118" t="n">
        <x:v>6</x:v>
      </x:c>
      <x:c r="D64" s="107"/>
      <x:c r="E64" s="107"/>
    </x:row>
    <x:row r="65" ht="15" hidden="0">
      <x:c r="A65" s="118" t="s">
        <x:v>3247</x:v>
      </x:c>
      <x:c r="B65" s="118" t="s">
        <x:v>3244</x:v>
      </x:c>
      <x:c r="C65" s="118" t="n">
        <x:v>6</x:v>
      </x:c>
      <x:c r="D65" s="107"/>
      <x:c r="E65" s="107"/>
    </x:row>
    <x:row r="66" ht="15" hidden="0">
      <x:c r="A66" s="118" t="s">
        <x:v>3248</x:v>
      </x:c>
      <x:c r="B66" s="118" t="s">
        <x:v>3244</x:v>
      </x:c>
      <x:c r="C66" s="118" t="n">
        <x:v>6</x:v>
      </x:c>
      <x:c r="D66" s="107"/>
      <x:c r="E66" s="107"/>
    </x:row>
    <x:row r="67" ht="15" hidden="0">
      <x:c r="A67" s="118" t="s">
        <x:v>3249</x:v>
      </x:c>
      <x:c r="B67" s="118" t="s">
        <x:v>3244</x:v>
      </x:c>
      <x:c r="C67" s="118" t="n">
        <x:v>4</x:v>
      </x:c>
      <x:c r="D67" s="107"/>
      <x:c r="E67" s="107"/>
    </x:row>
    <x:row r="68" ht="15" hidden="0">
      <x:c r="A68" s="118" t="s">
        <x:v>3250</x:v>
      </x:c>
      <x:c r="B68" s="118" t="s">
        <x:v>3244</x:v>
      </x:c>
      <x:c r="C68" s="118" t="n">
        <x:v>2</x:v>
      </x:c>
      <x:c r="D68" s="107"/>
      <x:c r="E68" s="107"/>
    </x:row>
    <x:row r="69" ht="15" hidden="0">
      <x:c r="A69" s="118" t="s">
        <x:v>3251</x:v>
      </x:c>
      <x:c r="B69" s="118" t="s">
        <x:v>3244</x:v>
      </x:c>
      <x:c r="C69" s="118" t="n">
        <x:v>2</x:v>
      </x:c>
      <x:c r="D69" s="107"/>
      <x:c r="E69" s="107"/>
    </x:row>
    <x:row r="70" ht="15" hidden="0">
      <x:c r="A70" s="118" t="s">
        <x:v>3252</x:v>
      </x:c>
      <x:c r="B70" s="118" t="s">
        <x:v>3244</x:v>
      </x:c>
      <x:c r="C70" s="118" t="n">
        <x:v>1</x:v>
      </x:c>
      <x:c r="D70" s="107"/>
      <x:c r="E70" s="107"/>
    </x:row>
    <x:row r="71" ht="15" hidden="0">
      <x:c r="A71" s="118" t="s">
        <x:v>3253</x:v>
      </x:c>
      <x:c r="B71" s="118" t="s">
        <x:v>3244</x:v>
      </x:c>
      <x:c r="C71" s="118" t="n">
        <x:v>1</x:v>
      </x:c>
      <x:c r="D71" s="107"/>
      <x:c r="E71" s="107"/>
    </x:row>
    <x:row r="72" ht="15" hidden="0">
      <x:c r="A72" s="118" t="s">
        <x:v>3254</x:v>
      </x:c>
      <x:c r="B72" s="118" t="s">
        <x:v>3244</x:v>
      </x:c>
      <x:c r="C72" s="118" t="n">
        <x:v>1</x:v>
      </x:c>
      <x:c r="D72" s="107"/>
      <x:c r="E72" s="107"/>
    </x:row>
    <x:row r="73" ht="15" hidden="0">
      <x:c r="A73" s="118" t="s">
        <x:v>3255</x:v>
      </x:c>
      <x:c r="B73" s="118" t="s">
        <x:v>3244</x:v>
      </x:c>
      <x:c r="C73" s="118" t="n">
        <x:v>1</x:v>
      </x:c>
      <x:c r="D73" s="107"/>
      <x:c r="E73" s="107"/>
    </x:row>
    <x:row r="74" ht="15" hidden="0">
      <x:c r="A74" s="118" t="s">
        <x:v>3256</x:v>
      </x:c>
      <x:c r="B74" s="118" t="s">
        <x:v>3244</x:v>
      </x:c>
      <x:c r="C74" s="118" t="n">
        <x:v>1</x:v>
      </x:c>
      <x:c r="D74" s="107"/>
      <x:c r="E74" s="107"/>
    </x:row>
    <x:row r="75" ht="15" hidden="0">
      <x:c r="A75" s="118" t="s">
        <x:v>3257</x:v>
      </x:c>
      <x:c r="B75" s="118" t="s">
        <x:v>3244</x:v>
      </x:c>
      <x:c r="C75" s="118" t="n">
        <x:v>1</x:v>
      </x:c>
      <x:c r="D75" s="107"/>
      <x:c r="E75" s="107"/>
    </x:row>
    <x:row r="76" ht="15" hidden="0">
      <x:c r="A76" s="118" t="s">
        <x:v>3258</x:v>
      </x:c>
      <x:c r="B76" s="118" t="s">
        <x:v>3244</x:v>
      </x:c>
      <x:c r="C76" s="118" t="n">
        <x:v>1</x:v>
      </x:c>
      <x:c r="D76" s="107"/>
      <x:c r="E76" s="107"/>
    </x:row>
    <x:row r="77" ht="15" hidden="0">
      <x:c r="A77" s="118" t="s">
        <x:v>3259</x:v>
      </x:c>
      <x:c r="B77" s="118" t="s">
        <x:v>3244</x:v>
      </x:c>
      <x:c r="C77" s="118" t="n">
        <x:v>1</x:v>
      </x:c>
      <x:c r="D77" s="107"/>
      <x:c r="E77" s="107"/>
    </x:row>
    <x:row r="78" ht="15" hidden="0">
      <x:c r="A78" s="118" t="s">
        <x:v>3260</x:v>
      </x:c>
      <x:c r="B78" s="118" t="s">
        <x:v>3260</x:v>
      </x:c>
      <x:c r="C78" s="118" t="n">
        <x:v>45</x:v>
      </x:c>
      <x:c r="D78" s="107"/>
      <x:c r="E78" s="107"/>
    </x:row>
    <x:row r="79" ht="15" hidden="0">
      <x:c r="A79" s="118" t="s">
        <x:v>3261</x:v>
      </x:c>
      <x:c r="B79" s="118" t="s">
        <x:v>3260</x:v>
      </x:c>
      <x:c r="C79" s="118" t="n">
        <x:v>44</x:v>
      </x:c>
      <x:c r="D79" s="107"/>
      <x:c r="E79" s="107"/>
    </x:row>
    <x:row r="80" ht="15" hidden="0">
      <x:c r="A80" s="118" t="s">
        <x:v>3262</x:v>
      </x:c>
      <x:c r="B80" s="118" t="s">
        <x:v>3260</x:v>
      </x:c>
      <x:c r="C80" s="118" t="n">
        <x:v>37</x:v>
      </x:c>
      <x:c r="D80" s="107"/>
      <x:c r="E80" s="107"/>
    </x:row>
    <x:row r="81" ht="15" hidden="0">
      <x:c r="A81" s="118" t="s">
        <x:v>3263</x:v>
      </x:c>
      <x:c r="B81" s="118" t="s">
        <x:v>3260</x:v>
      </x:c>
      <x:c r="C81" s="118" t="n">
        <x:v>19</x:v>
      </x:c>
      <x:c r="D81" s="107"/>
      <x:c r="E81" s="107"/>
    </x:row>
    <x:row r="82" ht="15" hidden="0">
      <x:c r="A82" s="118" t="s">
        <x:v>3264</x:v>
      </x:c>
      <x:c r="B82" s="118" t="s">
        <x:v>3260</x:v>
      </x:c>
      <x:c r="C82" s="118" t="n">
        <x:v>18</x:v>
      </x:c>
      <x:c r="D82" s="107"/>
      <x:c r="E82" s="107"/>
    </x:row>
    <x:row r="83" ht="15" hidden="0">
      <x:c r="A83" s="118" t="s">
        <x:v>3265</x:v>
      </x:c>
      <x:c r="B83" s="118" t="s">
        <x:v>3260</x:v>
      </x:c>
      <x:c r="C83" s="118" t="n">
        <x:v>16</x:v>
      </x:c>
      <x:c r="D83" s="107"/>
      <x:c r="E83" s="107"/>
    </x:row>
    <x:row r="84" ht="15" hidden="0">
      <x:c r="A84" s="118" t="s">
        <x:v>3266</x:v>
      </x:c>
      <x:c r="B84" s="118" t="s">
        <x:v>3260</x:v>
      </x:c>
      <x:c r="C84" s="118" t="n">
        <x:v>15</x:v>
      </x:c>
      <x:c r="D84" s="107"/>
      <x:c r="E84" s="107"/>
    </x:row>
    <x:row r="85" ht="15" hidden="0">
      <x:c r="A85" s="118" t="s">
        <x:v>3267</x:v>
      </x:c>
      <x:c r="B85" s="118" t="s">
        <x:v>3260</x:v>
      </x:c>
      <x:c r="C85" s="118" t="n">
        <x:v>14</x:v>
      </x:c>
      <x:c r="D85" s="107"/>
      <x:c r="E85" s="107"/>
    </x:row>
    <x:row r="86" ht="15" hidden="0">
      <x:c r="A86" s="118" t="s">
        <x:v>3268</x:v>
      </x:c>
      <x:c r="B86" s="118" t="s">
        <x:v>3260</x:v>
      </x:c>
      <x:c r="C86" s="118" t="n">
        <x:v>9</x:v>
      </x:c>
      <x:c r="D86" s="107"/>
      <x:c r="E86" s="107"/>
    </x:row>
    <x:row r="87" ht="15" hidden="0">
      <x:c r="A87" s="118" t="s">
        <x:v>3269</x:v>
      </x:c>
      <x:c r="B87" s="118" t="s">
        <x:v>3260</x:v>
      </x:c>
      <x:c r="C87" s="118" t="n">
        <x:v>9</x:v>
      </x:c>
      <x:c r="D87" s="107"/>
      <x:c r="E87" s="107"/>
    </x:row>
    <x:row r="88" ht="15" hidden="0">
      <x:c r="A88" s="118" t="s">
        <x:v>3270</x:v>
      </x:c>
      <x:c r="B88" s="118" t="s">
        <x:v>3260</x:v>
      </x:c>
      <x:c r="C88" s="118" t="n">
        <x:v>8</x:v>
      </x:c>
      <x:c r="D88" s="107"/>
      <x:c r="E88" s="107"/>
    </x:row>
    <x:row r="89" ht="15" hidden="0">
      <x:c r="A89" s="118" t="s">
        <x:v>3271</x:v>
      </x:c>
      <x:c r="B89" s="118" t="s">
        <x:v>3260</x:v>
      </x:c>
      <x:c r="C89" s="118" t="n">
        <x:v>7</x:v>
      </x:c>
      <x:c r="D89" s="107"/>
      <x:c r="E89" s="107"/>
    </x:row>
    <x:row r="90" ht="15" hidden="0">
      <x:c r="A90" s="118" t="s">
        <x:v>3272</x:v>
      </x:c>
      <x:c r="B90" s="118" t="s">
        <x:v>3260</x:v>
      </x:c>
      <x:c r="C90" s="118" t="n">
        <x:v>7</x:v>
      </x:c>
      <x:c r="D90" s="107"/>
      <x:c r="E90" s="107"/>
    </x:row>
    <x:row r="91" ht="15" hidden="0">
      <x:c r="A91" s="118" t="s">
        <x:v>3273</x:v>
      </x:c>
      <x:c r="B91" s="118" t="s">
        <x:v>3260</x:v>
      </x:c>
      <x:c r="C91" s="118" t="n">
        <x:v>7</x:v>
      </x:c>
      <x:c r="D91" s="107"/>
      <x:c r="E91" s="107"/>
    </x:row>
    <x:row r="92" ht="15" hidden="0">
      <x:c r="A92" s="118" t="s">
        <x:v>3274</x:v>
      </x:c>
      <x:c r="B92" s="118" t="s">
        <x:v>3260</x:v>
      </x:c>
      <x:c r="C92" s="118" t="n">
        <x:v>7</x:v>
      </x:c>
      <x:c r="D92" s="107"/>
      <x:c r="E92" s="107"/>
    </x:row>
    <x:row r="93" ht="15" hidden="0">
      <x:c r="A93" s="118" t="s">
        <x:v>3275</x:v>
      </x:c>
      <x:c r="B93" s="118" t="s">
        <x:v>3260</x:v>
      </x:c>
      <x:c r="C93" s="118" t="n">
        <x:v>7</x:v>
      </x:c>
      <x:c r="D93" s="107"/>
      <x:c r="E93" s="107"/>
    </x:row>
    <x:row r="94" ht="15" hidden="0">
      <x:c r="A94" s="118" t="s">
        <x:v>3276</x:v>
      </x:c>
      <x:c r="B94" s="118" t="s">
        <x:v>3260</x:v>
      </x:c>
      <x:c r="C94" s="118" t="n">
        <x:v>6</x:v>
      </x:c>
      <x:c r="D94" s="107"/>
      <x:c r="E94" s="107"/>
    </x:row>
    <x:row r="95" ht="15" hidden="0">
      <x:c r="A95" s="118" t="s">
        <x:v>3277</x:v>
      </x:c>
      <x:c r="B95" s="118" t="s">
        <x:v>3260</x:v>
      </x:c>
      <x:c r="C95" s="118" t="n">
        <x:v>6</x:v>
      </x:c>
      <x:c r="D95" s="107"/>
      <x:c r="E95" s="107"/>
    </x:row>
    <x:row r="96" ht="15" hidden="0">
      <x:c r="A96" s="118" t="s">
        <x:v>3278</x:v>
      </x:c>
      <x:c r="B96" s="118" t="s">
        <x:v>3260</x:v>
      </x:c>
      <x:c r="C96" s="118" t="n">
        <x:v>5</x:v>
      </x:c>
      <x:c r="D96" s="107"/>
      <x:c r="E96" s="107"/>
    </x:row>
    <x:row r="97" ht="15" hidden="0">
      <x:c r="A97" s="118" t="s">
        <x:v>3279</x:v>
      </x:c>
      <x:c r="B97" s="118" t="s">
        <x:v>3260</x:v>
      </x:c>
      <x:c r="C97" s="118" t="n">
        <x:v>5</x:v>
      </x:c>
      <x:c r="D97" s="107"/>
      <x:c r="E97" s="107"/>
    </x:row>
    <x:row r="98" ht="15" hidden="0">
      <x:c r="A98" s="118" t="s">
        <x:v>3280</x:v>
      </x:c>
      <x:c r="B98" s="118" t="s">
        <x:v>3260</x:v>
      </x:c>
      <x:c r="C98" s="118" t="n">
        <x:v>5</x:v>
      </x:c>
      <x:c r="D98" s="107"/>
      <x:c r="E98" s="107"/>
    </x:row>
    <x:row r="99" ht="15" hidden="0">
      <x:c r="A99" s="118" t="s">
        <x:v>3281</x:v>
      </x:c>
      <x:c r="B99" s="118" t="s">
        <x:v>3260</x:v>
      </x:c>
      <x:c r="C99" s="118" t="n">
        <x:v>5</x:v>
      </x:c>
      <x:c r="D99" s="107"/>
      <x:c r="E99" s="107"/>
    </x:row>
    <x:row r="100" ht="15" hidden="0">
      <x:c r="A100" s="118" t="s">
        <x:v>3282</x:v>
      </x:c>
      <x:c r="B100" s="118" t="s">
        <x:v>3260</x:v>
      </x:c>
      <x:c r="C100" s="118" t="n">
        <x:v>4</x:v>
      </x:c>
      <x:c r="D100" s="107"/>
      <x:c r="E100" s="107"/>
    </x:row>
    <x:row r="101" ht="15" hidden="0">
      <x:c r="A101" s="118" t="s">
        <x:v>3283</x:v>
      </x:c>
      <x:c r="B101" s="118" t="s">
        <x:v>3260</x:v>
      </x:c>
      <x:c r="C101" s="118" t="n">
        <x:v>4</x:v>
      </x:c>
      <x:c r="D101" s="107"/>
      <x:c r="E101" s="107"/>
    </x:row>
    <x:row r="102" ht="15" hidden="0">
      <x:c r="A102" s="118" t="s">
        <x:v>3284</x:v>
      </x:c>
      <x:c r="B102" s="118" t="s">
        <x:v>3260</x:v>
      </x:c>
      <x:c r="C102" s="118" t="n">
        <x:v>4</x:v>
      </x:c>
      <x:c r="D102" s="107"/>
      <x:c r="E102" s="107"/>
    </x:row>
    <x:row r="103" ht="15" hidden="0">
      <x:c r="A103" s="118" t="s">
        <x:v>3285</x:v>
      </x:c>
      <x:c r="B103" s="118" t="s">
        <x:v>3260</x:v>
      </x:c>
      <x:c r="C103" s="118" t="n">
        <x:v>4</x:v>
      </x:c>
      <x:c r="D103" s="107"/>
      <x:c r="E103" s="107"/>
    </x:row>
    <x:row r="104" ht="15" hidden="0">
      <x:c r="A104" s="118" t="s">
        <x:v>3286</x:v>
      </x:c>
      <x:c r="B104" s="118" t="s">
        <x:v>3260</x:v>
      </x:c>
      <x:c r="C104" s="118" t="n">
        <x:v>4</x:v>
      </x:c>
      <x:c r="D104" s="107"/>
      <x:c r="E104" s="107"/>
    </x:row>
    <x:row r="105" ht="15" hidden="0">
      <x:c r="A105" s="118" t="s">
        <x:v>3287</x:v>
      </x:c>
      <x:c r="B105" s="118" t="s">
        <x:v>3260</x:v>
      </x:c>
      <x:c r="C105" s="118" t="n">
        <x:v>4</x:v>
      </x:c>
      <x:c r="D105" s="107"/>
      <x:c r="E105" s="107"/>
    </x:row>
    <x:row r="106" ht="15" hidden="0">
      <x:c r="A106" s="118" t="s">
        <x:v>3288</x:v>
      </x:c>
      <x:c r="B106" s="118" t="s">
        <x:v>3260</x:v>
      </x:c>
      <x:c r="C106" s="118" t="n">
        <x:v>4</x:v>
      </x:c>
      <x:c r="D106" s="107"/>
      <x:c r="E106" s="107"/>
    </x:row>
    <x:row r="107" ht="15" hidden="0">
      <x:c r="A107" s="118" t="s">
        <x:v>3289</x:v>
      </x:c>
      <x:c r="B107" s="118" t="s">
        <x:v>3260</x:v>
      </x:c>
      <x:c r="C107" s="118" t="n">
        <x:v>4</x:v>
      </x:c>
      <x:c r="D107" s="107"/>
      <x:c r="E107" s="107"/>
    </x:row>
    <x:row r="108" ht="15" hidden="0">
      <x:c r="A108" s="118" t="s">
        <x:v>3290</x:v>
      </x:c>
      <x:c r="B108" s="118" t="s">
        <x:v>3260</x:v>
      </x:c>
      <x:c r="C108" s="118" t="n">
        <x:v>4</x:v>
      </x:c>
      <x:c r="D108" s="107"/>
      <x:c r="E108" s="107"/>
    </x:row>
    <x:row r="109" ht="15" hidden="0">
      <x:c r="A109" s="118" t="s">
        <x:v>3291</x:v>
      </x:c>
      <x:c r="B109" s="118" t="s">
        <x:v>3260</x:v>
      </x:c>
      <x:c r="C109" s="118" t="n">
        <x:v>4</x:v>
      </x:c>
      <x:c r="D109" s="107"/>
      <x:c r="E109" s="107"/>
    </x:row>
    <x:row r="110" ht="15" hidden="0">
      <x:c r="A110" s="118" t="s">
        <x:v>3292</x:v>
      </x:c>
      <x:c r="B110" s="118" t="s">
        <x:v>3260</x:v>
      </x:c>
      <x:c r="C110" s="118" t="n">
        <x:v>4</x:v>
      </x:c>
      <x:c r="D110" s="107"/>
      <x:c r="E110" s="107"/>
    </x:row>
    <x:row r="111" ht="15" hidden="0">
      <x:c r="A111" s="118" t="s">
        <x:v>3293</x:v>
      </x:c>
      <x:c r="B111" s="118" t="s">
        <x:v>3260</x:v>
      </x:c>
      <x:c r="C111" s="118" t="n">
        <x:v>4</x:v>
      </x:c>
      <x:c r="D111" s="107"/>
      <x:c r="E111" s="107"/>
    </x:row>
    <x:row r="112" ht="15" hidden="0">
      <x:c r="A112" s="118" t="s">
        <x:v>3294</x:v>
      </x:c>
      <x:c r="B112" s="118" t="s">
        <x:v>3260</x:v>
      </x:c>
      <x:c r="C112" s="118" t="n">
        <x:v>3</x:v>
      </x:c>
      <x:c r="D112" s="107"/>
      <x:c r="E112" s="107"/>
    </x:row>
    <x:row r="113" ht="15" hidden="0">
      <x:c r="A113" s="118" t="s">
        <x:v>3295</x:v>
      </x:c>
      <x:c r="B113" s="118" t="s">
        <x:v>3260</x:v>
      </x:c>
      <x:c r="C113" s="118" t="n">
        <x:v>3</x:v>
      </x:c>
      <x:c r="D113" s="107"/>
      <x:c r="E113" s="107"/>
    </x:row>
    <x:row r="114" ht="15" hidden="0">
      <x:c r="A114" s="118" t="s">
        <x:v>3296</x:v>
      </x:c>
      <x:c r="B114" s="118" t="s">
        <x:v>3260</x:v>
      </x:c>
      <x:c r="C114" s="118" t="n">
        <x:v>3</x:v>
      </x:c>
      <x:c r="D114" s="107"/>
      <x:c r="E114" s="107"/>
    </x:row>
    <x:row r="115" ht="15" hidden="0">
      <x:c r="A115" s="118" t="s">
        <x:v>3297</x:v>
      </x:c>
      <x:c r="B115" s="118" t="s">
        <x:v>3260</x:v>
      </x:c>
      <x:c r="C115" s="118" t="n">
        <x:v>3</x:v>
      </x:c>
      <x:c r="D115" s="107"/>
      <x:c r="E115" s="107"/>
    </x:row>
    <x:row r="116" ht="15" hidden="0">
      <x:c r="A116" s="118" t="s">
        <x:v>3298</x:v>
      </x:c>
      <x:c r="B116" s="118" t="s">
        <x:v>3260</x:v>
      </x:c>
      <x:c r="C116" s="118" t="n">
        <x:v>3</x:v>
      </x:c>
      <x:c r="D116" s="107"/>
      <x:c r="E116" s="107"/>
    </x:row>
    <x:row r="117" ht="15" hidden="0">
      <x:c r="A117" s="118" t="s">
        <x:v>3299</x:v>
      </x:c>
      <x:c r="B117" s="118" t="s">
        <x:v>3260</x:v>
      </x:c>
      <x:c r="C117" s="118" t="n">
        <x:v>3</x:v>
      </x:c>
      <x:c r="D117" s="107"/>
      <x:c r="E117" s="107"/>
    </x:row>
    <x:row r="118" ht="15" hidden="0">
      <x:c r="A118" s="118" t="s">
        <x:v>3300</x:v>
      </x:c>
      <x:c r="B118" s="118" t="s">
        <x:v>3260</x:v>
      </x:c>
      <x:c r="C118" s="118" t="n">
        <x:v>3</x:v>
      </x:c>
      <x:c r="D118" s="107"/>
      <x:c r="E118" s="107"/>
    </x:row>
    <x:row r="119" ht="15" hidden="0">
      <x:c r="A119" s="118" t="s">
        <x:v>3301</x:v>
      </x:c>
      <x:c r="B119" s="118" t="s">
        <x:v>3260</x:v>
      </x:c>
      <x:c r="C119" s="118" t="n">
        <x:v>3</x:v>
      </x:c>
      <x:c r="D119" s="107"/>
      <x:c r="E119" s="107"/>
    </x:row>
    <x:row r="120" ht="15" hidden="0">
      <x:c r="A120" s="118" t="s">
        <x:v>3302</x:v>
      </x:c>
      <x:c r="B120" s="118" t="s">
        <x:v>3260</x:v>
      </x:c>
      <x:c r="C120" s="118" t="n">
        <x:v>3</x:v>
      </x:c>
      <x:c r="D120" s="107"/>
      <x:c r="E120" s="107"/>
    </x:row>
    <x:row r="121" ht="15" hidden="0">
      <x:c r="A121" s="118" t="s">
        <x:v>3303</x:v>
      </x:c>
      <x:c r="B121" s="118" t="s">
        <x:v>3260</x:v>
      </x:c>
      <x:c r="C121" s="118" t="n">
        <x:v>3</x:v>
      </x:c>
      <x:c r="D121" s="107"/>
      <x:c r="E121" s="107"/>
    </x:row>
    <x:row r="122" ht="15" hidden="0">
      <x:c r="A122" s="118" t="s">
        <x:v>3304</x:v>
      </x:c>
      <x:c r="B122" s="118" t="s">
        <x:v>3260</x:v>
      </x:c>
      <x:c r="C122" s="118" t="n">
        <x:v>3</x:v>
      </x:c>
      <x:c r="D122" s="107"/>
      <x:c r="E122" s="107"/>
    </x:row>
    <x:row r="123" ht="15" hidden="0">
      <x:c r="A123" s="118" t="s">
        <x:v>3305</x:v>
      </x:c>
      <x:c r="B123" s="118" t="s">
        <x:v>3260</x:v>
      </x:c>
      <x:c r="C123" s="118" t="n">
        <x:v>3</x:v>
      </x:c>
      <x:c r="D123" s="107"/>
      <x:c r="E123" s="107"/>
    </x:row>
    <x:row r="124" ht="15" hidden="0">
      <x:c r="A124" s="118" t="s">
        <x:v>3306</x:v>
      </x:c>
      <x:c r="B124" s="118" t="s">
        <x:v>3260</x:v>
      </x:c>
      <x:c r="C124" s="118" t="n">
        <x:v>3</x:v>
      </x:c>
      <x:c r="D124" s="107"/>
      <x:c r="E124" s="107"/>
    </x:row>
    <x:row r="125" ht="15" hidden="0">
      <x:c r="A125" s="118" t="s">
        <x:v>3307</x:v>
      </x:c>
      <x:c r="B125" s="118" t="s">
        <x:v>3260</x:v>
      </x:c>
      <x:c r="C125" s="118" t="n">
        <x:v>2</x:v>
      </x:c>
      <x:c r="D125" s="107"/>
      <x:c r="E125" s="107"/>
    </x:row>
    <x:row r="126" ht="15" hidden="0">
      <x:c r="A126" s="118" t="s">
        <x:v>3308</x:v>
      </x:c>
      <x:c r="B126" s="118" t="s">
        <x:v>3260</x:v>
      </x:c>
      <x:c r="C126" s="118" t="n">
        <x:v>2</x:v>
      </x:c>
      <x:c r="D126" s="107"/>
      <x:c r="E126" s="107"/>
    </x:row>
    <x:row r="127" ht="15" hidden="0">
      <x:c r="A127" s="118" t="s">
        <x:v>3309</x:v>
      </x:c>
      <x:c r="B127" s="118" t="s">
        <x:v>3260</x:v>
      </x:c>
      <x:c r="C127" s="118" t="n">
        <x:v>2</x:v>
      </x:c>
      <x:c r="D127" s="107"/>
      <x:c r="E127" s="107"/>
    </x:row>
    <x:row r="128" ht="15" hidden="0">
      <x:c r="A128" s="118" t="s">
        <x:v>3310</x:v>
      </x:c>
      <x:c r="B128" s="118" t="s">
        <x:v>3260</x:v>
      </x:c>
      <x:c r="C128" s="118" t="n">
        <x:v>2</x:v>
      </x:c>
      <x:c r="D128" s="107"/>
      <x:c r="E128" s="107"/>
    </x:row>
    <x:row r="129" ht="15" hidden="0">
      <x:c r="A129" s="118" t="s">
        <x:v>3311</x:v>
      </x:c>
      <x:c r="B129" s="118" t="s">
        <x:v>3260</x:v>
      </x:c>
      <x:c r="C129" s="118" t="n">
        <x:v>2</x:v>
      </x:c>
      <x:c r="D129" s="107"/>
      <x:c r="E129" s="107"/>
    </x:row>
    <x:row r="130" ht="15" hidden="0">
      <x:c r="A130" s="118" t="s">
        <x:v>3312</x:v>
      </x:c>
      <x:c r="B130" s="118" t="s">
        <x:v>3260</x:v>
      </x:c>
      <x:c r="C130" s="118" t="n">
        <x:v>2</x:v>
      </x:c>
      <x:c r="D130" s="107"/>
      <x:c r="E130" s="107"/>
    </x:row>
    <x:row r="131" ht="15" hidden="0">
      <x:c r="A131" s="118" t="s">
        <x:v>3313</x:v>
      </x:c>
      <x:c r="B131" s="118" t="s">
        <x:v>3260</x:v>
      </x:c>
      <x:c r="C131" s="118" t="n">
        <x:v>2</x:v>
      </x:c>
      <x:c r="D131" s="107"/>
      <x:c r="E131" s="107"/>
    </x:row>
    <x:row r="132" ht="15" hidden="0">
      <x:c r="A132" s="118" t="s">
        <x:v>3314</x:v>
      </x:c>
      <x:c r="B132" s="118" t="s">
        <x:v>3260</x:v>
      </x:c>
      <x:c r="C132" s="118" t="n">
        <x:v>2</x:v>
      </x:c>
      <x:c r="D132" s="107"/>
      <x:c r="E132" s="107"/>
    </x:row>
    <x:row r="133" ht="15" hidden="0">
      <x:c r="A133" s="118" t="s">
        <x:v>3315</x:v>
      </x:c>
      <x:c r="B133" s="118" t="s">
        <x:v>3260</x:v>
      </x:c>
      <x:c r="C133" s="118" t="n">
        <x:v>2</x:v>
      </x:c>
      <x:c r="D133" s="107"/>
      <x:c r="E133" s="107"/>
    </x:row>
    <x:row r="134" ht="15" hidden="0">
      <x:c r="A134" s="118" t="s">
        <x:v>3316</x:v>
      </x:c>
      <x:c r="B134" s="118" t="s">
        <x:v>3260</x:v>
      </x:c>
      <x:c r="C134" s="118" t="n">
        <x:v>2</x:v>
      </x:c>
      <x:c r="D134" s="107"/>
      <x:c r="E134" s="107"/>
    </x:row>
    <x:row r="135" ht="15" hidden="0">
      <x:c r="A135" s="118" t="s">
        <x:v>3317</x:v>
      </x:c>
      <x:c r="B135" s="118" t="s">
        <x:v>3260</x:v>
      </x:c>
      <x:c r="C135" s="118" t="n">
        <x:v>2</x:v>
      </x:c>
      <x:c r="D135" s="107"/>
      <x:c r="E135" s="107"/>
    </x:row>
    <x:row r="136" ht="15" hidden="0">
      <x:c r="A136" s="118" t="s">
        <x:v>3318</x:v>
      </x:c>
      <x:c r="B136" s="118" t="s">
        <x:v>3260</x:v>
      </x:c>
      <x:c r="C136" s="118" t="n">
        <x:v>2</x:v>
      </x:c>
      <x:c r="D136" s="107"/>
      <x:c r="E136" s="107"/>
    </x:row>
    <x:row r="137" ht="15" hidden="0">
      <x:c r="A137" s="118" t="s">
        <x:v>3319</x:v>
      </x:c>
      <x:c r="B137" s="118" t="s">
        <x:v>3260</x:v>
      </x:c>
      <x:c r="C137" s="118" t="n">
        <x:v>2</x:v>
      </x:c>
      <x:c r="D137" s="107"/>
      <x:c r="E137" s="107"/>
    </x:row>
    <x:row r="138" ht="15" hidden="0">
      <x:c r="A138" s="118" t="s">
        <x:v>3320</x:v>
      </x:c>
      <x:c r="B138" s="118" t="s">
        <x:v>3260</x:v>
      </x:c>
      <x:c r="C138" s="118" t="n">
        <x:v>2</x:v>
      </x:c>
      <x:c r="D138" s="107"/>
      <x:c r="E138" s="107"/>
    </x:row>
    <x:row r="139" ht="15" hidden="0">
      <x:c r="A139" s="118" t="s">
        <x:v>3321</x:v>
      </x:c>
      <x:c r="B139" s="118" t="s">
        <x:v>3260</x:v>
      </x:c>
      <x:c r="C139" s="118" t="n">
        <x:v>1</x:v>
      </x:c>
      <x:c r="D139" s="107"/>
      <x:c r="E139" s="107"/>
    </x:row>
    <x:row r="140" ht="15" hidden="0">
      <x:c r="A140" s="118" t="s">
        <x:v>3322</x:v>
      </x:c>
      <x:c r="B140" s="118" t="s">
        <x:v>3260</x:v>
      </x:c>
      <x:c r="C140" s="118" t="n">
        <x:v>1</x:v>
      </x:c>
      <x:c r="D140" s="107"/>
      <x:c r="E140" s="107"/>
    </x:row>
    <x:row r="141" ht="15" hidden="0">
      <x:c r="A141" s="118" t="s">
        <x:v>3323</x:v>
      </x:c>
      <x:c r="B141" s="118" t="s">
        <x:v>3260</x:v>
      </x:c>
      <x:c r="C141" s="118" t="n">
        <x:v>1</x:v>
      </x:c>
      <x:c r="D141" s="107"/>
      <x:c r="E141" s="107"/>
    </x:row>
    <x:row r="142" ht="15" hidden="0">
      <x:c r="A142" s="118" t="s">
        <x:v>3324</x:v>
      </x:c>
      <x:c r="B142" s="118" t="s">
        <x:v>3260</x:v>
      </x:c>
      <x:c r="C142" s="118" t="n">
        <x:v>1</x:v>
      </x:c>
      <x:c r="D142" s="107"/>
      <x:c r="E142" s="107"/>
    </x:row>
    <x:row r="143" ht="15" hidden="0">
      <x:c r="A143" s="118" t="s">
        <x:v>3325</x:v>
      </x:c>
      <x:c r="B143" s="118" t="s">
        <x:v>3260</x:v>
      </x:c>
      <x:c r="C143" s="118" t="n">
        <x:v>1</x:v>
      </x:c>
      <x:c r="D143" s="107"/>
      <x:c r="E143" s="107"/>
    </x:row>
    <x:row r="144" ht="15" hidden="0">
      <x:c r="A144" s="118" t="s">
        <x:v>3326</x:v>
      </x:c>
      <x:c r="B144" s="118" t="s">
        <x:v>3260</x:v>
      </x:c>
      <x:c r="C144" s="118" t="n">
        <x:v>1</x:v>
      </x:c>
      <x:c r="D144" s="107"/>
      <x:c r="E144" s="107"/>
    </x:row>
    <x:row r="145" ht="15" hidden="0">
      <x:c r="A145" s="118" t="s">
        <x:v>3327</x:v>
      </x:c>
      <x:c r="B145" s="118" t="s">
        <x:v>3260</x:v>
      </x:c>
      <x:c r="C145" s="118" t="n">
        <x:v>1</x:v>
      </x:c>
      <x:c r="D145" s="107"/>
      <x:c r="E145" s="107"/>
    </x:row>
    <x:row r="146" ht="15" hidden="0">
      <x:c r="A146" s="118" t="s">
        <x:v>3328</x:v>
      </x:c>
      <x:c r="B146" s="118" t="s">
        <x:v>3260</x:v>
      </x:c>
      <x:c r="C146" s="118" t="n">
        <x:v>1</x:v>
      </x:c>
      <x:c r="D146" s="107"/>
      <x:c r="E146" s="107"/>
    </x:row>
    <x:row r="147" ht="15" hidden="0">
      <x:c r="A147" s="118" t="s">
        <x:v>3329</x:v>
      </x:c>
      <x:c r="B147" s="118" t="s">
        <x:v>3260</x:v>
      </x:c>
      <x:c r="C147" s="118" t="n">
        <x:v>1</x:v>
      </x:c>
      <x:c r="D147" s="107"/>
      <x:c r="E147" s="107"/>
    </x:row>
    <x:row r="148" ht="15" hidden="0">
      <x:c r="A148" s="118" t="s">
        <x:v>3330</x:v>
      </x:c>
      <x:c r="B148" s="118" t="s">
        <x:v>3260</x:v>
      </x:c>
      <x:c r="C148" s="118" t="n">
        <x:v>1</x:v>
      </x:c>
      <x:c r="D148" s="107"/>
      <x:c r="E148" s="107"/>
    </x:row>
    <x:row r="149" ht="15" hidden="0">
      <x:c r="A149" s="118" t="s">
        <x:v>3331</x:v>
      </x:c>
      <x:c r="B149" s="118" t="s">
        <x:v>3260</x:v>
      </x:c>
      <x:c r="C149" s="118" t="n">
        <x:v>1</x:v>
      </x:c>
      <x:c r="D149" s="107"/>
      <x:c r="E149" s="107"/>
    </x:row>
    <x:row r="150" ht="15" hidden="0">
      <x:c r="A150" s="118" t="s">
        <x:v>3332</x:v>
      </x:c>
      <x:c r="B150" s="118" t="s">
        <x:v>3260</x:v>
      </x:c>
      <x:c r="C150" s="118" t="n">
        <x:v>1</x:v>
      </x:c>
      <x:c r="D150" s="107"/>
      <x:c r="E150" s="107"/>
    </x:row>
    <x:row r="151" ht="15" hidden="0">
      <x:c r="A151" s="118" t="s">
        <x:v>3333</x:v>
      </x:c>
      <x:c r="B151" s="118" t="s">
        <x:v>3260</x:v>
      </x:c>
      <x:c r="C151" s="118" t="n">
        <x:v>1</x:v>
      </x:c>
      <x:c r="D151" s="107"/>
      <x:c r="E151" s="107"/>
    </x:row>
    <x:row r="152" ht="15" hidden="0">
      <x:c r="A152" s="118" t="s">
        <x:v>3334</x:v>
      </x:c>
      <x:c r="B152" s="118" t="s">
        <x:v>3260</x:v>
      </x:c>
      <x:c r="C152" s="118" t="n">
        <x:v>1</x:v>
      </x:c>
      <x:c r="D152" s="107"/>
      <x:c r="E152" s="107"/>
    </x:row>
    <x:row r="153" ht="15" hidden="0">
      <x:c r="A153" s="118" t="s">
        <x:v>3335</x:v>
      </x:c>
      <x:c r="B153" s="118" t="s">
        <x:v>3260</x:v>
      </x:c>
      <x:c r="C153" s="118" t="n">
        <x:v>1</x:v>
      </x:c>
      <x:c r="D153" s="107"/>
      <x:c r="E153" s="107"/>
    </x:row>
    <x:row r="154" ht="15" hidden="0">
      <x:c r="A154" s="118" t="s">
        <x:v>3336</x:v>
      </x:c>
      <x:c r="B154" s="118" t="s">
        <x:v>3260</x:v>
      </x:c>
      <x:c r="C154" s="118" t="n">
        <x:v>1</x:v>
      </x:c>
      <x:c r="D154" s="107"/>
      <x:c r="E154" s="107"/>
    </x:row>
    <x:row r="155" ht="15" hidden="0">
      <x:c r="A155" s="118" t="s">
        <x:v>3337</x:v>
      </x:c>
      <x:c r="B155" s="118" t="s">
        <x:v>3260</x:v>
      </x:c>
      <x:c r="C155" s="118" t="n">
        <x:v>1</x:v>
      </x:c>
      <x:c r="D155" s="107"/>
      <x:c r="E155" s="107"/>
    </x:row>
    <x:row r="156" ht="15" hidden="0">
      <x:c r="A156" s="118" t="s">
        <x:v>3338</x:v>
      </x:c>
      <x:c r="B156" s="118" t="s">
        <x:v>3260</x:v>
      </x:c>
      <x:c r="C156" s="118" t="n">
        <x:v>1</x:v>
      </x:c>
      <x:c r="D156" s="107"/>
      <x:c r="E156" s="107"/>
    </x:row>
    <x:row r="157" ht="15" hidden="0">
      <x:c r="A157" s="118" t="s">
        <x:v>3339</x:v>
      </x:c>
      <x:c r="B157" s="118" t="s">
        <x:v>3260</x:v>
      </x:c>
      <x:c r="C157" s="118" t="n">
        <x:v>1</x:v>
      </x:c>
      <x:c r="D157" s="107"/>
      <x:c r="E157" s="107"/>
    </x:row>
    <x:row r="158" ht="15" hidden="0">
      <x:c r="A158" s="118" t="s">
        <x:v>3340</x:v>
      </x:c>
      <x:c r="B158" s="118" t="s">
        <x:v>3260</x:v>
      </x:c>
      <x:c r="C158" s="118" t="n">
        <x:v>1</x:v>
      </x:c>
      <x:c r="D158" s="107"/>
      <x:c r="E158" s="107"/>
    </x:row>
    <x:row r="159" ht="15" hidden="0">
      <x:c r="A159" s="118" t="s">
        <x:v>3341</x:v>
      </x:c>
      <x:c r="B159" s="118" t="s">
        <x:v>3260</x:v>
      </x:c>
      <x:c r="C159" s="118" t="n">
        <x:v>1</x:v>
      </x:c>
      <x:c r="D159" s="107"/>
      <x:c r="E159" s="107"/>
    </x:row>
    <x:row r="160" ht="15" hidden="0">
      <x:c r="A160" s="118" t="s">
        <x:v>3342</x:v>
      </x:c>
      <x:c r="B160" s="118" t="s">
        <x:v>3260</x:v>
      </x:c>
      <x:c r="C160" s="118" t="n">
        <x:v>1</x:v>
      </x:c>
      <x:c r="D160" s="107"/>
      <x:c r="E160" s="107"/>
    </x:row>
    <x:row r="161" ht="15" hidden="0">
      <x:c r="A161" s="118" t="s">
        <x:v>3343</x:v>
      </x:c>
      <x:c r="B161" s="118" t="s">
        <x:v>3260</x:v>
      </x:c>
      <x:c r="C161" s="118" t="n">
        <x:v>1</x:v>
      </x:c>
      <x:c r="D161" s="107"/>
      <x:c r="E161" s="107"/>
    </x:row>
    <x:row r="162" ht="15" hidden="0">
      <x:c r="A162" s="118" t="s">
        <x:v>3344</x:v>
      </x:c>
      <x:c r="B162" s="118" t="s">
        <x:v>3260</x:v>
      </x:c>
      <x:c r="C162" s="118" t="n">
        <x:v>1</x:v>
      </x:c>
      <x:c r="D162" s="107"/>
      <x:c r="E162" s="107"/>
    </x:row>
    <x:row r="163" ht="15" hidden="0">
      <x:c r="A163" s="118" t="s">
        <x:v>3345</x:v>
      </x:c>
      <x:c r="B163" s="118" t="s">
        <x:v>3260</x:v>
      </x:c>
      <x:c r="C163" s="118" t="n">
        <x:v>1</x:v>
      </x:c>
      <x:c r="D163" s="107"/>
      <x:c r="E163" s="107"/>
    </x:row>
    <x:row r="164" ht="15" hidden="0">
      <x:c r="A164" s="118" t="s">
        <x:v>3346</x:v>
      </x:c>
      <x:c r="B164" s="118" t="s">
        <x:v>3260</x:v>
      </x:c>
      <x:c r="C164" s="118" t="n">
        <x:v>1</x:v>
      </x:c>
      <x:c r="D164" s="107"/>
      <x:c r="E164" s="107"/>
    </x:row>
    <x:row r="165" ht="15" hidden="0">
      <x:c r="A165" s="118" t="s">
        <x:v>3347</x:v>
      </x:c>
      <x:c r="B165" s="118" t="s">
        <x:v>3260</x:v>
      </x:c>
      <x:c r="C165" s="118" t="n">
        <x:v>1</x:v>
      </x:c>
      <x:c r="D165" s="107"/>
      <x:c r="E165" s="107"/>
    </x:row>
    <x:row r="166" ht="15" hidden="0">
      <x:c r="A166" s="118" t="s">
        <x:v>3348</x:v>
      </x:c>
      <x:c r="B166" s="118" t="s">
        <x:v>3260</x:v>
      </x:c>
      <x:c r="C166" s="118" t="n">
        <x:v>1</x:v>
      </x:c>
      <x:c r="D166" s="107"/>
      <x:c r="E166" s="107"/>
    </x:row>
    <x:row r="167" ht="15" hidden="0">
      <x:c r="A167" s="118" t="s">
        <x:v>3349</x:v>
      </x:c>
      <x:c r="B167" s="118" t="s">
        <x:v>3260</x:v>
      </x:c>
      <x:c r="C167" s="118" t="n">
        <x:v>1</x:v>
      </x:c>
      <x:c r="D167" s="107"/>
      <x:c r="E167" s="107"/>
    </x:row>
    <x:row r="168" ht="15" hidden="0">
      <x:c r="A168" s="118" t="s">
        <x:v>3350</x:v>
      </x:c>
      <x:c r="B168" s="118" t="s">
        <x:v>3260</x:v>
      </x:c>
      <x:c r="C168" s="118" t="n">
        <x:v>1</x:v>
      </x:c>
      <x:c r="D168" s="107"/>
      <x:c r="E168" s="107"/>
    </x:row>
    <x:row r="169" ht="15" hidden="0">
      <x:c r="A169" s="118" t="s">
        <x:v>3351</x:v>
      </x:c>
      <x:c r="B169" s="118" t="s">
        <x:v>3260</x:v>
      </x:c>
      <x:c r="C169" s="118" t="n">
        <x:v>1</x:v>
      </x:c>
      <x:c r="D169" s="107"/>
      <x:c r="E169" s="107"/>
    </x:row>
    <x:row r="170" ht="15" hidden="0">
      <x:c r="A170" s="118" t="s">
        <x:v>3352</x:v>
      </x:c>
      <x:c r="B170" s="118" t="s">
        <x:v>3260</x:v>
      </x:c>
      <x:c r="C170" s="118" t="n">
        <x:v>1</x:v>
      </x:c>
      <x:c r="D170" s="107"/>
      <x:c r="E170" s="107"/>
    </x:row>
    <x:row r="171" ht="15" hidden="0">
      <x:c r="A171" s="118" t="s">
        <x:v>3353</x:v>
      </x:c>
      <x:c r="B171" s="118" t="s">
        <x:v>3260</x:v>
      </x:c>
      <x:c r="C171" s="118" t="n">
        <x:v>1</x:v>
      </x:c>
      <x:c r="D171" s="107"/>
      <x:c r="E171" s="107"/>
    </x:row>
    <x:row r="172" ht="15" hidden="0">
      <x:c r="A172" s="118" t="s">
        <x:v>3354</x:v>
      </x:c>
      <x:c r="B172" s="118" t="s">
        <x:v>3260</x:v>
      </x:c>
      <x:c r="C172" s="118" t="n">
        <x:v>1</x:v>
      </x:c>
      <x:c r="D172" s="107"/>
      <x:c r="E172" s="107"/>
    </x:row>
    <x:row r="173" ht="15" hidden="0">
      <x:c r="A173" s="118" t="s">
        <x:v>3355</x:v>
      </x:c>
      <x:c r="B173" s="118" t="s">
        <x:v>3260</x:v>
      </x:c>
      <x:c r="C173" s="118" t="n">
        <x:v>1</x:v>
      </x:c>
      <x:c r="D173" s="107"/>
      <x:c r="E173" s="107"/>
    </x:row>
    <x:row r="174" ht="15" hidden="0">
      <x:c r="A174" s="118" t="s">
        <x:v>3356</x:v>
      </x:c>
      <x:c r="B174" s="118" t="s">
        <x:v>3260</x:v>
      </x:c>
      <x:c r="C174" s="118" t="n">
        <x:v>1</x:v>
      </x:c>
      <x:c r="D174" s="107"/>
      <x:c r="E174" s="107"/>
    </x:row>
    <x:row r="175" ht="15" hidden="0">
      <x:c r="A175" s="118" t="s">
        <x:v>3357</x:v>
      </x:c>
      <x:c r="B175" s="118" t="s">
        <x:v>3260</x:v>
      </x:c>
      <x:c r="C175" s="118" t="n">
        <x:v>1</x:v>
      </x:c>
      <x:c r="D175" s="107"/>
      <x:c r="E175" s="107"/>
    </x:row>
    <x:row r="176" ht="15" hidden="0">
      <x:c r="A176" s="118" t="s">
        <x:v>3358</x:v>
      </x:c>
      <x:c r="B176" s="118" t="s">
        <x:v>3260</x:v>
      </x:c>
      <x:c r="C176" s="118" t="n">
        <x:v>1</x:v>
      </x:c>
      <x:c r="D176" s="107"/>
      <x:c r="E176" s="107"/>
    </x:row>
    <x:row r="177" ht="15" hidden="0">
      <x:c r="A177" s="118" t="s">
        <x:v>3359</x:v>
      </x:c>
      <x:c r="B177" s="118" t="s">
        <x:v>3260</x:v>
      </x:c>
      <x:c r="C177" s="118" t="n">
        <x:v>1</x:v>
      </x:c>
      <x:c r="D177" s="107"/>
      <x:c r="E177" s="107"/>
    </x:row>
    <x:row r="178" ht="15" hidden="0">
      <x:c r="A178" s="118" t="s">
        <x:v>3360</x:v>
      </x:c>
      <x:c r="B178" s="118" t="s">
        <x:v>3260</x:v>
      </x:c>
      <x:c r="C178" s="118" t="n">
        <x:v>1</x:v>
      </x:c>
      <x:c r="D178" s="107"/>
      <x:c r="E178" s="107"/>
    </x:row>
    <x:row r="179" ht="15" hidden="0">
      <x:c r="A179" s="118" t="s">
        <x:v>3361</x:v>
      </x:c>
      <x:c r="B179" s="118" t="s">
        <x:v>3260</x:v>
      </x:c>
      <x:c r="C179" s="118" t="n">
        <x:v>1</x:v>
      </x:c>
      <x:c r="D179" s="107"/>
      <x:c r="E179" s="107"/>
    </x:row>
    <x:row r="180" ht="15" hidden="0">
      <x:c r="A180" s="118" t="s">
        <x:v>3362</x:v>
      </x:c>
      <x:c r="B180" s="118" t="s">
        <x:v>3260</x:v>
      </x:c>
      <x:c r="C180" s="118" t="n">
        <x:v>1</x:v>
      </x:c>
      <x:c r="D180" s="107"/>
      <x:c r="E180" s="107"/>
    </x:row>
    <x:row r="181" ht="15" hidden="0">
      <x:c r="A181" s="118" t="s">
        <x:v>3363</x:v>
      </x:c>
      <x:c r="B181" s="118" t="s">
        <x:v>3260</x:v>
      </x:c>
      <x:c r="C181" s="118" t="n">
        <x:v>1</x:v>
      </x:c>
      <x:c r="D181" s="107"/>
      <x:c r="E181" s="107"/>
    </x:row>
    <x:row r="182" ht="15" hidden="0">
      <x:c r="A182" s="118" t="s">
        <x:v>3364</x:v>
      </x:c>
      <x:c r="B182" s="118" t="s">
        <x:v>3260</x:v>
      </x:c>
      <x:c r="C182" s="118" t="n">
        <x:v>1</x:v>
      </x:c>
      <x:c r="D182" s="107"/>
      <x:c r="E182" s="107"/>
    </x:row>
    <x:row r="183" ht="15" hidden="0">
      <x:c r="A183" s="118" t="s">
        <x:v>3365</x:v>
      </x:c>
      <x:c r="B183" s="118" t="s">
        <x:v>3260</x:v>
      </x:c>
      <x:c r="C183" s="118" t="n">
        <x:v>1</x:v>
      </x:c>
      <x:c r="D183" s="107"/>
      <x:c r="E183" s="107"/>
    </x:row>
    <x:row r="184" ht="15" hidden="0">
      <x:c r="A184" s="118" t="s">
        <x:v>3366</x:v>
      </x:c>
      <x:c r="B184" s="118" t="s">
        <x:v>3260</x:v>
      </x:c>
      <x:c r="C184" s="118" t="n">
        <x:v>1</x:v>
      </x:c>
      <x:c r="D184" s="107"/>
      <x:c r="E184" s="107"/>
    </x:row>
    <x:row r="185" ht="15" hidden="0">
      <x:c r="A185" s="118" t="s">
        <x:v>3367</x:v>
      </x:c>
      <x:c r="B185" s="118" t="s">
        <x:v>3260</x:v>
      </x:c>
      <x:c r="C185" s="118" t="n">
        <x:v>1</x:v>
      </x:c>
      <x:c r="D185" s="107"/>
      <x:c r="E185" s="107"/>
    </x:row>
    <x:row r="186" ht="15" hidden="0">
      <x:c r="A186" s="118" t="s">
        <x:v>3368</x:v>
      </x:c>
      <x:c r="B186" s="118" t="s">
        <x:v>3260</x:v>
      </x:c>
      <x:c r="C186" s="118" t="n">
        <x:v>1</x:v>
      </x:c>
      <x:c r="D186" s="107"/>
      <x:c r="E186" s="107"/>
    </x:row>
    <x:row r="187" ht="15" hidden="0">
      <x:c r="A187" s="118" t="s">
        <x:v>3369</x:v>
      </x:c>
      <x:c r="B187" s="118" t="s">
        <x:v>3260</x:v>
      </x:c>
      <x:c r="C187" s="118" t="n">
        <x:v>1</x:v>
      </x:c>
      <x:c r="D187" s="107"/>
      <x:c r="E187" s="107"/>
    </x:row>
    <x:row r="188" ht="15" hidden="0">
      <x:c r="A188" s="118" t="s">
        <x:v>3370</x:v>
      </x:c>
      <x:c r="B188" s="118" t="s">
        <x:v>3260</x:v>
      </x:c>
      <x:c r="C188" s="118" t="n">
        <x:v>1</x:v>
      </x:c>
      <x:c r="D188" s="107"/>
      <x:c r="E188" s="107"/>
    </x:row>
    <x:row r="189" ht="15" hidden="0">
      <x:c r="A189" s="118" t="s">
        <x:v>3371</x:v>
      </x:c>
      <x:c r="B189" s="118" t="s">
        <x:v>3260</x:v>
      </x:c>
      <x:c r="C189" s="118" t="n">
        <x:v>1</x:v>
      </x:c>
      <x:c r="D189" s="107"/>
      <x:c r="E189" s="107"/>
    </x:row>
    <x:row r="190" ht="15" hidden="0">
      <x:c r="A190" s="118" t="s">
        <x:v>3372</x:v>
      </x:c>
      <x:c r="B190" s="118" t="s">
        <x:v>3260</x:v>
      </x:c>
      <x:c r="C190" s="118" t="n">
        <x:v>1</x:v>
      </x:c>
      <x:c r="D190" s="107"/>
      <x:c r="E190" s="107"/>
    </x:row>
    <x:row r="191" ht="15" hidden="0">
      <x:c r="A191" s="118" t="s">
        <x:v>3373</x:v>
      </x:c>
      <x:c r="B191" s="118" t="s">
        <x:v>3260</x:v>
      </x:c>
      <x:c r="C191" s="118" t="n">
        <x:v>1</x:v>
      </x:c>
      <x:c r="D191" s="107"/>
      <x:c r="E191" s="107"/>
    </x:row>
    <x:row r="192" ht="15" hidden="0">
      <x:c r="A192" s="118" t="s">
        <x:v>3374</x:v>
      </x:c>
      <x:c r="B192" s="118" t="s">
        <x:v>3260</x:v>
      </x:c>
      <x:c r="C192" s="118" t="n">
        <x:v>1</x:v>
      </x:c>
      <x:c r="D192" s="107"/>
      <x:c r="E192" s="107"/>
    </x:row>
    <x:row r="193" ht="15" hidden="0">
      <x:c r="A193" s="118" t="s">
        <x:v>3375</x:v>
      </x:c>
      <x:c r="B193" s="118" t="s">
        <x:v>3260</x:v>
      </x:c>
      <x:c r="C193" s="118" t="n">
        <x:v>1</x:v>
      </x:c>
      <x:c r="D193" s="107"/>
      <x:c r="E193" s="107"/>
    </x:row>
    <x:row r="194" ht="15" hidden="0">
      <x:c r="A194" s="118" t="s">
        <x:v>3376</x:v>
      </x:c>
      <x:c r="B194" s="118" t="s">
        <x:v>3260</x:v>
      </x:c>
      <x:c r="C194" s="118" t="n">
        <x:v>1</x:v>
      </x:c>
      <x:c r="D194" s="107"/>
      <x:c r="E194" s="107"/>
    </x:row>
    <x:row r="195" ht="15" hidden="0">
      <x:c r="A195" s="118" t="s">
        <x:v>3377</x:v>
      </x:c>
      <x:c r="B195" s="118" t="s">
        <x:v>3260</x:v>
      </x:c>
      <x:c r="C195" s="118" t="n">
        <x:v>1</x:v>
      </x:c>
      <x:c r="D195" s="107"/>
      <x:c r="E195" s="107"/>
    </x:row>
    <x:row r="196" ht="15" hidden="0">
      <x:c r="A196" s="118" t="s">
        <x:v>3378</x:v>
      </x:c>
      <x:c r="B196" s="118" t="s">
        <x:v>3260</x:v>
      </x:c>
      <x:c r="C196" s="118" t="n">
        <x:v>1</x:v>
      </x:c>
      <x:c r="D196" s="107"/>
      <x:c r="E196" s="107"/>
    </x:row>
  </x:sheetData>
  <x:mergeCells>
    <x:mergeCell ref="B3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1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8" width="10" hidden="0" customWidth="1"/>
    <x:col min="9" max="9" width="16" hidden="0" customWidth="1"/>
    <x:col min="10" max="13" width="10" hidden="0" customWidth="1"/>
    <x:col min="14" max="14" width="11" hidden="0" customWidth="1"/>
    <x:col min="7" max="7" width="12" hidden="0" customWidth="1"/>
    <x:col min="8" max="8" width="12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26.850000381469727" hidden="0">
      <x:c r="A1" s="51" t="s">
        <x:v>2</x:v>
      </x:c>
      <x:c r="B1" s="51" t="s">
        <x:v>3</x:v>
      </x:c>
      <x:c r="C1" s="51" t="s">
        <x:v>4</x:v>
      </x:c>
      <x:c r="D1" s="51" t="s">
        <x:v>5</x:v>
      </x:c>
      <x:c r="E1" s="51" t="s">
        <x:v>6</x:v>
      </x:c>
      <x:c r="F1" s="51" t="s">
        <x:v>7</x:v>
      </x:c>
      <x:c r="G1" s="51" t="s">
        <x:v>8</x:v>
      </x:c>
      <x:c r="H1" s="51" t="s">
        <x:v>9</x:v>
      </x:c>
      <x:c r="I1" s="51" t="s">
        <x:v>10</x:v>
      </x:c>
      <x:c r="J1" s="51" t="s">
        <x:v>11</x:v>
      </x:c>
      <x:c r="K1" s="51" t="s">
        <x:v>12</x:v>
      </x:c>
      <x:c r="L1" s="51" t="s">
        <x:v>13</x:v>
      </x:c>
      <x:c r="M1" s="51" t="s">
        <x:v>14</x:v>
      </x:c>
      <x:c r="N1" s="51" t="s">
        <x:v>3379</x:v>
      </x:c>
    </x:row>
    <x:row r="2" ht="15" hidden="0">
      <x:c r="A2" s="73" t="s">
        <x:v>3380</x:v>
      </x:c>
      <x:c r="B2" s="73" t="s">
        <x:v>3260</x:v>
      </x:c>
      <x:c r="C2" s="73" t="s">
        <x:v>17</x:v>
      </x:c>
      <x:c r="D2" s="73" t="s">
        <x:v>3381</x:v>
      </x:c>
      <x:c r="E2" s="73" t="s">
        <x:v>3382</x:v>
      </x:c>
      <x:c r="F2" s="73" t="s">
        <x:v>3383</x:v>
      </x:c>
      <x:c r="G2" s="73" t="n">
        <x:v>15</x:v>
      </x:c>
      <x:c r="H2" s="73" t="n">
        <x:v>30</x:v>
      </x:c>
      <x:c r="I2" s="73" t="s">
        <x:v>72</x:v>
      </x:c>
      <x:c r="J2" s="73" t="n">
        <x:v>2023</x:v>
      </x:c>
      <x:c r="K2" s="73" t="n">
        <x:v>1</x:v>
      </x:c>
      <x:c r="L2" s="73" t="n">
        <x:v>15</x:v>
      </x:c>
      <x:c r="M2" s="73" t="n">
        <x:v>12</x:v>
      </x:c>
      <x:c r="N2" s="73" t="s">
        <x:v>3260</x:v>
      </x:c>
    </x:row>
    <x:row r="3" ht="15" hidden="0">
      <x:c r="A3" s="73" t="s">
        <x:v>3384</x:v>
      </x:c>
      <x:c r="B3" s="73" t="s">
        <x:v>3189</x:v>
      </x:c>
      <x:c r="C3" s="73" t="s">
        <x:v>24</x:v>
      </x:c>
      <x:c r="D3" s="73" t="s">
        <x:v>3385</x:v>
      </x:c>
      <x:c r="E3" s="73" t="s">
        <x:v>3382</x:v>
      </x:c>
      <x:c r="F3" s="73" t="s">
        <x:v>3386</x:v>
      </x:c>
      <x:c r="G3" s="73" t="n">
        <x:v>5</x:v>
      </x:c>
      <x:c r="H3" s="73" t="n">
        <x:v>10</x:v>
      </x:c>
      <x:c r="I3" s="73" t="s">
        <x:v>3387</x:v>
      </x:c>
      <x:c r="J3" s="73" t="n">
        <x:v>2023</x:v>
      </x:c>
      <x:c r="K3" s="73" t="n">
        <x:v>1</x:v>
      </x:c>
      <x:c r="L3" s="73" t="n">
        <x:v>15</x:v>
      </x:c>
      <x:c r="M3" s="73" t="n">
        <x:v>8</x:v>
      </x:c>
      <x:c r="N3" s="73" t="s">
        <x:v>3189</x:v>
      </x:c>
    </x:row>
    <x:row r="4" ht="15" hidden="0">
      <x:c r="A4" s="73" t="s">
        <x:v>3388</x:v>
      </x:c>
      <x:c r="B4" s="73" t="s">
        <x:v>3260</x:v>
      </x:c>
      <x:c r="C4" s="73" t="s">
        <x:v>29</x:v>
      </x:c>
      <x:c r="D4" s="73" t="s">
        <x:v>3389</x:v>
      </x:c>
      <x:c r="E4" s="73" t="s">
        <x:v>3390</x:v>
      </x:c>
      <x:c r="F4" s="73" t="s">
        <x:v>3391</x:v>
      </x:c>
      <x:c r="G4" s="73" t="n">
        <x:v>20</x:v>
      </x:c>
      <x:c r="H4" s="73" t="n">
        <x:v>40</x:v>
      </x:c>
      <x:c r="I4" s="73" t="s">
        <x:v>72</x:v>
      </x:c>
      <x:c r="J4" s="73" t="n">
        <x:v>2023</x:v>
      </x:c>
      <x:c r="K4" s="73" t="n">
        <x:v>1</x:v>
      </x:c>
      <x:c r="L4" s="73" t="n">
        <x:v>15</x:v>
      </x:c>
      <x:c r="M4" s="73" t="n">
        <x:v>15</x:v>
      </x:c>
      <x:c r="N4" s="73" t="s">
        <x:v>3260</x:v>
      </x:c>
    </x:row>
    <x:row r="5" ht="15" hidden="0">
      <x:c r="A5" s="73" t="s">
        <x:v>3392</x:v>
      </x:c>
      <x:c r="B5" s="73" t="s">
        <x:v>3260</x:v>
      </x:c>
      <x:c r="C5" s="73" t="s">
        <x:v>35</x:v>
      </x:c>
      <x:c r="D5" s="73" t="s">
        <x:v>3393</x:v>
      </x:c>
      <x:c r="E5" s="73" t="s">
        <x:v>3394</x:v>
      </x:c>
      <x:c r="F5" s="73" t="s">
        <x:v>3395</x:v>
      </x:c>
      <x:c r="G5" s="73" t="n">
        <x:v>8</x:v>
      </x:c>
      <x:c r="H5" s="73" t="n">
        <x:v>15</x:v>
      </x:c>
      <x:c r="I5" s="73" t="s">
        <x:v>3396</x:v>
      </x:c>
      <x:c r="J5" s="73" t="n">
        <x:v>2023</x:v>
      </x:c>
      <x:c r="K5" s="73" t="n">
        <x:v>1</x:v>
      </x:c>
      <x:c r="L5" s="73" t="n">
        <x:v>15</x:v>
      </x:c>
      <x:c r="M5" s="73" t="n">
        <x:v>18</x:v>
      </x:c>
      <x:c r="N5" s="73" t="s">
        <x:v>3260</x:v>
      </x:c>
    </x:row>
    <x:row r="6" ht="15" hidden="0">
      <x:c r="A6" s="73" t="s">
        <x:v>3397</x:v>
      </x:c>
      <x:c r="B6" s="73" t="s">
        <x:v>3244</x:v>
      </x:c>
      <x:c r="C6" s="73" t="s">
        <x:v>42</x:v>
      </x:c>
      <x:c r="D6" s="73" t="s">
        <x:v>3398</x:v>
      </x:c>
      <x:c r="E6" s="73" t="s">
        <x:v>3390</x:v>
      </x:c>
      <x:c r="F6" s="73" t="s">
        <x:v>3399</x:v>
      </x:c>
      <x:c r="G6" s="73" t="n">
        <x:v>12</x:v>
      </x:c>
      <x:c r="H6" s="73" t="n">
        <x:v>25</x:v>
      </x:c>
      <x:c r="I6" s="73" t="s">
        <x:v>3400</x:v>
      </x:c>
      <x:c r="J6" s="73" t="n">
        <x:v>2023</x:v>
      </x:c>
      <x:c r="K6" s="73" t="n">
        <x:v>1</x:v>
      </x:c>
      <x:c r="L6" s="73" t="n">
        <x:v>15</x:v>
      </x:c>
      <x:c r="M6" s="73" t="n">
        <x:v>19</x:v>
      </x:c>
      <x:c r="N6" s="73" t="s">
        <x:v>3244</x:v>
      </x:c>
    </x:row>
    <x:row r="7" ht="15" hidden="0">
      <x:c r="A7" s="73" t="s">
        <x:v>3401</x:v>
      </x:c>
      <x:c r="B7" s="73" t="s">
        <x:v>3260</x:v>
      </x:c>
      <x:c r="C7" s="73" t="s">
        <x:v>47</x:v>
      </x:c>
      <x:c r="D7" s="73" t="s">
        <x:v>3402</x:v>
      </x:c>
      <x:c r="E7" s="73" t="s">
        <x:v>3382</x:v>
      </x:c>
      <x:c r="F7" s="73" t="s">
        <x:v>3403</x:v>
      </x:c>
      <x:c r="G7" s="73" t="n">
        <x:v>25</x:v>
      </x:c>
      <x:c r="H7" s="73" t="n">
        <x:v>50</x:v>
      </x:c>
      <x:c r="I7" s="73" t="s">
        <x:v>3404</x:v>
      </x:c>
      <x:c r="J7" s="73" t="n">
        <x:v>2023</x:v>
      </x:c>
      <x:c r="K7" s="73" t="n">
        <x:v>1</x:v>
      </x:c>
      <x:c r="L7" s="73" t="n">
        <x:v>16</x:v>
      </x:c>
      <x:c r="M7" s="73" t="n">
        <x:v>9</x:v>
      </x:c>
      <x:c r="N7" s="73" t="s">
        <x:v>3260</x:v>
      </x:c>
    </x:row>
    <x:row r="8" ht="15" hidden="0">
      <x:c r="A8" s="73" t="s">
        <x:v>3405</x:v>
      </x:c>
      <x:c r="B8" s="73" t="s">
        <x:v>3260</x:v>
      </x:c>
      <x:c r="C8" s="73" t="s">
        <x:v>52</x:v>
      </x:c>
      <x:c r="D8" s="73" t="s">
        <x:v>3406</x:v>
      </x:c>
      <x:c r="E8" s="73" t="s">
        <x:v>3394</x:v>
      </x:c>
      <x:c r="F8" s="73" t="s">
        <x:v>3407</x:v>
      </x:c>
      <x:c r="G8" s="73" t="n">
        <x:v>10</x:v>
      </x:c>
      <x:c r="H8" s="73" t="n">
        <x:v>20</x:v>
      </x:c>
      <x:c r="I8" s="73" t="s">
        <x:v>3387</x:v>
      </x:c>
      <x:c r="J8" s="73" t="n">
        <x:v>2023</x:v>
      </x:c>
      <x:c r="K8" s="73" t="n">
        <x:v>1</x:v>
      </x:c>
      <x:c r="L8" s="73" t="n">
        <x:v>16</x:v>
      </x:c>
      <x:c r="M8" s="73" t="n">
        <x:v>14</x:v>
      </x:c>
      <x:c r="N8" s="73" t="s">
        <x:v>3260</x:v>
      </x:c>
    </x:row>
    <x:row r="9" ht="15" hidden="0">
      <x:c r="A9" s="73" t="s">
        <x:v>3408</x:v>
      </x:c>
      <x:c r="B9" s="73" t="s">
        <x:v>3260</x:v>
      </x:c>
      <x:c r="C9" s="73" t="s">
        <x:v>56</x:v>
      </x:c>
      <x:c r="D9" s="73" t="s">
        <x:v>3409</x:v>
      </x:c>
      <x:c r="E9" s="73" t="s">
        <x:v>3390</x:v>
      </x:c>
      <x:c r="F9" s="73" t="s">
        <x:v>3410</x:v>
      </x:c>
      <x:c r="G9" s="73" t="n">
        <x:v>15</x:v>
      </x:c>
      <x:c r="H9" s="73" t="n">
        <x:v>30</x:v>
      </x:c>
      <x:c r="I9" s="73" t="s">
        <x:v>72</x:v>
      </x:c>
      <x:c r="J9" s="73" t="n">
        <x:v>2023</x:v>
      </x:c>
      <x:c r="K9" s="73" t="n">
        <x:v>1</x:v>
      </x:c>
      <x:c r="L9" s="73" t="n">
        <x:v>16</x:v>
      </x:c>
      <x:c r="M9" s="73" t="n">
        <x:v>19</x:v>
      </x:c>
      <x:c r="N9" s="73" t="s">
        <x:v>3260</x:v>
      </x:c>
    </x:row>
    <x:row r="10" ht="15" hidden="0">
      <x:c r="A10" s="73" t="s">
        <x:v>3411</x:v>
      </x:c>
      <x:c r="B10" s="73" t="s">
        <x:v>3189</x:v>
      </x:c>
      <x:c r="C10" s="73" t="s">
        <x:v>61</x:v>
      </x:c>
      <x:c r="D10" s="73" t="s">
        <x:v>3412</x:v>
      </x:c>
      <x:c r="E10" s="73" t="s">
        <x:v>3382</x:v>
      </x:c>
      <x:c r="F10" s="73" t="s">
        <x:v>3413</x:v>
      </x:c>
      <x:c r="G10" s="73" t="n">
        <x:v>30</x:v>
      </x:c>
      <x:c r="H10" s="73" t="n">
        <x:v>60</x:v>
      </x:c>
      <x:c r="I10" s="73" t="s">
        <x:v>72</x:v>
      </x:c>
      <x:c r="J10" s="73" t="n">
        <x:v>2023</x:v>
      </x:c>
      <x:c r="K10" s="73" t="n">
        <x:v>1</x:v>
      </x:c>
      <x:c r="L10" s="73" t="n">
        <x:v>17</x:v>
      </x:c>
      <x:c r="M10" s="73" t="n">
        <x:v>8</x:v>
      </x:c>
      <x:c r="N10" s="73" t="s">
        <x:v>3189</x:v>
      </x:c>
    </x:row>
    <x:row r="11" ht="15" hidden="0">
      <x:c r="A11" s="73" t="s">
        <x:v>3414</x:v>
      </x:c>
      <x:c r="B11" s="73" t="s">
        <x:v>3244</x:v>
      </x:c>
      <x:c r="C11" s="73" t="s">
        <x:v>65</x:v>
      </x:c>
      <x:c r="D11" s="73" t="s">
        <x:v>3415</x:v>
      </x:c>
      <x:c r="E11" s="73" t="s">
        <x:v>3394</x:v>
      </x:c>
      <x:c r="F11" s="73" t="s">
        <x:v>3416</x:v>
      </x:c>
      <x:c r="G11" s="73" t="n">
        <x:v>18</x:v>
      </x:c>
      <x:c r="H11" s="73" t="n">
        <x:v>35</x:v>
      </x:c>
      <x:c r="I11" s="73" t="s">
        <x:v>3400</x:v>
      </x:c>
      <x:c r="J11" s="73" t="n">
        <x:v>2023</x:v>
      </x:c>
      <x:c r="K11" s="73" t="n">
        <x:v>1</x:v>
      </x:c>
      <x:c r="L11" s="73" t="n">
        <x:v>17</x:v>
      </x:c>
      <x:c r="M11" s="73" t="n">
        <x:v>12</x:v>
      </x:c>
      <x:c r="N11" s="73" t="s">
        <x:v>3244</x:v>
      </x:c>
    </x:row>
    <x:row r="12" ht="15" hidden="0">
      <x:c r="A12" s="73" t="s">
        <x:v>3417</x:v>
      </x:c>
      <x:c r="B12" s="73" t="s">
        <x:v>3260</x:v>
      </x:c>
      <x:c r="C12" s="73" t="s">
        <x:v>69</x:v>
      </x:c>
      <x:c r="D12" s="73" t="s">
        <x:v>3418</x:v>
      </x:c>
      <x:c r="E12" s="73" t="s">
        <x:v>3390</x:v>
      </x:c>
      <x:c r="F12" s="73" t="s">
        <x:v>3419</x:v>
      </x:c>
      <x:c r="G12" s="73" t="n">
        <x:v>22</x:v>
      </x:c>
      <x:c r="H12" s="73" t="n">
        <x:v>45</x:v>
      </x:c>
      <x:c r="I12" s="73" t="s">
        <x:v>72</x:v>
      </x:c>
      <x:c r="J12" s="73" t="n">
        <x:v>2023</x:v>
      </x:c>
      <x:c r="K12" s="73" t="n">
        <x:v>1</x:v>
      </x:c>
      <x:c r="L12" s="73" t="n">
        <x:v>17</x:v>
      </x:c>
      <x:c r="M12" s="73" t="n">
        <x:v>15</x:v>
      </x:c>
      <x:c r="N12" s="73" t="s">
        <x:v>3260</x:v>
      </x:c>
    </x:row>
    <x:row r="13" ht="15" hidden="0">
      <x:c r="A13" s="73" t="s">
        <x:v>3420</x:v>
      </x:c>
      <x:c r="B13" s="73" t="s">
        <x:v>3189</x:v>
      </x:c>
      <x:c r="C13" s="73" t="s">
        <x:v>74</x:v>
      </x:c>
      <x:c r="D13" s="73" t="s">
        <x:v>3421</x:v>
      </x:c>
      <x:c r="E13" s="73" t="s">
        <x:v>3382</x:v>
      </x:c>
      <x:c r="F13" s="73" t="s">
        <x:v>3422</x:v>
      </x:c>
      <x:c r="G13" s="73" t="n">
        <x:v>7</x:v>
      </x:c>
      <x:c r="H13" s="73" t="n">
        <x:v>15</x:v>
      </x:c>
      <x:c r="I13" s="73" t="s">
        <x:v>3387</x:v>
      </x:c>
      <x:c r="J13" s="73" t="n">
        <x:v>2023</x:v>
      </x:c>
      <x:c r="K13" s="73" t="n">
        <x:v>1</x:v>
      </x:c>
      <x:c r="L13" s="73" t="n">
        <x:v>18</x:v>
      </x:c>
      <x:c r="M13" s="73" t="n">
        <x:v>10</x:v>
      </x:c>
      <x:c r="N13" s="73" t="s">
        <x:v>3189</x:v>
      </x:c>
    </x:row>
    <x:row r="14" ht="15" hidden="0">
      <x:c r="A14" s="73" t="s">
        <x:v>3423</x:v>
      </x:c>
      <x:c r="B14" s="73" t="s">
        <x:v>3260</x:v>
      </x:c>
      <x:c r="C14" s="73" t="s">
        <x:v>78</x:v>
      </x:c>
      <x:c r="D14" s="73" t="s">
        <x:v>3424</x:v>
      </x:c>
      <x:c r="E14" s="73" t="s">
        <x:v>3394</x:v>
      </x:c>
      <x:c r="F14" s="73" t="s">
        <x:v>3425</x:v>
      </x:c>
      <x:c r="G14" s="73" t="n">
        <x:v>12</x:v>
      </x:c>
      <x:c r="H14" s="73" t="n">
        <x:v>25</x:v>
      </x:c>
      <x:c r="I14" s="73" t="s">
        <x:v>3396</x:v>
      </x:c>
      <x:c r="J14" s="73" t="n">
        <x:v>2023</x:v>
      </x:c>
      <x:c r="K14" s="73" t="n">
        <x:v>1</x:v>
      </x:c>
      <x:c r="L14" s="73" t="n">
        <x:v>18</x:v>
      </x:c>
      <x:c r="M14" s="73" t="n">
        <x:v>14</x:v>
      </x:c>
      <x:c r="N14" s="73" t="s">
        <x:v>3260</x:v>
      </x:c>
    </x:row>
    <x:row r="15" ht="15" hidden="0">
      <x:c r="A15" s="73" t="s">
        <x:v>3426</x:v>
      </x:c>
      <x:c r="B15" s="73" t="s">
        <x:v>3260</x:v>
      </x:c>
      <x:c r="C15" s="73" t="s">
        <x:v>82</x:v>
      </x:c>
      <x:c r="D15" s="73" t="s">
        <x:v>3427</x:v>
      </x:c>
      <x:c r="E15" s="73" t="s">
        <x:v>3390</x:v>
      </x:c>
      <x:c r="F15" s="73" t="s">
        <x:v>3428</x:v>
      </x:c>
      <x:c r="G15" s="73" t="n">
        <x:v>28</x:v>
      </x:c>
      <x:c r="H15" s="73" t="n">
        <x:v>55</x:v>
      </x:c>
      <x:c r="I15" s="73" t="s">
        <x:v>72</x:v>
      </x:c>
      <x:c r="J15" s="73" t="n">
        <x:v>2023</x:v>
      </x:c>
      <x:c r="K15" s="73" t="n">
        <x:v>1</x:v>
      </x:c>
      <x:c r="L15" s="73" t="n">
        <x:v>18</x:v>
      </x:c>
      <x:c r="M15" s="73" t="n">
        <x:v>18</x:v>
      </x:c>
      <x:c r="N15" s="73" t="s">
        <x:v>3260</x:v>
      </x:c>
    </x:row>
    <x:row r="16" ht="15" hidden="0">
      <x:c r="A16" s="73" t="s">
        <x:v>3429</x:v>
      </x:c>
      <x:c r="B16" s="73" t="s">
        <x:v>3244</x:v>
      </x:c>
      <x:c r="C16" s="73" t="s">
        <x:v>86</x:v>
      </x:c>
      <x:c r="D16" s="73" t="s">
        <x:v>3430</x:v>
      </x:c>
      <x:c r="E16" s="73" t="s">
        <x:v>3382</x:v>
      </x:c>
      <x:c r="F16" s="73" t="s">
        <x:v>3431</x:v>
      </x:c>
      <x:c r="G16" s="73" t="n">
        <x:v>15</x:v>
      </x:c>
      <x:c r="H16" s="73" t="n">
        <x:v>30</x:v>
      </x:c>
      <x:c r="I16" s="73" t="s">
        <x:v>3404</x:v>
      </x:c>
      <x:c r="J16" s="73" t="n">
        <x:v>2023</x:v>
      </x:c>
      <x:c r="K16" s="73" t="n">
        <x:v>1</x:v>
      </x:c>
      <x:c r="L16" s="73" t="n">
        <x:v>19</x:v>
      </x:c>
      <x:c r="M16" s="73" t="n">
        <x:v>9</x:v>
      </x:c>
      <x:c r="N16" s="73" t="s">
        <x:v>3244</x:v>
      </x:c>
    </x:row>
    <x:row r="17" ht="15" hidden="0">
      <x:c r="A17" s="73" t="s">
        <x:v>3432</x:v>
      </x:c>
      <x:c r="B17" s="73" t="s">
        <x:v>3260</x:v>
      </x:c>
      <x:c r="C17" s="73" t="s">
        <x:v>90</x:v>
      </x:c>
      <x:c r="D17" s="73" t="s">
        <x:v>3433</x:v>
      </x:c>
      <x:c r="E17" s="73" t="s">
        <x:v>3394</x:v>
      </x:c>
      <x:c r="F17" s="73" t="s">
        <x:v>3434</x:v>
      </x:c>
      <x:c r="G17" s="73" t="n">
        <x:v>20</x:v>
      </x:c>
      <x:c r="H17" s="73" t="n">
        <x:v>40</x:v>
      </x:c>
      <x:c r="I17" s="73" t="s">
        <x:v>72</x:v>
      </x:c>
      <x:c r="J17" s="73" t="n">
        <x:v>2023</x:v>
      </x:c>
      <x:c r="K17" s="73" t="n">
        <x:v>1</x:v>
      </x:c>
      <x:c r="L17" s="73" t="n">
        <x:v>19</x:v>
      </x:c>
      <x:c r="M17" s="73" t="n">
        <x:v>13</x:v>
      </x:c>
      <x:c r="N17" s="73" t="s">
        <x:v>3260</x:v>
      </x:c>
    </x:row>
    <x:row r="18" ht="15" hidden="0">
      <x:c r="A18" s="73" t="s">
        <x:v>3435</x:v>
      </x:c>
      <x:c r="B18" s="73" t="s">
        <x:v>3260</x:v>
      </x:c>
      <x:c r="C18" s="73" t="s">
        <x:v>94</x:v>
      </x:c>
      <x:c r="D18" s="73" t="s">
        <x:v>3436</x:v>
      </x:c>
      <x:c r="E18" s="73" t="s">
        <x:v>3390</x:v>
      </x:c>
      <x:c r="F18" s="73" t="s">
        <x:v>3437</x:v>
      </x:c>
      <x:c r="G18" s="73" t="n">
        <x:v>15</x:v>
      </x:c>
      <x:c r="H18" s="73" t="n">
        <x:v>30</x:v>
      </x:c>
      <x:c r="I18" s="73" t="s">
        <x:v>3387</x:v>
      </x:c>
      <x:c r="J18" s="73" t="n">
        <x:v>2023</x:v>
      </x:c>
      <x:c r="K18" s="73" t="n">
        <x:v>1</x:v>
      </x:c>
      <x:c r="L18" s="73" t="n">
        <x:v>19</x:v>
      </x:c>
      <x:c r="M18" s="73" t="n">
        <x:v>17</x:v>
      </x:c>
      <x:c r="N18" s="73" t="s">
        <x:v>3260</x:v>
      </x:c>
    </x:row>
    <x:row r="19" ht="15" hidden="0">
      <x:c r="A19" s="73" t="s">
        <x:v>3438</x:v>
      </x:c>
      <x:c r="B19" s="73" t="s">
        <x:v>3260</x:v>
      </x:c>
      <x:c r="C19" s="73" t="s">
        <x:v>99</x:v>
      </x:c>
      <x:c r="D19" s="73" t="s">
        <x:v>3439</x:v>
      </x:c>
      <x:c r="E19" s="73" t="s">
        <x:v>3382</x:v>
      </x:c>
      <x:c r="F19" s="73" t="s">
        <x:v>3440</x:v>
      </x:c>
      <x:c r="G19" s="73" t="n">
        <x:v>18</x:v>
      </x:c>
      <x:c r="H19" s="73" t="n">
        <x:v>35</x:v>
      </x:c>
      <x:c r="I19" s="73" t="s">
        <x:v>3396</x:v>
      </x:c>
      <x:c r="J19" s="73" t="n">
        <x:v>2023</x:v>
      </x:c>
      <x:c r="K19" s="73" t="n">
        <x:v>1</x:v>
      </x:c>
      <x:c r="L19" s="73" t="n">
        <x:v>20</x:v>
      </x:c>
      <x:c r="M19" s="73" t="n">
        <x:v>0</x:v>
      </x:c>
      <x:c r="N19" s="73" t="s">
        <x:v>3260</x:v>
      </x:c>
    </x:row>
    <x:row r="20" ht="15" hidden="0">
      <x:c r="A20" s="73" t="s">
        <x:v>3441</x:v>
      </x:c>
      <x:c r="B20" s="73" t="s">
        <x:v>3244</x:v>
      </x:c>
      <x:c r="C20" s="73" t="s">
        <x:v>103</x:v>
      </x:c>
      <x:c r="D20" s="73" t="s">
        <x:v>3442</x:v>
      </x:c>
      <x:c r="E20" s="73" t="s">
        <x:v>3394</x:v>
      </x:c>
      <x:c r="F20" s="73" t="s">
        <x:v>3443</x:v>
      </x:c>
      <x:c r="G20" s="73" t="n">
        <x:v>25</x:v>
      </x:c>
      <x:c r="H20" s="73" t="n">
        <x:v>50</x:v>
      </x:c>
      <x:c r="I20" s="73" t="s">
        <x:v>72</x:v>
      </x:c>
      <x:c r="J20" s="73" t="n">
        <x:v>2023</x:v>
      </x:c>
      <x:c r="K20" s="73" t="n">
        <x:v>1</x:v>
      </x:c>
      <x:c r="L20" s="73" t="n">
        <x:v>20</x:v>
      </x:c>
      <x:c r="M20" s="73" t="n">
        <x:v>11</x:v>
      </x:c>
      <x:c r="N20" s="73" t="s">
        <x:v>3244</x:v>
      </x:c>
    </x:row>
    <x:row r="21" ht="15" hidden="0">
      <x:c r="A21" s="73" t="s">
        <x:v>3444</x:v>
      </x:c>
      <x:c r="B21" s="73" t="s">
        <x:v>3189</x:v>
      </x:c>
      <x:c r="C21" s="73" t="s">
        <x:v>107</x:v>
      </x:c>
      <x:c r="D21" s="73" t="s">
        <x:v>3445</x:v>
      </x:c>
      <x:c r="E21" s="73" t="s">
        <x:v>3390</x:v>
      </x:c>
      <x:c r="F21" s="73" t="s">
        <x:v>3446</x:v>
      </x:c>
      <x:c r="G21" s="73" t="n">
        <x:v>8</x:v>
      </x:c>
      <x:c r="H21" s="73" t="n">
        <x:v>15</x:v>
      </x:c>
      <x:c r="I21" s="73" t="s">
        <x:v>72</x:v>
      </x:c>
      <x:c r="J21" s="73" t="n">
        <x:v>2023</x:v>
      </x:c>
      <x:c r="K21" s="73" t="n">
        <x:v>1</x:v>
      </x:c>
      <x:c r="L21" s="73" t="n">
        <x:v>20</x:v>
      </x:c>
      <x:c r="M21" s="73" t="n">
        <x:v>15</x:v>
      </x:c>
      <x:c r="N21" s="73" t="s">
        <x:v>3189</x:v>
      </x:c>
    </x:row>
    <x:row r="22" ht="15" hidden="0">
      <x:c r="A22" s="73" t="s">
        <x:v>3447</x:v>
      </x:c>
      <x:c r="B22" s="73" t="s">
        <x:v>3260</x:v>
      </x:c>
      <x:c r="C22" s="73" t="s">
        <x:v>112</x:v>
      </x:c>
      <x:c r="D22" s="73" t="s">
        <x:v>3448</x:v>
      </x:c>
      <x:c r="E22" s="73" t="s">
        <x:v>3382</x:v>
      </x:c>
      <x:c r="F22" s="73" t="s">
        <x:v>3449</x:v>
      </x:c>
      <x:c r="G22" s="73" t="n">
        <x:v>22</x:v>
      </x:c>
      <x:c r="H22" s="73" t="n">
        <x:v>45</x:v>
      </x:c>
      <x:c r="I22" s="73" t="s">
        <x:v>3404</x:v>
      </x:c>
      <x:c r="J22" s="73" t="n">
        <x:v>2023</x:v>
      </x:c>
      <x:c r="K22" s="73" t="n">
        <x:v>1</x:v>
      </x:c>
      <x:c r="L22" s="73" t="n">
        <x:v>21</x:v>
      </x:c>
      <x:c r="M22" s="73" t="n">
        <x:v>8</x:v>
      </x:c>
      <x:c r="N22" s="73" t="s">
        <x:v>3260</x:v>
      </x:c>
    </x:row>
    <x:row r="23" ht="15" hidden="0">
      <x:c r="A23" s="73" t="s">
        <x:v>3450</x:v>
      </x:c>
      <x:c r="B23" s="73" t="s">
        <x:v>3260</x:v>
      </x:c>
      <x:c r="C23" s="73" t="s">
        <x:v>116</x:v>
      </x:c>
      <x:c r="D23" s="73" t="s">
        <x:v>3451</x:v>
      </x:c>
      <x:c r="E23" s="73" t="s">
        <x:v>3394</x:v>
      </x:c>
      <x:c r="F23" s="73" t="s">
        <x:v>3452</x:v>
      </x:c>
      <x:c r="G23" s="73" t="n">
        <x:v>15</x:v>
      </x:c>
      <x:c r="H23" s="73" t="n">
        <x:v>30</x:v>
      </x:c>
      <x:c r="I23" s="73" t="s">
        <x:v>72</x:v>
      </x:c>
      <x:c r="J23" s="73" t="n">
        <x:v>2023</x:v>
      </x:c>
      <x:c r="K23" s="73" t="n">
        <x:v>1</x:v>
      </x:c>
      <x:c r="L23" s="73" t="n">
        <x:v>21</x:v>
      </x:c>
      <x:c r="M23" s="73" t="n">
        <x:v>13</x:v>
      </x:c>
      <x:c r="N23" s="73" t="s">
        <x:v>3260</x:v>
      </x:c>
    </x:row>
    <x:row r="24" ht="15" hidden="0">
      <x:c r="A24" s="73" t="s">
        <x:v>3453</x:v>
      </x:c>
      <x:c r="B24" s="73" t="s">
        <x:v>3260</x:v>
      </x:c>
      <x:c r="C24" s="73" t="s">
        <x:v>120</x:v>
      </x:c>
      <x:c r="D24" s="73" t="s">
        <x:v>3454</x:v>
      </x:c>
      <x:c r="E24" s="73" t="s">
        <x:v>3390</x:v>
      </x:c>
      <x:c r="F24" s="73" t="s">
        <x:v>3455</x:v>
      </x:c>
      <x:c r="G24" s="73" t="n">
        <x:v>30</x:v>
      </x:c>
      <x:c r="H24" s="73" t="n">
        <x:v>60</x:v>
      </x:c>
      <x:c r="I24" s="73" t="s">
        <x:v>72</x:v>
      </x:c>
      <x:c r="J24" s="73" t="n">
        <x:v>2023</x:v>
      </x:c>
      <x:c r="K24" s="73" t="n">
        <x:v>1</x:v>
      </x:c>
      <x:c r="L24" s="73" t="n">
        <x:v>21</x:v>
      </x:c>
      <x:c r="M24" s="73" t="n">
        <x:v>16</x:v>
      </x:c>
      <x:c r="N24" s="73" t="s">
        <x:v>3260</x:v>
      </x:c>
    </x:row>
    <x:row r="25" ht="15" hidden="0">
      <x:c r="A25" s="73" t="s">
        <x:v>3456</x:v>
      </x:c>
      <x:c r="B25" s="73" t="s">
        <x:v>3260</x:v>
      </x:c>
      <x:c r="C25" s="73" t="s">
        <x:v>125</x:v>
      </x:c>
      <x:c r="D25" s="73" t="s">
        <x:v>3457</x:v>
      </x:c>
      <x:c r="E25" s="73" t="s">
        <x:v>3382</x:v>
      </x:c>
      <x:c r="F25" s="73" t="s">
        <x:v>3458</x:v>
      </x:c>
      <x:c r="G25" s="73" t="n">
        <x:v>20</x:v>
      </x:c>
      <x:c r="H25" s="73" t="n">
        <x:v>40</x:v>
      </x:c>
      <x:c r="I25" s="73" t="s">
        <x:v>3396</x:v>
      </x:c>
      <x:c r="J25" s="73" t="n">
        <x:v>2023</x:v>
      </x:c>
      <x:c r="K25" s="73" t="n">
        <x:v>1</x:v>
      </x:c>
      <x:c r="L25" s="73" t="n">
        <x:v>22</x:v>
      </x:c>
      <x:c r="M25" s="73" t="n">
        <x:v>9</x:v>
      </x:c>
      <x:c r="N25" s="73" t="s">
        <x:v>3260</x:v>
      </x:c>
    </x:row>
    <x:row r="26" ht="15" hidden="0">
      <x:c r="A26" s="73" t="s">
        <x:v>3459</x:v>
      </x:c>
      <x:c r="B26" s="73" t="s">
        <x:v>3260</x:v>
      </x:c>
      <x:c r="C26" s="73" t="s">
        <x:v>129</x:v>
      </x:c>
      <x:c r="D26" s="73" t="s">
        <x:v>3460</x:v>
      </x:c>
      <x:c r="E26" s="73" t="s">
        <x:v>3394</x:v>
      </x:c>
      <x:c r="F26" s="73" t="s">
        <x:v>3461</x:v>
      </x:c>
      <x:c r="G26" s="73" t="n">
        <x:v>12</x:v>
      </x:c>
      <x:c r="H26" s="73" t="n">
        <x:v>25</x:v>
      </x:c>
      <x:c r="I26" s="73" t="s">
        <x:v>3387</x:v>
      </x:c>
      <x:c r="J26" s="73" t="n">
        <x:v>2023</x:v>
      </x:c>
      <x:c r="K26" s="73" t="n">
        <x:v>1</x:v>
      </x:c>
      <x:c r="L26" s="73" t="n">
        <x:v>22</x:v>
      </x:c>
      <x:c r="M26" s="73" t="n">
        <x:v>14</x:v>
      </x:c>
      <x:c r="N26" s="73" t="s">
        <x:v>3260</x:v>
      </x:c>
    </x:row>
    <x:row r="27" ht="15" hidden="0">
      <x:c r="A27" s="73" t="s">
        <x:v>3462</x:v>
      </x:c>
      <x:c r="B27" s="73" t="s">
        <x:v>3260</x:v>
      </x:c>
      <x:c r="C27" s="73" t="s">
        <x:v>134</x:v>
      </x:c>
      <x:c r="D27" s="73" t="s">
        <x:v>3463</x:v>
      </x:c>
      <x:c r="E27" s="73" t="s">
        <x:v>3390</x:v>
      </x:c>
      <x:c r="F27" s="73" t="s">
        <x:v>3464</x:v>
      </x:c>
      <x:c r="G27" s="73" t="n">
        <x:v>15</x:v>
      </x:c>
      <x:c r="H27" s="73" t="n">
        <x:v>30</x:v>
      </x:c>
      <x:c r="I27" s="73" t="s">
        <x:v>3396</x:v>
      </x:c>
      <x:c r="J27" s="73" t="n">
        <x:v>2023</x:v>
      </x:c>
      <x:c r="K27" s="73" t="n">
        <x:v>1</x:v>
      </x:c>
      <x:c r="L27" s="73" t="n">
        <x:v>22</x:v>
      </x:c>
      <x:c r="M27" s="73" t="n">
        <x:v>12</x:v>
      </x:c>
      <x:c r="N27" s="73" t="s">
        <x:v>3260</x:v>
      </x:c>
    </x:row>
    <x:row r="28" ht="15" hidden="0">
      <x:c r="A28" s="73" t="s">
        <x:v>3465</x:v>
      </x:c>
      <x:c r="B28" s="73" t="s">
        <x:v>3260</x:v>
      </x:c>
      <x:c r="C28" s="73" t="s">
        <x:v>139</x:v>
      </x:c>
      <x:c r="D28" s="73" t="s">
        <x:v>3466</x:v>
      </x:c>
      <x:c r="E28" s="73" t="s">
        <x:v>3394</x:v>
      </x:c>
      <x:c r="F28" s="73" t="s">
        <x:v>3467</x:v>
      </x:c>
      <x:c r="G28" s="73" t="n">
        <x:v>25</x:v>
      </x:c>
      <x:c r="H28" s="73" t="n">
        <x:v>50</x:v>
      </x:c>
      <x:c r="I28" s="73" t="s">
        <x:v>3404</x:v>
      </x:c>
      <x:c r="J28" s="73" t="n">
        <x:v>2023</x:v>
      </x:c>
      <x:c r="K28" s="73" t="n">
        <x:v>1</x:v>
      </x:c>
      <x:c r="L28" s="73" t="n">
        <x:v>23</x:v>
      </x:c>
      <x:c r="M28" s="73" t="n">
        <x:v>16</x:v>
      </x:c>
      <x:c r="N28" s="73" t="s">
        <x:v>3260</x:v>
      </x:c>
    </x:row>
    <x:row r="29" ht="15" hidden="0">
      <x:c r="A29" s="73" t="s">
        <x:v>3468</x:v>
      </x:c>
      <x:c r="B29" s="73" t="s">
        <x:v>3260</x:v>
      </x:c>
      <x:c r="C29" s="73" t="s">
        <x:v>144</x:v>
      </x:c>
      <x:c r="D29" s="73" t="s">
        <x:v>3469</x:v>
      </x:c>
      <x:c r="E29" s="73" t="s">
        <x:v>3390</x:v>
      </x:c>
      <x:c r="F29" s="73" t="s">
        <x:v>3470</x:v>
      </x:c>
      <x:c r="G29" s="73" t="n">
        <x:v>15</x:v>
      </x:c>
      <x:c r="H29" s="73" t="n">
        <x:v>30</x:v>
      </x:c>
      <x:c r="I29" s="73" t="s">
        <x:v>3400</x:v>
      </x:c>
      <x:c r="J29" s="73" t="n">
        <x:v>2023</x:v>
      </x:c>
      <x:c r="K29" s="73" t="n">
        <x:v>1</x:v>
      </x:c>
      <x:c r="L29" s="73" t="n">
        <x:v>23</x:v>
      </x:c>
      <x:c r="M29" s="73" t="n">
        <x:v>19</x:v>
      </x:c>
      <x:c r="N29" s="73" t="s">
        <x:v>3260</x:v>
      </x:c>
    </x:row>
    <x:row r="30" ht="15" hidden="0">
      <x:c r="A30" s="73" t="s">
        <x:v>3471</x:v>
      </x:c>
      <x:c r="B30" s="73" t="s">
        <x:v>3260</x:v>
      </x:c>
      <x:c r="C30" s="73" t="s">
        <x:v>148</x:v>
      </x:c>
      <x:c r="D30" s="73" t="s">
        <x:v>3472</x:v>
      </x:c>
      <x:c r="E30" s="73" t="s">
        <x:v>3382</x:v>
      </x:c>
      <x:c r="F30" s="73" t="s">
        <x:v>3473</x:v>
      </x:c>
      <x:c r="G30" s="73" t="n">
        <x:v>22</x:v>
      </x:c>
      <x:c r="H30" s="73" t="n">
        <x:v>45</x:v>
      </x:c>
      <x:c r="I30" s="73" t="s">
        <x:v>72</x:v>
      </x:c>
      <x:c r="J30" s="73" t="n">
        <x:v>2023</x:v>
      </x:c>
      <x:c r="K30" s="73" t="n">
        <x:v>1</x:v>
      </x:c>
      <x:c r="L30" s="73" t="n">
        <x:v>24</x:v>
      </x:c>
      <x:c r="M30" s="73" t="n">
        <x:v>11</x:v>
      </x:c>
      <x:c r="N30" s="73" t="s">
        <x:v>3260</x:v>
      </x:c>
    </x:row>
    <x:row r="31" ht="15" hidden="0">
      <x:c r="A31" s="73" t="s">
        <x:v>3474</x:v>
      </x:c>
      <x:c r="B31" s="73" t="s">
        <x:v>3260</x:v>
      </x:c>
      <x:c r="C31" s="73" t="s">
        <x:v>152</x:v>
      </x:c>
      <x:c r="D31" s="73" t="s">
        <x:v>3475</x:v>
      </x:c>
      <x:c r="E31" s="73" t="s">
        <x:v>3394</x:v>
      </x:c>
      <x:c r="F31" s="73" t="s">
        <x:v>3476</x:v>
      </x:c>
      <x:c r="G31" s="73" t="n">
        <x:v>12</x:v>
      </x:c>
      <x:c r="H31" s="73" t="n">
        <x:v>25</x:v>
      </x:c>
      <x:c r="I31" s="73" t="s">
        <x:v>3387</x:v>
      </x:c>
      <x:c r="J31" s="73" t="n">
        <x:v>2023</x:v>
      </x:c>
      <x:c r="K31" s="73" t="n">
        <x:v>1</x:v>
      </x:c>
      <x:c r="L31" s="73" t="n">
        <x:v>24</x:v>
      </x:c>
      <x:c r="M31" s="73" t="n">
        <x:v>15</x:v>
      </x:c>
      <x:c r="N31" s="73" t="s">
        <x:v>3260</x:v>
      </x:c>
    </x:row>
    <x:row r="32" ht="15" hidden="0">
      <x:c r="A32" s="73" t="s">
        <x:v>3477</x:v>
      </x:c>
      <x:c r="B32" s="73" t="s">
        <x:v>3260</x:v>
      </x:c>
      <x:c r="C32" s="73" t="s">
        <x:v>157</x:v>
      </x:c>
      <x:c r="D32" s="73" t="s">
        <x:v>3478</x:v>
      </x:c>
      <x:c r="E32" s="73" t="s">
        <x:v>3390</x:v>
      </x:c>
      <x:c r="F32" s="73" t="s">
        <x:v>3479</x:v>
      </x:c>
      <x:c r="G32" s="73" t="n">
        <x:v>18</x:v>
      </x:c>
      <x:c r="H32" s="73" t="n">
        <x:v>35</x:v>
      </x:c>
      <x:c r="I32" s="73" t="s">
        <x:v>3396</x:v>
      </x:c>
      <x:c r="J32" s="73" t="n">
        <x:v>2023</x:v>
      </x:c>
      <x:c r="K32" s="73" t="n">
        <x:v>1</x:v>
      </x:c>
      <x:c r="L32" s="73" t="n">
        <x:v>24</x:v>
      </x:c>
      <x:c r="M32" s="73" t="n">
        <x:v>17</x:v>
      </x:c>
      <x:c r="N32" s="73" t="s">
        <x:v>3260</x:v>
      </x:c>
    </x:row>
    <x:row r="33" ht="15" hidden="0">
      <x:c r="A33" s="73" t="s">
        <x:v>3480</x:v>
      </x:c>
      <x:c r="B33" s="73" t="s">
        <x:v>3260</x:v>
      </x:c>
      <x:c r="C33" s="73" t="s">
        <x:v>162</x:v>
      </x:c>
      <x:c r="D33" s="73" t="s">
        <x:v>3481</x:v>
      </x:c>
      <x:c r="E33" s="73" t="s">
        <x:v>3382</x:v>
      </x:c>
      <x:c r="F33" s="73" t="s">
        <x:v>3482</x:v>
      </x:c>
      <x:c r="G33" s="73" t="n">
        <x:v>15</x:v>
      </x:c>
      <x:c r="H33" s="73" t="n">
        <x:v>30</x:v>
      </x:c>
      <x:c r="I33" s="73" t="s">
        <x:v>3404</x:v>
      </x:c>
      <x:c r="J33" s="73" t="n">
        <x:v>2023</x:v>
      </x:c>
      <x:c r="K33" s="73" t="n">
        <x:v>1</x:v>
      </x:c>
      <x:c r="L33" s="73" t="n">
        <x:v>25</x:v>
      </x:c>
      <x:c r="M33" s="73" t="n">
        <x:v>18</x:v>
      </x:c>
      <x:c r="N33" s="73" t="s">
        <x:v>3260</x:v>
      </x:c>
    </x:row>
    <x:row r="34" ht="15" hidden="0">
      <x:c r="A34" s="73" t="s">
        <x:v>3483</x:v>
      </x:c>
      <x:c r="B34" s="73" t="s">
        <x:v>3260</x:v>
      </x:c>
      <x:c r="C34" s="73" t="s">
        <x:v>166</x:v>
      </x:c>
      <x:c r="D34" s="73" t="s">
        <x:v>3484</x:v>
      </x:c>
      <x:c r="E34" s="73" t="s">
        <x:v>3394</x:v>
      </x:c>
      <x:c r="F34" s="73" t="s">
        <x:v>3485</x:v>
      </x:c>
      <x:c r="G34" s="73" t="n">
        <x:v>30</x:v>
      </x:c>
      <x:c r="H34" s="73" t="n">
        <x:v>60</x:v>
      </x:c>
      <x:c r="I34" s="73" t="s">
        <x:v>72</x:v>
      </x:c>
      <x:c r="J34" s="73" t="n">
        <x:v>2023</x:v>
      </x:c>
      <x:c r="K34" s="73" t="n">
        <x:v>1</x:v>
      </x:c>
      <x:c r="L34" s="73" t="n">
        <x:v>25</x:v>
      </x:c>
      <x:c r="M34" s="73" t="n">
        <x:v>13</x:v>
      </x:c>
      <x:c r="N34" s="73" t="s">
        <x:v>3260</x:v>
      </x:c>
    </x:row>
    <x:row r="35" ht="15" hidden="0">
      <x:c r="A35" s="73" t="s">
        <x:v>3486</x:v>
      </x:c>
      <x:c r="B35" s="73" t="s">
        <x:v>3260</x:v>
      </x:c>
      <x:c r="C35" s="73" t="s">
        <x:v>170</x:v>
      </x:c>
      <x:c r="D35" s="73" t="s">
        <x:v>3487</x:v>
      </x:c>
      <x:c r="E35" s="73" t="s">
        <x:v>3390</x:v>
      </x:c>
      <x:c r="F35" s="73" t="s">
        <x:v>3488</x:v>
      </x:c>
      <x:c r="G35" s="73" t="n">
        <x:v>25</x:v>
      </x:c>
      <x:c r="H35" s="73" t="n">
        <x:v>50</x:v>
      </x:c>
      <x:c r="I35" s="73" t="s">
        <x:v>72</x:v>
      </x:c>
      <x:c r="J35" s="73" t="n">
        <x:v>2023</x:v>
      </x:c>
      <x:c r="K35" s="73" t="n">
        <x:v>1</x:v>
      </x:c>
      <x:c r="L35" s="73" t="n">
        <x:v>26</x:v>
      </x:c>
      <x:c r="M35" s="73" t="n">
        <x:v>9</x:v>
      </x:c>
      <x:c r="N35" s="73" t="s">
        <x:v>3260</x:v>
      </x:c>
    </x:row>
    <x:row r="36" ht="15" hidden="0">
      <x:c r="A36" s="73" t="s">
        <x:v>3489</x:v>
      </x:c>
      <x:c r="B36" s="73" t="s">
        <x:v>3260</x:v>
      </x:c>
      <x:c r="C36" s="73" t="s">
        <x:v>174</x:v>
      </x:c>
      <x:c r="D36" s="73" t="s">
        <x:v>3490</x:v>
      </x:c>
      <x:c r="E36" s="73" t="s">
        <x:v>3382</x:v>
      </x:c>
      <x:c r="F36" s="73" t="s">
        <x:v>3491</x:v>
      </x:c>
      <x:c r="G36" s="73" t="n">
        <x:v>15</x:v>
      </x:c>
      <x:c r="H36" s="73" t="n">
        <x:v>30</x:v>
      </x:c>
      <x:c r="I36" s="73" t="s">
        <x:v>3387</x:v>
      </x:c>
      <x:c r="J36" s="73" t="n">
        <x:v>2023</x:v>
      </x:c>
      <x:c r="K36" s="73" t="n">
        <x:v>1</x:v>
      </x:c>
      <x:c r="L36" s="73" t="n">
        <x:v>26</x:v>
      </x:c>
      <x:c r="M36" s="73" t="n">
        <x:v>14</x:v>
      </x:c>
      <x:c r="N36" s="73" t="s">
        <x:v>3260</x:v>
      </x:c>
    </x:row>
    <x:row r="37" ht="15" hidden="0">
      <x:c r="A37" s="73" t="s">
        <x:v>3492</x:v>
      </x:c>
      <x:c r="B37" s="73" t="s">
        <x:v>3260</x:v>
      </x:c>
      <x:c r="C37" s="73" t="s">
        <x:v>178</x:v>
      </x:c>
      <x:c r="D37" s="73" t="s">
        <x:v>3493</x:v>
      </x:c>
      <x:c r="E37" s="73" t="s">
        <x:v>3394</x:v>
      </x:c>
      <x:c r="F37" s="73" t="s">
        <x:v>3494</x:v>
      </x:c>
      <x:c r="G37" s="73" t="n">
        <x:v>22</x:v>
      </x:c>
      <x:c r="H37" s="73" t="n">
        <x:v>45</x:v>
      </x:c>
      <x:c r="I37" s="73" t="s">
        <x:v>3396</x:v>
      </x:c>
      <x:c r="J37" s="73" t="n">
        <x:v>2023</x:v>
      </x:c>
      <x:c r="K37" s="73" t="n">
        <x:v>1</x:v>
      </x:c>
      <x:c r="L37" s="73" t="n">
        <x:v>26</x:v>
      </x:c>
      <x:c r="M37" s="73" t="n">
        <x:v>17</x:v>
      </x:c>
      <x:c r="N37" s="73" t="s">
        <x:v>3260</x:v>
      </x:c>
    </x:row>
    <x:row r="38" ht="15" hidden="0">
      <x:c r="A38" s="73" t="s">
        <x:v>3495</x:v>
      </x:c>
      <x:c r="B38" s="73" t="s">
        <x:v>3260</x:v>
      </x:c>
      <x:c r="C38" s="73" t="s">
        <x:v>182</x:v>
      </x:c>
      <x:c r="D38" s="73" t="s">
        <x:v>3496</x:v>
      </x:c>
      <x:c r="E38" s="73" t="s">
        <x:v>3390</x:v>
      </x:c>
      <x:c r="F38" s="73" t="s">
        <x:v>3497</x:v>
      </x:c>
      <x:c r="G38" s="73" t="n">
        <x:v>18</x:v>
      </x:c>
      <x:c r="H38" s="73" t="n">
        <x:v>35</x:v>
      </x:c>
      <x:c r="I38" s="73" t="s">
        <x:v>72</x:v>
      </x:c>
      <x:c r="J38" s="73" t="n">
        <x:v>2023</x:v>
      </x:c>
      <x:c r="K38" s="73" t="n">
        <x:v>1</x:v>
      </x:c>
      <x:c r="L38" s="73" t="n">
        <x:v>27</x:v>
      </x:c>
      <x:c r="M38" s="73" t="n">
        <x:v>20</x:v>
      </x:c>
      <x:c r="N38" s="73" t="s">
        <x:v>3260</x:v>
      </x:c>
    </x:row>
    <x:row r="39" ht="15" hidden="0">
      <x:c r="A39" s="73" t="s">
        <x:v>3498</x:v>
      </x:c>
      <x:c r="B39" s="73" t="s">
        <x:v>3260</x:v>
      </x:c>
      <x:c r="C39" s="73" t="s">
        <x:v>186</x:v>
      </x:c>
      <x:c r="D39" s="73" t="s">
        <x:v>3499</x:v>
      </x:c>
      <x:c r="E39" s="73" t="s">
        <x:v>3382</x:v>
      </x:c>
      <x:c r="F39" s="73" t="s">
        <x:v>3500</x:v>
      </x:c>
      <x:c r="G39" s="73" t="n">
        <x:v>15</x:v>
      </x:c>
      <x:c r="H39" s="73" t="n">
        <x:v>30</x:v>
      </x:c>
      <x:c r="I39" s="73" t="s">
        <x:v>3404</x:v>
      </x:c>
      <x:c r="J39" s="73" t="n">
        <x:v>2023</x:v>
      </x:c>
      <x:c r="K39" s="73" t="n">
        <x:v>1</x:v>
      </x:c>
      <x:c r="L39" s="73" t="n">
        <x:v>27</x:v>
      </x:c>
      <x:c r="M39" s="73" t="n">
        <x:v>12</x:v>
      </x:c>
      <x:c r="N39" s="73" t="s">
        <x:v>3260</x:v>
      </x:c>
    </x:row>
    <x:row r="40" ht="15" hidden="0">
      <x:c r="A40" s="73" t="s">
        <x:v>3501</x:v>
      </x:c>
      <x:c r="B40" s="73" t="s">
        <x:v>3260</x:v>
      </x:c>
      <x:c r="C40" s="73" t="s">
        <x:v>190</x:v>
      </x:c>
      <x:c r="D40" s="73" t="s">
        <x:v>3502</x:v>
      </x:c>
      <x:c r="E40" s="73" t="s">
        <x:v>3394</x:v>
      </x:c>
      <x:c r="F40" s="73" t="s">
        <x:v>3503</x:v>
      </x:c>
      <x:c r="G40" s="73" t="n">
        <x:v>12</x:v>
      </x:c>
      <x:c r="H40" s="73" t="n">
        <x:v>25</x:v>
      </x:c>
      <x:c r="I40" s="73" t="s">
        <x:v>3387</x:v>
      </x:c>
      <x:c r="J40" s="73" t="n">
        <x:v>2023</x:v>
      </x:c>
      <x:c r="K40" s="73" t="n">
        <x:v>1</x:v>
      </x:c>
      <x:c r="L40" s="73" t="n">
        <x:v>27</x:v>
      </x:c>
      <x:c r="M40" s="73" t="n">
        <x:v>16</x:v>
      </x:c>
      <x:c r="N40" s="73" t="s">
        <x:v>3260</x:v>
      </x:c>
    </x:row>
    <x:row r="41" ht="15" hidden="0">
      <x:c r="A41" s="73" t="s">
        <x:v>3504</x:v>
      </x:c>
      <x:c r="B41" s="73" t="s">
        <x:v>3260</x:v>
      </x:c>
      <x:c r="C41" s="73" t="s">
        <x:v>194</x:v>
      </x:c>
      <x:c r="D41" s="73" t="s">
        <x:v>3505</x:v>
      </x:c>
      <x:c r="E41" s="73" t="s">
        <x:v>3390</x:v>
      </x:c>
      <x:c r="F41" s="73" t="s">
        <x:v>3506</x:v>
      </x:c>
      <x:c r="G41" s="73" t="n">
        <x:v>30</x:v>
      </x:c>
      <x:c r="H41" s="73" t="n">
        <x:v>60</x:v>
      </x:c>
      <x:c r="I41" s="73" t="s">
        <x:v>72</x:v>
      </x:c>
      <x:c r="J41" s="73" t="n">
        <x:v>2023</x:v>
      </x:c>
      <x:c r="K41" s="73" t="n">
        <x:v>1</x:v>
      </x:c>
      <x:c r="L41" s="73" t="n">
        <x:v>28</x:v>
      </x:c>
      <x:c r="M41" s="73" t="n">
        <x:v>9</x:v>
      </x:c>
      <x:c r="N41" s="73" t="s">
        <x:v>3260</x:v>
      </x:c>
    </x:row>
    <x:row r="42" ht="15" hidden="0">
      <x:c r="A42" s="73" t="s">
        <x:v>3507</x:v>
      </x:c>
      <x:c r="B42" s="73" t="s">
        <x:v>3260</x:v>
      </x:c>
      <x:c r="C42" s="73" t="s">
        <x:v>198</x:v>
      </x:c>
      <x:c r="D42" s="73" t="s">
        <x:v>3508</x:v>
      </x:c>
      <x:c r="E42" s="73" t="s">
        <x:v>3382</x:v>
      </x:c>
      <x:c r="F42" s="73" t="s">
        <x:v>3509</x:v>
      </x:c>
      <x:c r="G42" s="73" t="n">
        <x:v>25</x:v>
      </x:c>
      <x:c r="H42" s="73" t="n">
        <x:v>50</x:v>
      </x:c>
      <x:c r="I42" s="73" t="s">
        <x:v>72</x:v>
      </x:c>
      <x:c r="J42" s="73" t="n">
        <x:v>2023</x:v>
      </x:c>
      <x:c r="K42" s="73" t="n">
        <x:v>1</x:v>
      </x:c>
      <x:c r="L42" s="73" t="n">
        <x:v>28</x:v>
      </x:c>
      <x:c r="M42" s="73" t="n">
        <x:v>14</x:v>
      </x:c>
      <x:c r="N42" s="73" t="s">
        <x:v>3260</x:v>
      </x:c>
    </x:row>
    <x:row r="43" ht="15" hidden="0">
      <x:c r="A43" s="73" t="s">
        <x:v>3510</x:v>
      </x:c>
      <x:c r="B43" s="73" t="s">
        <x:v>3260</x:v>
      </x:c>
      <x:c r="C43" s="73" t="s">
        <x:v>202</x:v>
      </x:c>
      <x:c r="D43" s="73" t="s">
        <x:v>3511</x:v>
      </x:c>
      <x:c r="E43" s="73" t="s">
        <x:v>3394</x:v>
      </x:c>
      <x:c r="F43" s="73" t="s">
        <x:v>3512</x:v>
      </x:c>
      <x:c r="G43" s="73" t="n">
        <x:v>15</x:v>
      </x:c>
      <x:c r="H43" s="73" t="n">
        <x:v>30</x:v>
      </x:c>
      <x:c r="I43" s="73" t="s">
        <x:v>3396</x:v>
      </x:c>
      <x:c r="J43" s="73" t="n">
        <x:v>2023</x:v>
      </x:c>
      <x:c r="K43" s="73" t="n">
        <x:v>1</x:v>
      </x:c>
      <x:c r="L43" s="73" t="n">
        <x:v>28</x:v>
      </x:c>
      <x:c r="M43" s="73" t="n">
        <x:v>19</x:v>
      </x:c>
      <x:c r="N43" s="73" t="s">
        <x:v>3260</x:v>
      </x:c>
    </x:row>
    <x:row r="44" ht="15" hidden="0">
      <x:c r="A44" s="73" t="s">
        <x:v>3513</x:v>
      </x:c>
      <x:c r="B44" s="73" t="s">
        <x:v>3260</x:v>
      </x:c>
      <x:c r="C44" s="73" t="s">
        <x:v>206</x:v>
      </x:c>
      <x:c r="D44" s="73" t="s">
        <x:v>3514</x:v>
      </x:c>
      <x:c r="E44" s="73" t="s">
        <x:v>3390</x:v>
      </x:c>
      <x:c r="F44" s="73" t="s">
        <x:v>3515</x:v>
      </x:c>
      <x:c r="G44" s="73" t="n">
        <x:v>22</x:v>
      </x:c>
      <x:c r="H44" s="73" t="n">
        <x:v>45</x:v>
      </x:c>
      <x:c r="I44" s="73" t="s">
        <x:v>3404</x:v>
      </x:c>
      <x:c r="J44" s="73" t="n">
        <x:v>2023</x:v>
      </x:c>
      <x:c r="K44" s="73" t="n">
        <x:v>1</x:v>
      </x:c>
      <x:c r="L44" s="73" t="n">
        <x:v>29</x:v>
      </x:c>
      <x:c r="M44" s="73" t="n">
        <x:v>17</x:v>
      </x:c>
      <x:c r="N44" s="73" t="s">
        <x:v>3260</x:v>
      </x:c>
    </x:row>
    <x:row r="45" ht="15" hidden="0">
      <x:c r="A45" s="73" t="s">
        <x:v>3516</x:v>
      </x:c>
      <x:c r="B45" s="73" t="s">
        <x:v>3260</x:v>
      </x:c>
      <x:c r="C45" s="73" t="s">
        <x:v>211</x:v>
      </x:c>
      <x:c r="D45" s="73" t="s">
        <x:v>3517</x:v>
      </x:c>
      <x:c r="E45" s="73" t="s">
        <x:v>3382</x:v>
      </x:c>
      <x:c r="F45" s="73" t="s">
        <x:v>3518</x:v>
      </x:c>
      <x:c r="G45" s="73" t="n">
        <x:v>18</x:v>
      </x:c>
      <x:c r="H45" s="73" t="n">
        <x:v>35</x:v>
      </x:c>
      <x:c r="I45" s="73" t="s">
        <x:v>3387</x:v>
      </x:c>
      <x:c r="J45" s="73" t="n">
        <x:v>2023</x:v>
      </x:c>
      <x:c r="K45" s="73" t="n">
        <x:v>1</x:v>
      </x:c>
      <x:c r="L45" s="73" t="n">
        <x:v>29</x:v>
      </x:c>
      <x:c r="M45" s="73" t="n">
        <x:v>20</x:v>
      </x:c>
      <x:c r="N45" s="73" t="s">
        <x:v>3260</x:v>
      </x:c>
    </x:row>
    <x:row r="46" ht="15" hidden="0">
      <x:c r="A46" s="73" t="s">
        <x:v>3519</x:v>
      </x:c>
      <x:c r="B46" s="73" t="s">
        <x:v>3260</x:v>
      </x:c>
      <x:c r="C46" s="73" t="s">
        <x:v>215</x:v>
      </x:c>
      <x:c r="D46" s="73" t="s">
        <x:v>3520</x:v>
      </x:c>
      <x:c r="E46" s="73" t="s">
        <x:v>3394</x:v>
      </x:c>
      <x:c r="F46" s="73" t="s">
        <x:v>3521</x:v>
      </x:c>
      <x:c r="G46" s="73" t="n">
        <x:v>15</x:v>
      </x:c>
      <x:c r="H46" s="73" t="n">
        <x:v>30</x:v>
      </x:c>
      <x:c r="I46" s="73" t="s">
        <x:v>72</x:v>
      </x:c>
      <x:c r="J46" s="73" t="n">
        <x:v>2023</x:v>
      </x:c>
      <x:c r="K46" s="73" t="n">
        <x:v>1</x:v>
      </x:c>
      <x:c r="L46" s="73" t="n">
        <x:v>30</x:v>
      </x:c>
      <x:c r="M46" s="73" t="n">
        <x:v>11</x:v>
      </x:c>
      <x:c r="N46" s="73" t="s">
        <x:v>3260</x:v>
      </x:c>
    </x:row>
    <x:row r="47" ht="15" hidden="0">
      <x:c r="A47" s="73" t="s">
        <x:v>3522</x:v>
      </x:c>
      <x:c r="B47" s="73" t="s">
        <x:v>3260</x:v>
      </x:c>
      <x:c r="C47" s="73" t="s">
        <x:v>219</x:v>
      </x:c>
      <x:c r="D47" s="73" t="s">
        <x:v>3523</x:v>
      </x:c>
      <x:c r="E47" s="73" t="s">
        <x:v>3390</x:v>
      </x:c>
      <x:c r="F47" s="73" t="s">
        <x:v>3524</x:v>
      </x:c>
      <x:c r="G47" s="73" t="n">
        <x:v>12</x:v>
      </x:c>
      <x:c r="H47" s="73" t="n">
        <x:v>25</x:v>
      </x:c>
      <x:c r="I47" s="73" t="s">
        <x:v>3396</x:v>
      </x:c>
      <x:c r="J47" s="73" t="n">
        <x:v>2023</x:v>
      </x:c>
      <x:c r="K47" s="73" t="n">
        <x:v>1</x:v>
      </x:c>
      <x:c r="L47" s="73" t="n">
        <x:v>30</x:v>
      </x:c>
      <x:c r="M47" s="73" t="n">
        <x:v>15</x:v>
      </x:c>
      <x:c r="N47" s="73" t="s">
        <x:v>3260</x:v>
      </x:c>
    </x:row>
    <x:row r="48" ht="15" hidden="0">
      <x:c r="A48" s="73" t="s">
        <x:v>3525</x:v>
      </x:c>
      <x:c r="B48" s="73" t="s">
        <x:v>3260</x:v>
      </x:c>
      <x:c r="C48" s="73" t="s">
        <x:v>224</x:v>
      </x:c>
      <x:c r="D48" s="73" t="s">
        <x:v>3526</x:v>
      </x:c>
      <x:c r="E48" s="73" t="s">
        <x:v>3382</x:v>
      </x:c>
      <x:c r="F48" s="73" t="s">
        <x:v>3527</x:v>
      </x:c>
      <x:c r="G48" s="73" t="n">
        <x:v>28</x:v>
      </x:c>
      <x:c r="H48" s="73" t="n">
        <x:v>55</x:v>
      </x:c>
      <x:c r="I48" s="73" t="s">
        <x:v>3404</x:v>
      </x:c>
      <x:c r="J48" s="73" t="n">
        <x:v>2023</x:v>
      </x:c>
      <x:c r="K48" s="73" t="n">
        <x:v>1</x:v>
      </x:c>
      <x:c r="L48" s="73" t="n">
        <x:v>30</x:v>
      </x:c>
      <x:c r="M48" s="73" t="n">
        <x:v>18</x:v>
      </x:c>
      <x:c r="N48" s="73" t="s">
        <x:v>3260</x:v>
      </x:c>
    </x:row>
    <x:row r="49" ht="15" hidden="0">
      <x:c r="A49" s="73" t="s">
        <x:v>3528</x:v>
      </x:c>
      <x:c r="B49" s="73" t="s">
        <x:v>3260</x:v>
      </x:c>
      <x:c r="C49" s="73" t="s">
        <x:v>228</x:v>
      </x:c>
      <x:c r="D49" s="73" t="s">
        <x:v>3529</x:v>
      </x:c>
      <x:c r="E49" s="73" t="s">
        <x:v>3394</x:v>
      </x:c>
      <x:c r="F49" s="73" t="s">
        <x:v>3530</x:v>
      </x:c>
      <x:c r="G49" s="73" t="n">
        <x:v>15</x:v>
      </x:c>
      <x:c r="H49" s="73" t="n">
        <x:v>30</x:v>
      </x:c>
      <x:c r="I49" s="73" t="s">
        <x:v>3400</x:v>
      </x:c>
      <x:c r="J49" s="73" t="n">
        <x:v>2023</x:v>
      </x:c>
      <x:c r="K49" s="73" t="n">
        <x:v>1</x:v>
      </x:c>
      <x:c r="L49" s="73" t="n">
        <x:v>31</x:v>
      </x:c>
      <x:c r="M49" s="73" t="n">
        <x:v>10</x:v>
      </x:c>
      <x:c r="N49" s="73" t="s">
        <x:v>3260</x:v>
      </x:c>
    </x:row>
    <x:row r="50" ht="15" hidden="0">
      <x:c r="A50" s="73" t="s">
        <x:v>3531</x:v>
      </x:c>
      <x:c r="B50" s="73" t="s">
        <x:v>3260</x:v>
      </x:c>
      <x:c r="C50" s="73" t="s">
        <x:v>232</x:v>
      </x:c>
      <x:c r="D50" s="73" t="s">
        <x:v>3532</x:v>
      </x:c>
      <x:c r="E50" s="73" t="s">
        <x:v>3390</x:v>
      </x:c>
      <x:c r="F50" s="73" t="s">
        <x:v>3533</x:v>
      </x:c>
      <x:c r="G50" s="73" t="n">
        <x:v>20</x:v>
      </x:c>
      <x:c r="H50" s="73" t="n">
        <x:v>40</x:v>
      </x:c>
      <x:c r="I50" s="73" t="s">
        <x:v>72</x:v>
      </x:c>
      <x:c r="J50" s="73" t="n">
        <x:v>2023</x:v>
      </x:c>
      <x:c r="K50" s="73" t="n">
        <x:v>1</x:v>
      </x:c>
      <x:c r="L50" s="73" t="n">
        <x:v>31</x:v>
      </x:c>
      <x:c r="M50" s="73" t="n">
        <x:v>19</x:v>
      </x:c>
      <x:c r="N50" s="73" t="s">
        <x:v>3260</x:v>
      </x:c>
    </x:row>
    <x:row r="51" ht="15" hidden="0">
      <x:c r="A51" s="73" t="s">
        <x:v>3534</x:v>
      </x:c>
      <x:c r="B51" s="73" t="s">
        <x:v>3260</x:v>
      </x:c>
      <x:c r="C51" s="73" t="s">
        <x:v>236</x:v>
      </x:c>
      <x:c r="D51" s="73" t="s">
        <x:v>3535</x:v>
      </x:c>
      <x:c r="E51" s="73" t="s">
        <x:v>3382</x:v>
      </x:c>
      <x:c r="F51" s="73" t="s">
        <x:v>3536</x:v>
      </x:c>
      <x:c r="G51" s="73" t="n">
        <x:v>15</x:v>
      </x:c>
      <x:c r="H51" s="73" t="n">
        <x:v>30</x:v>
      </x:c>
      <x:c r="I51" s="73" t="s">
        <x:v>3387</x:v>
      </x:c>
      <x:c r="J51" s="73" t="n">
        <x:v>2023</x:v>
      </x:c>
      <x:c r="K51" s="73" t="n">
        <x:v>1</x:v>
      </x:c>
      <x:c r="L51" s="73" t="n">
        <x:v>31</x:v>
      </x:c>
      <x:c r="M51" s="73" t="n">
        <x:v>16</x:v>
      </x:c>
      <x:c r="N51" s="73" t="s">
        <x:v>3260</x:v>
      </x:c>
    </x:row>
    <x:row r="52" ht="15" hidden="0">
      <x:c r="A52" s="73" t="s">
        <x:v>3537</x:v>
      </x:c>
      <x:c r="B52" s="73" t="s">
        <x:v>3260</x:v>
      </x:c>
      <x:c r="C52" s="73" t="s">
        <x:v>240</x:v>
      </x:c>
      <x:c r="D52" s="73" t="s">
        <x:v>3538</x:v>
      </x:c>
      <x:c r="E52" s="73" t="s">
        <x:v>3394</x:v>
      </x:c>
      <x:c r="F52" s="73" t="s">
        <x:v>3539</x:v>
      </x:c>
      <x:c r="G52" s="73" t="n">
        <x:v>22</x:v>
      </x:c>
      <x:c r="H52" s="73" t="n">
        <x:v>45</x:v>
      </x:c>
      <x:c r="I52" s="73" t="s">
        <x:v>3396</x:v>
      </x:c>
      <x:c r="J52" s="73" t="n">
        <x:v>2023</x:v>
      </x:c>
      <x:c r="K52" s="73" t="n">
        <x:v>2</x:v>
      </x:c>
      <x:c r="L52" s="73" t="n">
        <x:v>1</x:v>
      </x:c>
      <x:c r="M52" s="73" t="n">
        <x:v>8</x:v>
      </x:c>
      <x:c r="N52" s="73" t="s">
        <x:v>3260</x:v>
      </x:c>
    </x:row>
    <x:row r="53" ht="15" hidden="0">
      <x:c r="A53" s="73" t="s">
        <x:v>3540</x:v>
      </x:c>
      <x:c r="B53" s="73" t="s">
        <x:v>3260</x:v>
      </x:c>
      <x:c r="C53" s="73" t="s">
        <x:v>245</x:v>
      </x:c>
      <x:c r="D53" s="73" t="s">
        <x:v>3541</x:v>
      </x:c>
      <x:c r="E53" s="73" t="s">
        <x:v>3390</x:v>
      </x:c>
      <x:c r="F53" s="73" t="s">
        <x:v>3542</x:v>
      </x:c>
      <x:c r="G53" s="73" t="n">
        <x:v>18</x:v>
      </x:c>
      <x:c r="H53" s="73" t="n">
        <x:v>35</x:v>
      </x:c>
      <x:c r="I53" s="73" t="s">
        <x:v>72</x:v>
      </x:c>
      <x:c r="J53" s="73" t="n">
        <x:v>2023</x:v>
      </x:c>
      <x:c r="K53" s="73" t="n">
        <x:v>2</x:v>
      </x:c>
      <x:c r="L53" s="73" t="n">
        <x:v>1</x:v>
      </x:c>
      <x:c r="M53" s="73" t="n">
        <x:v>13</x:v>
      </x:c>
      <x:c r="N53" s="73" t="s">
        <x:v>3260</x:v>
      </x:c>
    </x:row>
    <x:row r="54" ht="15" hidden="0">
      <x:c r="A54" s="73" t="s">
        <x:v>3543</x:v>
      </x:c>
      <x:c r="B54" s="73" t="s">
        <x:v>3218</x:v>
      </x:c>
      <x:c r="C54" s="73" t="s">
        <x:v>251</x:v>
      </x:c>
      <x:c r="D54" s="73" t="s">
        <x:v>3544</x:v>
      </x:c>
      <x:c r="E54" s="73" t="s">
        <x:v>3382</x:v>
      </x:c>
      <x:c r="F54" s="73" t="s">
        <x:v>3545</x:v>
      </x:c>
      <x:c r="G54" s="73" t="n">
        <x:v>20</x:v>
      </x:c>
      <x:c r="H54" s="73" t="n">
        <x:v>40</x:v>
      </x:c>
      <x:c r="I54" s="73" t="s">
        <x:v>3387</x:v>
      </x:c>
      <x:c r="J54" s="73" t="n">
        <x:v>2023</x:v>
      </x:c>
      <x:c r="K54" s="73" t="n">
        <x:v>2</x:v>
      </x:c>
      <x:c r="L54" s="73" t="n">
        <x:v>11</x:v>
      </x:c>
      <x:c r="M54" s="73" t="n">
        <x:v>9</x:v>
      </x:c>
      <x:c r="N54" s="73" t="s">
        <x:v>3189</x:v>
      </x:c>
    </x:row>
    <x:row r="55" ht="15" hidden="0">
      <x:c r="A55" s="73" t="s">
        <x:v>3546</x:v>
      </x:c>
      <x:c r="B55" s="73" t="s">
        <x:v>3224</x:v>
      </x:c>
      <x:c r="C55" s="73" t="s">
        <x:v>257</x:v>
      </x:c>
      <x:c r="D55" s="73" t="s">
        <x:v>3547</x:v>
      </x:c>
      <x:c r="E55" s="73" t="s">
        <x:v>3390</x:v>
      </x:c>
      <x:c r="F55" s="73" t="s">
        <x:v>3548</x:v>
      </x:c>
      <x:c r="G55" s="73" t="n">
        <x:v>15</x:v>
      </x:c>
      <x:c r="H55" s="73" t="n">
        <x:v>30</x:v>
      </x:c>
      <x:c r="I55" s="73" t="s">
        <x:v>72</x:v>
      </x:c>
      <x:c r="J55" s="73" t="n">
        <x:v>2023</x:v>
      </x:c>
      <x:c r="K55" s="73" t="n">
        <x:v>2</x:v>
      </x:c>
      <x:c r="L55" s="73" t="n">
        <x:v>11</x:v>
      </x:c>
      <x:c r="M55" s="73" t="n">
        <x:v>21</x:v>
      </x:c>
      <x:c r="N55" s="73" t="s">
        <x:v>3189</x:v>
      </x:c>
    </x:row>
    <x:row r="56" ht="15" hidden="0">
      <x:c r="A56" s="73" t="s">
        <x:v>3549</x:v>
      </x:c>
      <x:c r="B56" s="73" t="s">
        <x:v>3229</x:v>
      </x:c>
      <x:c r="C56" s="73" t="s">
        <x:v>263</x:v>
      </x:c>
      <x:c r="D56" s="73" t="s">
        <x:v>3550</x:v>
      </x:c>
      <x:c r="E56" s="73" t="s">
        <x:v>3394</x:v>
      </x:c>
      <x:c r="F56" s="73" t="s">
        <x:v>3551</x:v>
      </x:c>
      <x:c r="G56" s="73" t="n">
        <x:v>25</x:v>
      </x:c>
      <x:c r="H56" s="73" t="n">
        <x:v>50</x:v>
      </x:c>
      <x:c r="I56" s="73" t="s">
        <x:v>3404</x:v>
      </x:c>
      <x:c r="J56" s="73" t="n">
        <x:v>2023</x:v>
      </x:c>
      <x:c r="K56" s="73" t="n">
        <x:v>2</x:v>
      </x:c>
      <x:c r="L56" s="73" t="n">
        <x:v>12</x:v>
      </x:c>
      <x:c r="M56" s="73" t="n">
        <x:v>14</x:v>
      </x:c>
      <x:c r="N56" s="73" t="s">
        <x:v>3189</x:v>
      </x:c>
    </x:row>
    <x:row r="57" ht="15" hidden="0">
      <x:c r="A57" s="73" t="s">
        <x:v>3552</x:v>
      </x:c>
      <x:c r="B57" s="73" t="s">
        <x:v>3203</x:v>
      </x:c>
      <x:c r="C57" s="73" t="s">
        <x:v>269</x:v>
      </x:c>
      <x:c r="D57" s="73" t="s">
        <x:v>3553</x:v>
      </x:c>
      <x:c r="E57" s="73" t="s">
        <x:v>3382</x:v>
      </x:c>
      <x:c r="F57" s="73" t="s">
        <x:v>3554</x:v>
      </x:c>
      <x:c r="G57" s="73" t="n">
        <x:v>18</x:v>
      </x:c>
      <x:c r="H57" s="73" t="n">
        <x:v>35</x:v>
      </x:c>
      <x:c r="I57" s="73" t="s">
        <x:v>3396</x:v>
      </x:c>
      <x:c r="J57" s="73" t="n">
        <x:v>2023</x:v>
      </x:c>
      <x:c r="K57" s="73" t="n">
        <x:v>2</x:v>
      </x:c>
      <x:c r="L57" s="73" t="n">
        <x:v>12</x:v>
      </x:c>
      <x:c r="M57" s="73" t="n">
        <x:v>18</x:v>
      </x:c>
      <x:c r="N57" s="73" t="s">
        <x:v>3189</x:v>
      </x:c>
    </x:row>
    <x:row r="58" ht="15" hidden="0">
      <x:c r="A58" s="73" t="s">
        <x:v>3555</x:v>
      </x:c>
      <x:c r="B58" s="73" t="s">
        <x:v>3279</x:v>
      </x:c>
      <x:c r="C58" s="73" t="s">
        <x:v>274</x:v>
      </x:c>
      <x:c r="D58" s="73" t="s">
        <x:v>3556</x:v>
      </x:c>
      <x:c r="E58" s="73" t="s">
        <x:v>3390</x:v>
      </x:c>
      <x:c r="F58" s="73" t="s">
        <x:v>3557</x:v>
      </x:c>
      <x:c r="G58" s="73" t="n">
        <x:v>30</x:v>
      </x:c>
      <x:c r="H58" s="73" t="n">
        <x:v>60</x:v>
      </x:c>
      <x:c r="I58" s="73" t="s">
        <x:v>72</x:v>
      </x:c>
      <x:c r="J58" s="73" t="n">
        <x:v>2023</x:v>
      </x:c>
      <x:c r="K58" s="73" t="n">
        <x:v>2</x:v>
      </x:c>
      <x:c r="L58" s="73" t="n">
        <x:v>13</x:v>
      </x:c>
      <x:c r="M58" s="73" t="n">
        <x:v>10</x:v>
      </x:c>
      <x:c r="N58" s="73" t="s">
        <x:v>3260</x:v>
      </x:c>
    </x:row>
    <x:row r="59" ht="15" hidden="0">
      <x:c r="A59" s="73" t="s">
        <x:v>3558</x:v>
      </x:c>
      <x:c r="B59" s="73" t="s">
        <x:v>3261</x:v>
      </x:c>
      <x:c r="C59" s="73" t="s">
        <x:v>279</x:v>
      </x:c>
      <x:c r="D59" s="73" t="s">
        <x:v>3559</x:v>
      </x:c>
      <x:c r="E59" s="73" t="s">
        <x:v>3394</x:v>
      </x:c>
      <x:c r="F59" s="73" t="s">
        <x:v>3560</x:v>
      </x:c>
      <x:c r="G59" s="73" t="n">
        <x:v>22</x:v>
      </x:c>
      <x:c r="H59" s="73" t="n">
        <x:v>45</x:v>
      </x:c>
      <x:c r="I59" s="73" t="s">
        <x:v>3387</x:v>
      </x:c>
      <x:c r="J59" s="73" t="n">
        <x:v>2023</x:v>
      </x:c>
      <x:c r="K59" s="73" t="n">
        <x:v>2</x:v>
      </x:c>
      <x:c r="L59" s="73" t="n">
        <x:v>13</x:v>
      </x:c>
      <x:c r="M59" s="73" t="n">
        <x:v>19</x:v>
      </x:c>
      <x:c r="N59" s="73" t="s">
        <x:v>3260</x:v>
      </x:c>
    </x:row>
    <x:row r="60" ht="15" hidden="0">
      <x:c r="A60" s="73" t="s">
        <x:v>3561</x:v>
      </x:c>
      <x:c r="B60" s="73" t="s">
        <x:v>3304</x:v>
      </x:c>
      <x:c r="C60" s="73" t="s">
        <x:v>284</x:v>
      </x:c>
      <x:c r="D60" s="73" t="s">
        <x:v>3562</x:v>
      </x:c>
      <x:c r="E60" s="73" t="s">
        <x:v>3382</x:v>
      </x:c>
      <x:c r="F60" s="73" t="s">
        <x:v>3563</x:v>
      </x:c>
      <x:c r="G60" s="73" t="n">
        <x:v>15</x:v>
      </x:c>
      <x:c r="H60" s="73" t="n">
        <x:v>30</x:v>
      </x:c>
      <x:c r="I60" s="73" t="s">
        <x:v>3400</x:v>
      </x:c>
      <x:c r="J60" s="73" t="n">
        <x:v>2023</x:v>
      </x:c>
      <x:c r="K60" s="73" t="n">
        <x:v>2</x:v>
      </x:c>
      <x:c r="L60" s="73" t="n">
        <x:v>14</x:v>
      </x:c>
      <x:c r="M60" s="73" t="n">
        <x:v>8</x:v>
      </x:c>
      <x:c r="N60" s="73" t="s">
        <x:v>3260</x:v>
      </x:c>
    </x:row>
    <x:row r="61" ht="15" hidden="0">
      <x:c r="A61" s="73" t="s">
        <x:v>3564</x:v>
      </x:c>
      <x:c r="B61" s="73" t="s">
        <x:v>3296</x:v>
      </x:c>
      <x:c r="C61" s="73" t="s">
        <x:v>290</x:v>
      </x:c>
      <x:c r="D61" s="73" t="s">
        <x:v>3565</x:v>
      </x:c>
      <x:c r="E61" s="73" t="s">
        <x:v>3390</x:v>
      </x:c>
      <x:c r="F61" s="73" t="s">
        <x:v>3566</x:v>
      </x:c>
      <x:c r="G61" s="73" t="n">
        <x:v>18</x:v>
      </x:c>
      <x:c r="H61" s="73" t="n">
        <x:v>35</x:v>
      </x:c>
      <x:c r="I61" s="73" t="s">
        <x:v>3396</x:v>
      </x:c>
      <x:c r="J61" s="73" t="n">
        <x:v>2023</x:v>
      </x:c>
      <x:c r="K61" s="73" t="n">
        <x:v>2</x:v>
      </x:c>
      <x:c r="L61" s="73" t="n">
        <x:v>14</x:v>
      </x:c>
      <x:c r="M61" s="73" t="n">
        <x:v>14</x:v>
      </x:c>
      <x:c r="N61" s="73" t="s">
        <x:v>3260</x:v>
      </x:c>
    </x:row>
    <x:row r="62" ht="15" hidden="0">
      <x:c r="A62" s="73" t="s">
        <x:v>3567</x:v>
      </x:c>
      <x:c r="B62" s="73" t="s">
        <x:v>3311</x:v>
      </x:c>
      <x:c r="C62" s="73" t="s">
        <x:v>296</x:v>
      </x:c>
      <x:c r="D62" s="73" t="s">
        <x:v>3568</x:v>
      </x:c>
      <x:c r="E62" s="73" t="s">
        <x:v>3394</x:v>
      </x:c>
      <x:c r="F62" s="73" t="s">
        <x:v>3569</x:v>
      </x:c>
      <x:c r="G62" s="73" t="n">
        <x:v>25</x:v>
      </x:c>
      <x:c r="H62" s="73" t="n">
        <x:v>50</x:v>
      </x:c>
      <x:c r="I62" s="73" t="s">
        <x:v>3387</x:v>
      </x:c>
      <x:c r="J62" s="73" t="n">
        <x:v>2023</x:v>
      </x:c>
      <x:c r="K62" s="73" t="n">
        <x:v>2</x:v>
      </x:c>
      <x:c r="L62" s="73" t="n">
        <x:v>14</x:v>
      </x:c>
      <x:c r="M62" s="73" t="n">
        <x:v>19</x:v>
      </x:c>
      <x:c r="N62" s="73" t="s">
        <x:v>3260</x:v>
      </x:c>
    </x:row>
    <x:row r="63" ht="15" hidden="0">
      <x:c r="A63" s="73" t="s">
        <x:v>3570</x:v>
      </x:c>
      <x:c r="B63" s="73" t="s">
        <x:v>3282</x:v>
      </x:c>
      <x:c r="C63" s="73" t="s">
        <x:v>302</x:v>
      </x:c>
      <x:c r="D63" s="73" t="s">
        <x:v>3571</x:v>
      </x:c>
      <x:c r="E63" s="73" t="s">
        <x:v>3382</x:v>
      </x:c>
      <x:c r="F63" s="73" t="s">
        <x:v>3572</x:v>
      </x:c>
      <x:c r="G63" s="73" t="n">
        <x:v>20</x:v>
      </x:c>
      <x:c r="H63" s="73" t="n">
        <x:v>40</x:v>
      </x:c>
      <x:c r="I63" s="73" t="s">
        <x:v>72</x:v>
      </x:c>
      <x:c r="J63" s="73" t="n">
        <x:v>2023</x:v>
      </x:c>
      <x:c r="K63" s="73" t="n">
        <x:v>2</x:v>
      </x:c>
      <x:c r="L63" s="73" t="n">
        <x:v>15</x:v>
      </x:c>
      <x:c r="M63" s="73" t="n">
        <x:v>11</x:v>
      </x:c>
      <x:c r="N63" s="73" t="s">
        <x:v>3260</x:v>
      </x:c>
    </x:row>
    <x:row r="64" ht="15" hidden="0">
      <x:c r="A64" s="73" t="s">
        <x:v>3573</x:v>
      </x:c>
      <x:c r="B64" s="73" t="s">
        <x:v>3308</x:v>
      </x:c>
      <x:c r="C64" s="73" t="s">
        <x:v>307</x:v>
      </x:c>
      <x:c r="D64" s="73" t="s">
        <x:v>3574</x:v>
      </x:c>
      <x:c r="E64" s="73" t="s">
        <x:v>3390</x:v>
      </x:c>
      <x:c r="F64" s="73" t="s">
        <x:v>3575</x:v>
      </x:c>
      <x:c r="G64" s="73" t="n">
        <x:v>15</x:v>
      </x:c>
      <x:c r="H64" s="73" t="n">
        <x:v>30</x:v>
      </x:c>
      <x:c r="I64" s="73" t="s">
        <x:v>72</x:v>
      </x:c>
      <x:c r="J64" s="73" t="n">
        <x:v>2023</x:v>
      </x:c>
      <x:c r="K64" s="73" t="n">
        <x:v>2</x:v>
      </x:c>
      <x:c r="L64" s="73" t="n">
        <x:v>15</x:v>
      </x:c>
      <x:c r="M64" s="73" t="n">
        <x:v>16</x:v>
      </x:c>
      <x:c r="N64" s="73" t="s">
        <x:v>3260</x:v>
      </x:c>
    </x:row>
    <x:row r="65" ht="15" hidden="0">
      <x:c r="A65" s="73" t="s">
        <x:v>3576</x:v>
      </x:c>
      <x:c r="B65" s="73" t="s">
        <x:v>3268</x:v>
      </x:c>
      <x:c r="C65" s="73" t="s">
        <x:v>312</x:v>
      </x:c>
      <x:c r="D65" s="73" t="s">
        <x:v>3577</x:v>
      </x:c>
      <x:c r="E65" s="73" t="s">
        <x:v>3394</x:v>
      </x:c>
      <x:c r="F65" s="73" t="s">
        <x:v>3578</x:v>
      </x:c>
      <x:c r="G65" s="73" t="n">
        <x:v>22</x:v>
      </x:c>
      <x:c r="H65" s="73" t="n">
        <x:v>45</x:v>
      </x:c>
      <x:c r="I65" s="73" t="s">
        <x:v>3400</x:v>
      </x:c>
      <x:c r="J65" s="73" t="n">
        <x:v>2023</x:v>
      </x:c>
      <x:c r="K65" s="73" t="n">
        <x:v>2</x:v>
      </x:c>
      <x:c r="L65" s="73" t="n">
        <x:v>15</x:v>
      </x:c>
      <x:c r="M65" s="73" t="n">
        <x:v>20</x:v>
      </x:c>
      <x:c r="N65" s="73" t="s">
        <x:v>3260</x:v>
      </x:c>
    </x:row>
    <x:row r="66" ht="15" hidden="0">
      <x:c r="A66" s="73" t="s">
        <x:v>3579</x:v>
      </x:c>
      <x:c r="B66" s="73" t="s">
        <x:v>3221</x:v>
      </x:c>
      <x:c r="C66" s="73" t="s">
        <x:v>318</x:v>
      </x:c>
      <x:c r="D66" s="73" t="s">
        <x:v>3580</x:v>
      </x:c>
      <x:c r="E66" s="73" t="s">
        <x:v>3382</x:v>
      </x:c>
      <x:c r="F66" s="73" t="s">
        <x:v>3581</x:v>
      </x:c>
      <x:c r="G66" s="73" t="n">
        <x:v>18</x:v>
      </x:c>
      <x:c r="H66" s="73" t="n">
        <x:v>35</x:v>
      </x:c>
      <x:c r="I66" s="73" t="s">
        <x:v>3404</x:v>
      </x:c>
      <x:c r="J66" s="73" t="n">
        <x:v>2023</x:v>
      </x:c>
      <x:c r="K66" s="73" t="n">
        <x:v>2</x:v>
      </x:c>
      <x:c r="L66" s="73" t="n">
        <x:v>16</x:v>
      </x:c>
      <x:c r="M66" s="73" t="n">
        <x:v>9</x:v>
      </x:c>
      <x:c r="N66" s="73" t="s">
        <x:v>3189</x:v>
      </x:c>
    </x:row>
    <x:row r="67" ht="15" hidden="0">
      <x:c r="A67" s="73" t="s">
        <x:v>3582</x:v>
      </x:c>
      <x:c r="B67" s="73" t="s">
        <x:v>3248</x:v>
      </x:c>
      <x:c r="C67" s="73" t="s">
        <x:v>323</x:v>
      </x:c>
      <x:c r="D67" s="73" t="s">
        <x:v>3583</x:v>
      </x:c>
      <x:c r="E67" s="73" t="s">
        <x:v>3390</x:v>
      </x:c>
      <x:c r="F67" s="73" t="s">
        <x:v>3584</x:v>
      </x:c>
      <x:c r="G67" s="73" t="n">
        <x:v>25</x:v>
      </x:c>
      <x:c r="H67" s="73" t="n">
        <x:v>50</x:v>
      </x:c>
      <x:c r="I67" s="73" t="s">
        <x:v>72</x:v>
      </x:c>
      <x:c r="J67" s="73" t="n">
        <x:v>2023</x:v>
      </x:c>
      <x:c r="K67" s="73" t="n">
        <x:v>2</x:v>
      </x:c>
      <x:c r="L67" s="73" t="n">
        <x:v>16</x:v>
      </x:c>
      <x:c r="M67" s="73" t="n">
        <x:v>14</x:v>
      </x:c>
      <x:c r="N67" s="73" t="s">
        <x:v>3244</x:v>
      </x:c>
    </x:row>
    <x:row r="68" ht="15" hidden="0">
      <x:c r="A68" s="73" t="s">
        <x:v>3585</x:v>
      </x:c>
      <x:c r="B68" s="73" t="s">
        <x:v>3270</x:v>
      </x:c>
      <x:c r="C68" s="73" t="s">
        <x:v>328</x:v>
      </x:c>
      <x:c r="D68" s="73" t="s">
        <x:v>3586</x:v>
      </x:c>
      <x:c r="E68" s="73" t="s">
        <x:v>3394</x:v>
      </x:c>
      <x:c r="F68" s="73" t="s">
        <x:v>3587</x:v>
      </x:c>
      <x:c r="G68" s="73" t="n">
        <x:v>15</x:v>
      </x:c>
      <x:c r="H68" s="73" t="n">
        <x:v>30</x:v>
      </x:c>
      <x:c r="I68" s="73" t="s">
        <x:v>3387</x:v>
      </x:c>
      <x:c r="J68" s="73" t="n">
        <x:v>2023</x:v>
      </x:c>
      <x:c r="K68" s="73" t="n">
        <x:v>2</x:v>
      </x:c>
      <x:c r="L68" s="73" t="n">
        <x:v>16</x:v>
      </x:c>
      <x:c r="M68" s="73" t="n">
        <x:v>18</x:v>
      </x:c>
      <x:c r="N68" s="73" t="s">
        <x:v>3260</x:v>
      </x:c>
    </x:row>
    <x:row r="69" ht="15" hidden="0">
      <x:c r="A69" s="73" t="s">
        <x:v>3588</x:v>
      </x:c>
      <x:c r="B69" s="73" t="s">
        <x:v>3307</x:v>
      </x:c>
      <x:c r="C69" s="73" t="s">
        <x:v>333</x:v>
      </x:c>
      <x:c r="D69" s="73" t="s">
        <x:v>3589</x:v>
      </x:c>
      <x:c r="E69" s="73" t="s">
        <x:v>3382</x:v>
      </x:c>
      <x:c r="F69" s="73" t="s">
        <x:v>3590</x:v>
      </x:c>
      <x:c r="G69" s="73" t="n">
        <x:v>22</x:v>
      </x:c>
      <x:c r="H69" s="73" t="n">
        <x:v>45</x:v>
      </x:c>
      <x:c r="I69" s="73" t="s">
        <x:v>3396</x:v>
      </x:c>
      <x:c r="J69" s="73" t="n">
        <x:v>2023</x:v>
      </x:c>
      <x:c r="K69" s="73" t="n">
        <x:v>2</x:v>
      </x:c>
      <x:c r="L69" s="73" t="n">
        <x:v>17</x:v>
      </x:c>
      <x:c r="M69" s="73" t="n">
        <x:v>10</x:v>
      </x:c>
      <x:c r="N69" s="73" t="s">
        <x:v>3260</x:v>
      </x:c>
    </x:row>
    <x:row r="70" ht="15" hidden="0">
      <x:c r="A70" s="73" t="s">
        <x:v>3591</x:v>
      </x:c>
      <x:c r="B70" s="73" t="s">
        <x:v>3297</x:v>
      </x:c>
      <x:c r="C70" s="73" t="s">
        <x:v>338</x:v>
      </x:c>
      <x:c r="D70" s="73" t="s">
        <x:v>3592</x:v>
      </x:c>
      <x:c r="E70" s="73" t="s">
        <x:v>3390</x:v>
      </x:c>
      <x:c r="F70" s="73" t="s">
        <x:v>3593</x:v>
      </x:c>
      <x:c r="G70" s="73" t="n">
        <x:v>20</x:v>
      </x:c>
      <x:c r="H70" s="73" t="n">
        <x:v>40</x:v>
      </x:c>
      <x:c r="I70" s="73" t="s">
        <x:v>72</x:v>
      </x:c>
      <x:c r="J70" s="73" t="n">
        <x:v>2023</x:v>
      </x:c>
      <x:c r="K70" s="73" t="n">
        <x:v>2</x:v>
      </x:c>
      <x:c r="L70" s="73" t="n">
        <x:v>17</x:v>
      </x:c>
      <x:c r="M70" s="73" t="n">
        <x:v>7</x:v>
      </x:c>
      <x:c r="N70" s="73" t="s">
        <x:v>3260</x:v>
      </x:c>
    </x:row>
    <x:row r="71" ht="15" hidden="0">
      <x:c r="A71" s="73" t="s">
        <x:v>3594</x:v>
      </x:c>
      <x:c r="B71" s="73" t="s">
        <x:v>3208</x:v>
      </x:c>
      <x:c r="C71" s="73" t="s">
        <x:v>343</x:v>
      </x:c>
      <x:c r="D71" s="73" t="s">
        <x:v>3595</x:v>
      </x:c>
      <x:c r="E71" s="73" t="s">
        <x:v>3394</x:v>
      </x:c>
      <x:c r="F71" s="73" t="s">
        <x:v>3596</x:v>
      </x:c>
      <x:c r="G71" s="73" t="n">
        <x:v>18</x:v>
      </x:c>
      <x:c r="H71" s="73" t="n">
        <x:v>35</x:v>
      </x:c>
      <x:c r="I71" s="73" t="s">
        <x:v>72</x:v>
      </x:c>
      <x:c r="J71" s="73" t="n">
        <x:v>2023</x:v>
      </x:c>
      <x:c r="K71" s="73" t="n">
        <x:v>2</x:v>
      </x:c>
      <x:c r="L71" s="73" t="n">
        <x:v>17</x:v>
      </x:c>
      <x:c r="M71" s="73" t="n">
        <x:v>15</x:v>
      </x:c>
      <x:c r="N71" s="73" t="s">
        <x:v>3189</x:v>
      </x:c>
    </x:row>
    <x:row r="72" ht="15" hidden="0">
      <x:c r="A72" s="73" t="s">
        <x:v>3597</x:v>
      </x:c>
      <x:c r="B72" s="73" t="s">
        <x:v>3284</x:v>
      </x:c>
      <x:c r="C72" s="73" t="s">
        <x:v>348</x:v>
      </x:c>
      <x:c r="D72" s="73" t="s">
        <x:v>3598</x:v>
      </x:c>
      <x:c r="E72" s="73" t="s">
        <x:v>3382</x:v>
      </x:c>
      <x:c r="F72" s="73" t="s">
        <x:v>3599</x:v>
      </x:c>
      <x:c r="G72" s="73" t="n">
        <x:v>15</x:v>
      </x:c>
      <x:c r="H72" s="73" t="n">
        <x:v>30</x:v>
      </x:c>
      <x:c r="I72" s="73" t="s">
        <x:v>3404</x:v>
      </x:c>
      <x:c r="J72" s="73" t="n">
        <x:v>2023</x:v>
      </x:c>
      <x:c r="K72" s="73" t="n">
        <x:v>2</x:v>
      </x:c>
      <x:c r="L72" s="73" t="n">
        <x:v>18</x:v>
      </x:c>
      <x:c r="M72" s="73" t="n">
        <x:v>9</x:v>
      </x:c>
      <x:c r="N72" s="73" t="s">
        <x:v>3260</x:v>
      </x:c>
    </x:row>
    <x:row r="73" ht="15" hidden="0">
      <x:c r="A73" s="73" t="s">
        <x:v>3600</x:v>
      </x:c>
      <x:c r="B73" s="73" t="s">
        <x:v>3193</x:v>
      </x:c>
      <x:c r="C73" s="73" t="s">
        <x:v>353</x:v>
      </x:c>
      <x:c r="D73" s="73" t="s">
        <x:v>3601</x:v>
      </x:c>
      <x:c r="E73" s="73" t="s">
        <x:v>3390</x:v>
      </x:c>
      <x:c r="F73" s="73" t="s">
        <x:v>3602</x:v>
      </x:c>
      <x:c r="G73" s="73" t="n">
        <x:v>25</x:v>
      </x:c>
      <x:c r="H73" s="73" t="n">
        <x:v>50</x:v>
      </x:c>
      <x:c r="I73" s="73" t="s">
        <x:v>3396</x:v>
      </x:c>
      <x:c r="J73" s="73" t="n">
        <x:v>2023</x:v>
      </x:c>
      <x:c r="K73" s="73" t="n">
        <x:v>2</x:v>
      </x:c>
      <x:c r="L73" s="73" t="n">
        <x:v>18</x:v>
      </x:c>
      <x:c r="M73" s="73" t="n">
        <x:v>14</x:v>
      </x:c>
      <x:c r="N73" s="73" t="s">
        <x:v>3189</x:v>
      </x:c>
    </x:row>
    <x:row r="74" ht="15" hidden="0">
      <x:c r="A74" s="73" t="s">
        <x:v>3603</x:v>
      </x:c>
      <x:c r="B74" s="73" t="s">
        <x:v>3262</x:v>
      </x:c>
      <x:c r="C74" s="73" t="s">
        <x:v>358</x:v>
      </x:c>
      <x:c r="D74" s="73" t="s">
        <x:v>3604</x:v>
      </x:c>
      <x:c r="E74" s="73" t="s">
        <x:v>3394</x:v>
      </x:c>
      <x:c r="F74" s="73" t="s">
        <x:v>3605</x:v>
      </x:c>
      <x:c r="G74" s="73" t="n">
        <x:v>22</x:v>
      </x:c>
      <x:c r="H74" s="73" t="n">
        <x:v>45</x:v>
      </x:c>
      <x:c r="I74" s="73" t="s">
        <x:v>3387</x:v>
      </x:c>
      <x:c r="J74" s="73" t="n">
        <x:v>2023</x:v>
      </x:c>
      <x:c r="K74" s="73" t="n">
        <x:v>2</x:v>
      </x:c>
      <x:c r="L74" s="73" t="n">
        <x:v>18</x:v>
      </x:c>
      <x:c r="M74" s="73" t="n">
        <x:v>18</x:v>
      </x:c>
      <x:c r="N74" s="73" t="s">
        <x:v>3260</x:v>
      </x:c>
    </x:row>
    <x:row r="75" ht="15" hidden="0">
      <x:c r="A75" s="73" t="s">
        <x:v>3606</x:v>
      </x:c>
      <x:c r="B75" s="73" t="s">
        <x:v>3303</x:v>
      </x:c>
      <x:c r="C75" s="73" t="s">
        <x:v>363</x:v>
      </x:c>
      <x:c r="D75" s="73" t="s">
        <x:v>3607</x:v>
      </x:c>
      <x:c r="E75" s="73" t="s">
        <x:v>3382</x:v>
      </x:c>
      <x:c r="F75" s="73" t="s">
        <x:v>3608</x:v>
      </x:c>
      <x:c r="G75" s="73" t="n">
        <x:v>20</x:v>
      </x:c>
      <x:c r="H75" s="73" t="n">
        <x:v>40</x:v>
      </x:c>
      <x:c r="I75" s="73" t="s">
        <x:v>72</x:v>
      </x:c>
      <x:c r="J75" s="73" t="n">
        <x:v>2023</x:v>
      </x:c>
      <x:c r="K75" s="73" t="n">
        <x:v>2</x:v>
      </x:c>
      <x:c r="L75" s="73" t="n">
        <x:v>19</x:v>
      </x:c>
      <x:c r="M75" s="73" t="n">
        <x:v>11</x:v>
      </x:c>
      <x:c r="N75" s="73" t="s">
        <x:v>3260</x:v>
      </x:c>
    </x:row>
    <x:row r="76" ht="15" hidden="0">
      <x:c r="A76" s="73" t="s">
        <x:v>3609</x:v>
      </x:c>
      <x:c r="B76" s="73" t="s">
        <x:v>3275</x:v>
      </x:c>
      <x:c r="C76" s="73" t="s">
        <x:v>368</x:v>
      </x:c>
      <x:c r="D76" s="73" t="s">
        <x:v>3610</x:v>
      </x:c>
      <x:c r="E76" s="73" t="s">
        <x:v>3390</x:v>
      </x:c>
      <x:c r="F76" s="73" t="s">
        <x:v>3611</x:v>
      </x:c>
      <x:c r="G76" s="73" t="n">
        <x:v>30</x:v>
      </x:c>
      <x:c r="H76" s="73" t="n">
        <x:v>60</x:v>
      </x:c>
      <x:c r="I76" s="73" t="s">
        <x:v>3400</x:v>
      </x:c>
      <x:c r="J76" s="73" t="n">
        <x:v>2023</x:v>
      </x:c>
      <x:c r="K76" s="73" t="n">
        <x:v>2</x:v>
      </x:c>
      <x:c r="L76" s="73" t="n">
        <x:v>19</x:v>
      </x:c>
      <x:c r="M76" s="73" t="n">
        <x:v>16</x:v>
      </x:c>
      <x:c r="N76" s="73" t="s">
        <x:v>3260</x:v>
      </x:c>
    </x:row>
    <x:row r="77" ht="15" hidden="0">
      <x:c r="A77" s="73" t="s">
        <x:v>3612</x:v>
      </x:c>
      <x:c r="B77" s="73" t="s">
        <x:v>3217</x:v>
      </x:c>
      <x:c r="C77" s="73" t="s">
        <x:v>374</x:v>
      </x:c>
      <x:c r="D77" s="73" t="s">
        <x:v>3613</x:v>
      </x:c>
      <x:c r="E77" s="73" t="s">
        <x:v>3394</x:v>
      </x:c>
      <x:c r="F77" s="73" t="s">
        <x:v>3614</x:v>
      </x:c>
      <x:c r="G77" s="73" t="n">
        <x:v>15</x:v>
      </x:c>
      <x:c r="H77" s="73" t="n">
        <x:v>30</x:v>
      </x:c>
      <x:c r="I77" s="73" t="s">
        <x:v>3404</x:v>
      </x:c>
      <x:c r="J77" s="73" t="n">
        <x:v>2023</x:v>
      </x:c>
      <x:c r="K77" s="73" t="n">
        <x:v>2</x:v>
      </x:c>
      <x:c r="L77" s="73" t="n">
        <x:v>19</x:v>
      </x:c>
      <x:c r="M77" s="73" t="n">
        <x:v>19</x:v>
      </x:c>
      <x:c r="N77" s="73" t="s">
        <x:v>3189</x:v>
      </x:c>
    </x:row>
    <x:row r="78" ht="15" hidden="0">
      <x:c r="A78" s="73" t="s">
        <x:v>3615</x:v>
      </x:c>
      <x:c r="B78" s="73" t="s">
        <x:v>3218</x:v>
      </x:c>
      <x:c r="C78" s="73" t="s">
        <x:v>378</x:v>
      </x:c>
      <x:c r="D78" s="73" t="s">
        <x:v>3616</x:v>
      </x:c>
      <x:c r="E78" s="73" t="s">
        <x:v>3382</x:v>
      </x:c>
      <x:c r="F78" s="73" t="s">
        <x:v>3617</x:v>
      </x:c>
      <x:c r="G78" s="73" t="n">
        <x:v>20</x:v>
      </x:c>
      <x:c r="H78" s="73" t="n">
        <x:v>40</x:v>
      </x:c>
      <x:c r="I78" s="73" t="s">
        <x:v>3387</x:v>
      </x:c>
      <x:c r="J78" s="73" t="n">
        <x:v>2023</x:v>
      </x:c>
      <x:c r="K78" s="73" t="n">
        <x:v>2</x:v>
      </x:c>
      <x:c r="L78" s="73" t="n">
        <x:v>20</x:v>
      </x:c>
      <x:c r="M78" s="73" t="n">
        <x:v>9</x:v>
      </x:c>
      <x:c r="N78" s="73" t="s">
        <x:v>3189</x:v>
      </x:c>
    </x:row>
    <x:row r="79" ht="15" hidden="0">
      <x:c r="A79" s="73" t="s">
        <x:v>3618</x:v>
      </x:c>
      <x:c r="B79" s="73" t="s">
        <x:v>3224</x:v>
      </x:c>
      <x:c r="C79" s="73" t="s">
        <x:v>382</x:v>
      </x:c>
      <x:c r="D79" s="73" t="s">
        <x:v>3619</x:v>
      </x:c>
      <x:c r="E79" s="73" t="s">
        <x:v>3390</x:v>
      </x:c>
      <x:c r="F79" s="73" t="s">
        <x:v>3620</x:v>
      </x:c>
      <x:c r="G79" s="73" t="n">
        <x:v>15</x:v>
      </x:c>
      <x:c r="H79" s="73" t="n">
        <x:v>30</x:v>
      </x:c>
      <x:c r="I79" s="73" t="s">
        <x:v>72</x:v>
      </x:c>
      <x:c r="J79" s="73" t="n">
        <x:v>2023</x:v>
      </x:c>
      <x:c r="K79" s="73" t="n">
        <x:v>2</x:v>
      </x:c>
      <x:c r="L79" s="73" t="n">
        <x:v>20</x:v>
      </x:c>
      <x:c r="M79" s="73" t="n">
        <x:v>21</x:v>
      </x:c>
      <x:c r="N79" s="73" t="s">
        <x:v>3189</x:v>
      </x:c>
    </x:row>
    <x:row r="80" ht="15" hidden="0">
      <x:c r="A80" s="73" t="s">
        <x:v>3621</x:v>
      </x:c>
      <x:c r="B80" s="73" t="s">
        <x:v>3229</x:v>
      </x:c>
      <x:c r="C80" s="73" t="s">
        <x:v>386</x:v>
      </x:c>
      <x:c r="D80" s="73" t="s">
        <x:v>3622</x:v>
      </x:c>
      <x:c r="E80" s="73" t="s">
        <x:v>3394</x:v>
      </x:c>
      <x:c r="F80" s="73" t="s">
        <x:v>3623</x:v>
      </x:c>
      <x:c r="G80" s="73" t="n">
        <x:v>25</x:v>
      </x:c>
      <x:c r="H80" s="73" t="n">
        <x:v>50</x:v>
      </x:c>
      <x:c r="I80" s="73" t="s">
        <x:v>3404</x:v>
      </x:c>
      <x:c r="J80" s="73" t="n">
        <x:v>2023</x:v>
      </x:c>
      <x:c r="K80" s="73" t="n">
        <x:v>2</x:v>
      </x:c>
      <x:c r="L80" s="73" t="n">
        <x:v>21</x:v>
      </x:c>
      <x:c r="M80" s="73" t="n">
        <x:v>14</x:v>
      </x:c>
      <x:c r="N80" s="73" t="s">
        <x:v>3189</x:v>
      </x:c>
    </x:row>
    <x:row r="81" ht="15" hidden="0">
      <x:c r="A81" s="73" t="s">
        <x:v>3624</x:v>
      </x:c>
      <x:c r="B81" s="73" t="s">
        <x:v>3203</x:v>
      </x:c>
      <x:c r="C81" s="73" t="s">
        <x:v>390</x:v>
      </x:c>
      <x:c r="D81" s="73" t="s">
        <x:v>3625</x:v>
      </x:c>
      <x:c r="E81" s="73" t="s">
        <x:v>3382</x:v>
      </x:c>
      <x:c r="F81" s="73" t="s">
        <x:v>3626</x:v>
      </x:c>
      <x:c r="G81" s="73" t="n">
        <x:v>18</x:v>
      </x:c>
      <x:c r="H81" s="73" t="n">
        <x:v>35</x:v>
      </x:c>
      <x:c r="I81" s="73" t="s">
        <x:v>3396</x:v>
      </x:c>
      <x:c r="J81" s="73" t="n">
        <x:v>2023</x:v>
      </x:c>
      <x:c r="K81" s="73" t="n">
        <x:v>2</x:v>
      </x:c>
      <x:c r="L81" s="73" t="n">
        <x:v>21</x:v>
      </x:c>
      <x:c r="M81" s="73" t="n">
        <x:v>18</x:v>
      </x:c>
      <x:c r="N81" s="73" t="s">
        <x:v>3189</x:v>
      </x:c>
    </x:row>
    <x:row r="82" ht="15" hidden="0">
      <x:c r="A82" s="73" t="s">
        <x:v>3627</x:v>
      </x:c>
      <x:c r="B82" s="73" t="s">
        <x:v>3279</x:v>
      </x:c>
      <x:c r="C82" s="73" t="s">
        <x:v>394</x:v>
      </x:c>
      <x:c r="D82" s="73" t="s">
        <x:v>3628</x:v>
      </x:c>
      <x:c r="E82" s="73" t="s">
        <x:v>3390</x:v>
      </x:c>
      <x:c r="F82" s="73" t="s">
        <x:v>3629</x:v>
      </x:c>
      <x:c r="G82" s="73" t="n">
        <x:v>30</x:v>
      </x:c>
      <x:c r="H82" s="73" t="n">
        <x:v>60</x:v>
      </x:c>
      <x:c r="I82" s="73" t="s">
        <x:v>3396</x:v>
      </x:c>
      <x:c r="J82" s="73" t="n">
        <x:v>2023</x:v>
      </x:c>
      <x:c r="K82" s="73" t="n">
        <x:v>2</x:v>
      </x:c>
      <x:c r="L82" s="73" t="n">
        <x:v>22</x:v>
      </x:c>
      <x:c r="M82" s="73" t="n">
        <x:v>10</x:v>
      </x:c>
      <x:c r="N82" s="73" t="s">
        <x:v>3260</x:v>
      </x:c>
    </x:row>
    <x:row r="83" ht="15" hidden="0">
      <x:c r="A83" s="73" t="s">
        <x:v>3630</x:v>
      </x:c>
      <x:c r="B83" s="73" t="s">
        <x:v>3261</x:v>
      </x:c>
      <x:c r="C83" s="73" t="s">
        <x:v>398</x:v>
      </x:c>
      <x:c r="D83" s="73" t="s">
        <x:v>3631</x:v>
      </x:c>
      <x:c r="E83" s="73" t="s">
        <x:v>3394</x:v>
      </x:c>
      <x:c r="F83" s="73" t="s">
        <x:v>3632</x:v>
      </x:c>
      <x:c r="G83" s="73" t="n">
        <x:v>22</x:v>
      </x:c>
      <x:c r="H83" s="73" t="n">
        <x:v>45</x:v>
      </x:c>
      <x:c r="I83" s="73" t="s">
        <x:v>3387</x:v>
      </x:c>
      <x:c r="J83" s="73" t="n">
        <x:v>2023</x:v>
      </x:c>
      <x:c r="K83" s="73" t="n">
        <x:v>2</x:v>
      </x:c>
      <x:c r="L83" s="73" t="n">
        <x:v>22</x:v>
      </x:c>
      <x:c r="M83" s="73" t="n">
        <x:v>19</x:v>
      </x:c>
      <x:c r="N83" s="73" t="s">
        <x:v>3260</x:v>
      </x:c>
    </x:row>
    <x:row r="84" ht="15" hidden="0">
      <x:c r="A84" s="73" t="s">
        <x:v>3633</x:v>
      </x:c>
      <x:c r="B84" s="73" t="s">
        <x:v>3304</x:v>
      </x:c>
      <x:c r="C84" s="73" t="s">
        <x:v>402</x:v>
      </x:c>
      <x:c r="D84" s="73" t="s">
        <x:v>3634</x:v>
      </x:c>
      <x:c r="E84" s="73" t="s">
        <x:v>3382</x:v>
      </x:c>
      <x:c r="F84" s="73" t="s">
        <x:v>3563</x:v>
      </x:c>
      <x:c r="G84" s="73" t="n">
        <x:v>15</x:v>
      </x:c>
      <x:c r="H84" s="73" t="n">
        <x:v>30</x:v>
      </x:c>
      <x:c r="I84" s="73" t="s">
        <x:v>3400</x:v>
      </x:c>
      <x:c r="J84" s="73" t="n">
        <x:v>2023</x:v>
      </x:c>
      <x:c r="K84" s="73" t="n">
        <x:v>2</x:v>
      </x:c>
      <x:c r="L84" s="73" t="n">
        <x:v>23</x:v>
      </x:c>
      <x:c r="M84" s="73" t="n">
        <x:v>8</x:v>
      </x:c>
      <x:c r="N84" s="73" t="s">
        <x:v>3260</x:v>
      </x:c>
    </x:row>
    <x:row r="85" ht="15" hidden="0">
      <x:c r="A85" s="73" t="s">
        <x:v>3635</x:v>
      </x:c>
      <x:c r="B85" s="73" t="s">
        <x:v>3296</x:v>
      </x:c>
      <x:c r="C85" s="73" t="s">
        <x:v>405</x:v>
      </x:c>
      <x:c r="D85" s="73" t="s">
        <x:v>3636</x:v>
      </x:c>
      <x:c r="E85" s="73" t="s">
        <x:v>3390</x:v>
      </x:c>
      <x:c r="F85" s="73" t="s">
        <x:v>3637</x:v>
      </x:c>
      <x:c r="G85" s="73" t="n">
        <x:v>18</x:v>
      </x:c>
      <x:c r="H85" s="73" t="n">
        <x:v>35</x:v>
      </x:c>
      <x:c r="I85" s="73" t="s">
        <x:v>3396</x:v>
      </x:c>
      <x:c r="J85" s="73" t="n">
        <x:v>2023</x:v>
      </x:c>
      <x:c r="K85" s="73" t="n">
        <x:v>2</x:v>
      </x:c>
      <x:c r="L85" s="73" t="n">
        <x:v>23</x:v>
      </x:c>
      <x:c r="M85" s="73" t="n">
        <x:v>14</x:v>
      </x:c>
      <x:c r="N85" s="73" t="s">
        <x:v>3260</x:v>
      </x:c>
    </x:row>
    <x:row r="86" ht="15" hidden="0">
      <x:c r="A86" s="73" t="s">
        <x:v>3638</x:v>
      </x:c>
      <x:c r="B86" s="73" t="s">
        <x:v>3311</x:v>
      </x:c>
      <x:c r="C86" s="73" t="s">
        <x:v>409</x:v>
      </x:c>
      <x:c r="D86" s="73" t="s">
        <x:v>3639</x:v>
      </x:c>
      <x:c r="E86" s="73" t="s">
        <x:v>3394</x:v>
      </x:c>
      <x:c r="F86" s="73" t="s">
        <x:v>3640</x:v>
      </x:c>
      <x:c r="G86" s="73" t="n">
        <x:v>25</x:v>
      </x:c>
      <x:c r="H86" s="73" t="n">
        <x:v>50</x:v>
      </x:c>
      <x:c r="I86" s="73" t="s">
        <x:v>72</x:v>
      </x:c>
      <x:c r="J86" s="73" t="n">
        <x:v>2023</x:v>
      </x:c>
      <x:c r="K86" s="73" t="n">
        <x:v>2</x:v>
      </x:c>
      <x:c r="L86" s="73" t="n">
        <x:v>23</x:v>
      </x:c>
      <x:c r="M86" s="73" t="n">
        <x:v>19</x:v>
      </x:c>
      <x:c r="N86" s="73" t="s">
        <x:v>3260</x:v>
      </x:c>
    </x:row>
    <x:row r="87" ht="15" hidden="0">
      <x:c r="A87" s="73" t="s">
        <x:v>3641</x:v>
      </x:c>
      <x:c r="B87" s="73" t="s">
        <x:v>3282</x:v>
      </x:c>
      <x:c r="C87" s="73" t="s">
        <x:v>413</x:v>
      </x:c>
      <x:c r="D87" s="73" t="s">
        <x:v>3642</x:v>
      </x:c>
      <x:c r="E87" s="73" t="s">
        <x:v>3382</x:v>
      </x:c>
      <x:c r="F87" s="73" t="s">
        <x:v>3643</x:v>
      </x:c>
      <x:c r="G87" s="73" t="n">
        <x:v>20</x:v>
      </x:c>
      <x:c r="H87" s="73" t="n">
        <x:v>40</x:v>
      </x:c>
      <x:c r="I87" s="73" t="s">
        <x:v>72</x:v>
      </x:c>
      <x:c r="J87" s="73" t="n">
        <x:v>2023</x:v>
      </x:c>
      <x:c r="K87" s="73" t="n">
        <x:v>2</x:v>
      </x:c>
      <x:c r="L87" s="73" t="n">
        <x:v>24</x:v>
      </x:c>
      <x:c r="M87" s="73" t="n">
        <x:v>11</x:v>
      </x:c>
      <x:c r="N87" s="73" t="s">
        <x:v>3260</x:v>
      </x:c>
    </x:row>
    <x:row r="88" ht="15" hidden="0">
      <x:c r="A88" s="73" t="s">
        <x:v>3644</x:v>
      </x:c>
      <x:c r="B88" s="73" t="s">
        <x:v>3308</x:v>
      </x:c>
      <x:c r="C88" s="73" t="s">
        <x:v>417</x:v>
      </x:c>
      <x:c r="D88" s="73" t="s">
        <x:v>3645</x:v>
      </x:c>
      <x:c r="E88" s="73" t="s">
        <x:v>3390</x:v>
      </x:c>
      <x:c r="F88" s="73" t="s">
        <x:v>3646</x:v>
      </x:c>
      <x:c r="G88" s="73" t="n">
        <x:v>15</x:v>
      </x:c>
      <x:c r="H88" s="73" t="n">
        <x:v>30</x:v>
      </x:c>
      <x:c r="I88" s="73" t="s">
        <x:v>72</x:v>
      </x:c>
      <x:c r="J88" s="73" t="n">
        <x:v>2023</x:v>
      </x:c>
      <x:c r="K88" s="73" t="n">
        <x:v>2</x:v>
      </x:c>
      <x:c r="L88" s="73" t="n">
        <x:v>24</x:v>
      </x:c>
      <x:c r="M88" s="73" t="n">
        <x:v>16</x:v>
      </x:c>
      <x:c r="N88" s="73" t="s">
        <x:v>3260</x:v>
      </x:c>
    </x:row>
    <x:row r="89" ht="15" hidden="0">
      <x:c r="A89" s="73" t="s">
        <x:v>3647</x:v>
      </x:c>
      <x:c r="B89" s="73" t="s">
        <x:v>3268</x:v>
      </x:c>
      <x:c r="C89" s="73" t="s">
        <x:v>421</x:v>
      </x:c>
      <x:c r="D89" s="73" t="s">
        <x:v>3648</x:v>
      </x:c>
      <x:c r="E89" s="73" t="s">
        <x:v>3394</x:v>
      </x:c>
      <x:c r="F89" s="73" t="s">
        <x:v>3649</x:v>
      </x:c>
      <x:c r="G89" s="73" t="n">
        <x:v>22</x:v>
      </x:c>
      <x:c r="H89" s="73" t="n">
        <x:v>45</x:v>
      </x:c>
      <x:c r="I89" s="73" t="s">
        <x:v>3400</x:v>
      </x:c>
      <x:c r="J89" s="73" t="n">
        <x:v>2023</x:v>
      </x:c>
      <x:c r="K89" s="73" t="n">
        <x:v>2</x:v>
      </x:c>
      <x:c r="L89" s="73" t="n">
        <x:v>24</x:v>
      </x:c>
      <x:c r="M89" s="73" t="n">
        <x:v>20</x:v>
      </x:c>
      <x:c r="N89" s="73" t="s">
        <x:v>3260</x:v>
      </x:c>
    </x:row>
    <x:row r="90" ht="15" hidden="0">
      <x:c r="A90" s="73" t="s">
        <x:v>3650</x:v>
      </x:c>
      <x:c r="B90" s="73" t="s">
        <x:v>3221</x:v>
      </x:c>
      <x:c r="C90" s="73" t="s">
        <x:v>425</x:v>
      </x:c>
      <x:c r="D90" s="73" t="s">
        <x:v>3651</x:v>
      </x:c>
      <x:c r="E90" s="73" t="s">
        <x:v>3382</x:v>
      </x:c>
      <x:c r="F90" s="73" t="s">
        <x:v>3652</x:v>
      </x:c>
      <x:c r="G90" s="73" t="n">
        <x:v>18</x:v>
      </x:c>
      <x:c r="H90" s="73" t="n">
        <x:v>35</x:v>
      </x:c>
      <x:c r="I90" s="73" t="s">
        <x:v>3404</x:v>
      </x:c>
      <x:c r="J90" s="73" t="n">
        <x:v>2023</x:v>
      </x:c>
      <x:c r="K90" s="73" t="n">
        <x:v>2</x:v>
      </x:c>
      <x:c r="L90" s="73" t="n">
        <x:v>25</x:v>
      </x:c>
      <x:c r="M90" s="73" t="n">
        <x:v>9</x:v>
      </x:c>
      <x:c r="N90" s="73" t="s">
        <x:v>3189</x:v>
      </x:c>
    </x:row>
    <x:row r="91" ht="15" hidden="0">
      <x:c r="A91" s="73" t="s">
        <x:v>3653</x:v>
      </x:c>
      <x:c r="B91" s="73" t="s">
        <x:v>3248</x:v>
      </x:c>
      <x:c r="C91" s="73" t="s">
        <x:v>429</x:v>
      </x:c>
      <x:c r="D91" s="73" t="s">
        <x:v>3352</x:v>
      </x:c>
      <x:c r="E91" s="73" t="s">
        <x:v>3390</x:v>
      </x:c>
      <x:c r="F91" s="73" t="s">
        <x:v>3654</x:v>
      </x:c>
      <x:c r="G91" s="73" t="n">
        <x:v>25</x:v>
      </x:c>
      <x:c r="H91" s="73" t="n">
        <x:v>50</x:v>
      </x:c>
      <x:c r="I91" s="73" t="s">
        <x:v>72</x:v>
      </x:c>
      <x:c r="J91" s="73" t="n">
        <x:v>2023</x:v>
      </x:c>
      <x:c r="K91" s="73" t="n">
        <x:v>2</x:v>
      </x:c>
      <x:c r="L91" s="73" t="n">
        <x:v>25</x:v>
      </x:c>
      <x:c r="M91" s="73" t="n">
        <x:v>14</x:v>
      </x:c>
      <x:c r="N91" s="73" t="s">
        <x:v>3244</x:v>
      </x:c>
    </x:row>
    <x:row r="92" ht="15" hidden="0">
      <x:c r="A92" s="73" t="s">
        <x:v>3655</x:v>
      </x:c>
      <x:c r="B92" s="73" t="s">
        <x:v>3270</x:v>
      </x:c>
      <x:c r="C92" s="73" t="s">
        <x:v>433</x:v>
      </x:c>
      <x:c r="D92" s="73" t="s">
        <x:v>3656</x:v>
      </x:c>
      <x:c r="E92" s="73" t="s">
        <x:v>3394</x:v>
      </x:c>
      <x:c r="F92" s="73" t="s">
        <x:v>3657</x:v>
      </x:c>
      <x:c r="G92" s="73" t="n">
        <x:v>15</x:v>
      </x:c>
      <x:c r="H92" s="73" t="n">
        <x:v>30</x:v>
      </x:c>
      <x:c r="I92" s="73" t="s">
        <x:v>3387</x:v>
      </x:c>
      <x:c r="J92" s="73" t="n">
        <x:v>2023</x:v>
      </x:c>
      <x:c r="K92" s="73" t="n">
        <x:v>2</x:v>
      </x:c>
      <x:c r="L92" s="73" t="n">
        <x:v>25</x:v>
      </x:c>
      <x:c r="M92" s="73" t="n">
        <x:v>18</x:v>
      </x:c>
      <x:c r="N92" s="73" t="s">
        <x:v>3260</x:v>
      </x:c>
    </x:row>
    <x:row r="93" ht="15" hidden="0">
      <x:c r="A93" s="73" t="s">
        <x:v>3658</x:v>
      </x:c>
      <x:c r="B93" s="73" t="s">
        <x:v>3307</x:v>
      </x:c>
      <x:c r="C93" s="73" t="s">
        <x:v>437</x:v>
      </x:c>
      <x:c r="D93" s="73" t="s">
        <x:v>3659</x:v>
      </x:c>
      <x:c r="E93" s="73" t="s">
        <x:v>3382</x:v>
      </x:c>
      <x:c r="F93" s="73" t="s">
        <x:v>3660</x:v>
      </x:c>
      <x:c r="G93" s="73" t="n">
        <x:v>22</x:v>
      </x:c>
      <x:c r="H93" s="73" t="n">
        <x:v>45</x:v>
      </x:c>
      <x:c r="I93" s="73" t="s">
        <x:v>3396</x:v>
      </x:c>
      <x:c r="J93" s="73" t="n">
        <x:v>2023</x:v>
      </x:c>
      <x:c r="K93" s="73" t="n">
        <x:v>2</x:v>
      </x:c>
      <x:c r="L93" s="73" t="n">
        <x:v>26</x:v>
      </x:c>
      <x:c r="M93" s="73" t="n">
        <x:v>10</x:v>
      </x:c>
      <x:c r="N93" s="73" t="s">
        <x:v>3260</x:v>
      </x:c>
    </x:row>
    <x:row r="94" ht="15" hidden="0">
      <x:c r="A94" s="73" t="s">
        <x:v>3661</x:v>
      </x:c>
      <x:c r="B94" s="73" t="s">
        <x:v>3297</x:v>
      </x:c>
      <x:c r="C94" s="73" t="s">
        <x:v>441</x:v>
      </x:c>
      <x:c r="D94" s="73" t="s">
        <x:v>3662</x:v>
      </x:c>
      <x:c r="E94" s="73" t="s">
        <x:v>3390</x:v>
      </x:c>
      <x:c r="F94" s="73" t="s">
        <x:v>3663</x:v>
      </x:c>
      <x:c r="G94" s="73" t="n">
        <x:v>20</x:v>
      </x:c>
      <x:c r="H94" s="73" t="n">
        <x:v>40</x:v>
      </x:c>
      <x:c r="I94" s="73" t="s">
        <x:v>3400</x:v>
      </x:c>
      <x:c r="J94" s="73" t="n">
        <x:v>2023</x:v>
      </x:c>
      <x:c r="K94" s="73" t="n">
        <x:v>2</x:v>
      </x:c>
      <x:c r="L94" s="73" t="n">
        <x:v>26</x:v>
      </x:c>
      <x:c r="M94" s="73" t="n">
        <x:v>7</x:v>
      </x:c>
      <x:c r="N94" s="73" t="s">
        <x:v>3260</x:v>
      </x:c>
    </x:row>
    <x:row r="95" ht="15" hidden="0">
      <x:c r="A95" s="73" t="s">
        <x:v>3664</x:v>
      </x:c>
      <x:c r="B95" s="73" t="s">
        <x:v>3208</x:v>
      </x:c>
      <x:c r="C95" s="73" t="s">
        <x:v>445</x:v>
      </x:c>
      <x:c r="D95" s="73" t="s">
        <x:v>3665</x:v>
      </x:c>
      <x:c r="E95" s="73" t="s">
        <x:v>3394</x:v>
      </x:c>
      <x:c r="F95" s="73" t="s">
        <x:v>3666</x:v>
      </x:c>
      <x:c r="G95" s="73" t="n">
        <x:v>18</x:v>
      </x:c>
      <x:c r="H95" s="73" t="n">
        <x:v>35</x:v>
      </x:c>
      <x:c r="I95" s="73" t="s">
        <x:v>72</x:v>
      </x:c>
      <x:c r="J95" s="73" t="n">
        <x:v>2023</x:v>
      </x:c>
      <x:c r="K95" s="73" t="n">
        <x:v>2</x:v>
      </x:c>
      <x:c r="L95" s="73" t="n">
        <x:v>26</x:v>
      </x:c>
      <x:c r="M95" s="73" t="n">
        <x:v>15</x:v>
      </x:c>
      <x:c r="N95" s="73" t="s">
        <x:v>3189</x:v>
      </x:c>
    </x:row>
    <x:row r="96" ht="15" hidden="0">
      <x:c r="A96" s="73" t="s">
        <x:v>3667</x:v>
      </x:c>
      <x:c r="B96" s="73" t="s">
        <x:v>3284</x:v>
      </x:c>
      <x:c r="C96" s="73" t="s">
        <x:v>449</x:v>
      </x:c>
      <x:c r="D96" s="73" t="s">
        <x:v>3668</x:v>
      </x:c>
      <x:c r="E96" s="73" t="s">
        <x:v>3382</x:v>
      </x:c>
      <x:c r="F96" s="73" t="s">
        <x:v>3669</x:v>
      </x:c>
      <x:c r="G96" s="73" t="n">
        <x:v>15</x:v>
      </x:c>
      <x:c r="H96" s="73" t="n">
        <x:v>30</x:v>
      </x:c>
      <x:c r="I96" s="73" t="s">
        <x:v>3404</x:v>
      </x:c>
      <x:c r="J96" s="73" t="n">
        <x:v>2023</x:v>
      </x:c>
      <x:c r="K96" s="73" t="n">
        <x:v>2</x:v>
      </x:c>
      <x:c r="L96" s="73" t="n">
        <x:v>27</x:v>
      </x:c>
      <x:c r="M96" s="73" t="n">
        <x:v>9</x:v>
      </x:c>
      <x:c r="N96" s="73" t="s">
        <x:v>3260</x:v>
      </x:c>
    </x:row>
    <x:row r="97" ht="15" hidden="0">
      <x:c r="A97" s="73" t="s">
        <x:v>3670</x:v>
      </x:c>
      <x:c r="B97" s="73" t="s">
        <x:v>3193</x:v>
      </x:c>
      <x:c r="C97" s="73" t="s">
        <x:v>453</x:v>
      </x:c>
      <x:c r="D97" s="73" t="s">
        <x:v>3671</x:v>
      </x:c>
      <x:c r="E97" s="73" t="s">
        <x:v>3390</x:v>
      </x:c>
      <x:c r="F97" s="73" t="s">
        <x:v>3672</x:v>
      </x:c>
      <x:c r="G97" s="73" t="n">
        <x:v>25</x:v>
      </x:c>
      <x:c r="H97" s="73" t="n">
        <x:v>50</x:v>
      </x:c>
      <x:c r="I97" s="73" t="s">
        <x:v>3396</x:v>
      </x:c>
      <x:c r="J97" s="73" t="n">
        <x:v>2023</x:v>
      </x:c>
      <x:c r="K97" s="73" t="n">
        <x:v>2</x:v>
      </x:c>
      <x:c r="L97" s="73" t="n">
        <x:v>27</x:v>
      </x:c>
      <x:c r="M97" s="73" t="n">
        <x:v>14</x:v>
      </x:c>
      <x:c r="N97" s="73" t="s">
        <x:v>3189</x:v>
      </x:c>
    </x:row>
    <x:row r="98" ht="15" hidden="0">
      <x:c r="A98" s="73" t="s">
        <x:v>3673</x:v>
      </x:c>
      <x:c r="B98" s="73" t="s">
        <x:v>3262</x:v>
      </x:c>
      <x:c r="C98" s="73" t="s">
        <x:v>457</x:v>
      </x:c>
      <x:c r="D98" s="73" t="s">
        <x:v>3674</x:v>
      </x:c>
      <x:c r="E98" s="73" t="s">
        <x:v>3394</x:v>
      </x:c>
      <x:c r="F98" s="73" t="s">
        <x:v>3675</x:v>
      </x:c>
      <x:c r="G98" s="73" t="n">
        <x:v>22</x:v>
      </x:c>
      <x:c r="H98" s="73" t="n">
        <x:v>45</x:v>
      </x:c>
      <x:c r="I98" s="73" t="s">
        <x:v>3387</x:v>
      </x:c>
      <x:c r="J98" s="73" t="n">
        <x:v>2023</x:v>
      </x:c>
      <x:c r="K98" s="73" t="n">
        <x:v>2</x:v>
      </x:c>
      <x:c r="L98" s="73" t="n">
        <x:v>27</x:v>
      </x:c>
      <x:c r="M98" s="73" t="n">
        <x:v>18</x:v>
      </x:c>
      <x:c r="N98" s="73" t="s">
        <x:v>3260</x:v>
      </x:c>
    </x:row>
    <x:row r="99" ht="15" hidden="0">
      <x:c r="A99" s="73" t="s">
        <x:v>3676</x:v>
      </x:c>
      <x:c r="B99" s="73" t="s">
        <x:v>3303</x:v>
      </x:c>
      <x:c r="C99" s="73" t="s">
        <x:v>461</x:v>
      </x:c>
      <x:c r="D99" s="73" t="s">
        <x:v>3677</x:v>
      </x:c>
      <x:c r="E99" s="73" t="s">
        <x:v>3382</x:v>
      </x:c>
      <x:c r="F99" s="73" t="s">
        <x:v>3678</x:v>
      </x:c>
      <x:c r="G99" s="73" t="n">
        <x:v>20</x:v>
      </x:c>
      <x:c r="H99" s="73" t="n">
        <x:v>40</x:v>
      </x:c>
      <x:c r="I99" s="73" t="s">
        <x:v>72</x:v>
      </x:c>
      <x:c r="J99" s="73" t="n">
        <x:v>2023</x:v>
      </x:c>
      <x:c r="K99" s="73" t="n">
        <x:v>2</x:v>
      </x:c>
      <x:c r="L99" s="73" t="n">
        <x:v>28</x:v>
      </x:c>
      <x:c r="M99" s="73" t="n">
        <x:v>11</x:v>
      </x:c>
      <x:c r="N99" s="73" t="s">
        <x:v>3260</x:v>
      </x:c>
    </x:row>
    <x:row r="100" ht="15" hidden="0">
      <x:c r="A100" s="73" t="s">
        <x:v>3679</x:v>
      </x:c>
      <x:c r="B100" s="73" t="s">
        <x:v>3275</x:v>
      </x:c>
      <x:c r="C100" s="73" t="s">
        <x:v>465</x:v>
      </x:c>
      <x:c r="D100" s="73" t="s">
        <x:v>3680</x:v>
      </x:c>
      <x:c r="E100" s="73" t="s">
        <x:v>3390</x:v>
      </x:c>
      <x:c r="F100" s="73" t="s">
        <x:v>3681</x:v>
      </x:c>
      <x:c r="G100" s="73" t="n">
        <x:v>30</x:v>
      </x:c>
      <x:c r="H100" s="73" t="n">
        <x:v>60</x:v>
      </x:c>
      <x:c r="I100" s="73" t="s">
        <x:v>3396</x:v>
      </x:c>
      <x:c r="J100" s="73" t="n">
        <x:v>2023</x:v>
      </x:c>
      <x:c r="K100" s="73" t="n">
        <x:v>2</x:v>
      </x:c>
      <x:c r="L100" s="73" t="n">
        <x:v>28</x:v>
      </x:c>
      <x:c r="M100" s="73" t="n">
        <x:v>16</x:v>
      </x:c>
      <x:c r="N100" s="73" t="s">
        <x:v>3260</x:v>
      </x:c>
    </x:row>
    <x:row r="101" ht="15" hidden="0">
      <x:c r="A101" s="73" t="s">
        <x:v>3682</x:v>
      </x:c>
      <x:c r="B101" s="73" t="s">
        <x:v>3217</x:v>
      </x:c>
      <x:c r="C101" s="73" t="s">
        <x:v>470</x:v>
      </x:c>
      <x:c r="D101" s="73" t="s">
        <x:v>3683</x:v>
      </x:c>
      <x:c r="E101" s="73" t="s">
        <x:v>3394</x:v>
      </x:c>
      <x:c r="F101" s="73" t="s">
        <x:v>3614</x:v>
      </x:c>
      <x:c r="G101" s="73" t="n">
        <x:v>15</x:v>
      </x:c>
      <x:c r="H101" s="73" t="n">
        <x:v>30</x:v>
      </x:c>
      <x:c r="I101" s="73" t="s">
        <x:v>3404</x:v>
      </x:c>
      <x:c r="J101" s="73" t="n">
        <x:v>2023</x:v>
      </x:c>
      <x:c r="K101" s="73" t="n">
        <x:v>2</x:v>
      </x:c>
      <x:c r="L101" s="73" t="n">
        <x:v>28</x:v>
      </x:c>
      <x:c r="M101" s="73" t="n">
        <x:v>19</x:v>
      </x:c>
      <x:c r="N101" s="73" t="s">
        <x:v>3189</x:v>
      </x:c>
    </x:row>
    <x:row r="102" ht="15" hidden="0">
      <x:c r="A102" s="73" t="s">
        <x:v>3684</x:v>
      </x:c>
      <x:c r="B102" s="73" t="s">
        <x:v>3270</x:v>
      </x:c>
      <x:c r="C102" s="73" t="s">
        <x:v>473</x:v>
      </x:c>
      <x:c r="D102" s="73" t="s">
        <x:v>3685</x:v>
      </x:c>
      <x:c r="E102" s="73" t="s">
        <x:v>3382</x:v>
      </x:c>
      <x:c r="F102" s="73" t="s">
        <x:v>3686</x:v>
      </x:c>
      <x:c r="G102" s="73" t="n">
        <x:v>22</x:v>
      </x:c>
      <x:c r="H102" s="73" t="n">
        <x:v>45</x:v>
      </x:c>
      <x:c r="I102" s="73" t="s">
        <x:v>3400</x:v>
      </x:c>
      <x:c r="J102" s="73" t="n">
        <x:v>2023</x:v>
      </x:c>
      <x:c r="K102" s="73" t="n">
        <x:v>3</x:v>
      </x:c>
      <x:c r="L102" s="73" t="n">
        <x:v>1</x:v>
      </x:c>
      <x:c r="M102" s="73" t="n">
        <x:v>10</x:v>
      </x:c>
      <x:c r="N102" s="73" t="s">
        <x:v>3260</x:v>
      </x:c>
    </x:row>
    <x:row r="103" ht="15" hidden="0">
      <x:c r="A103" s="73" t="s">
        <x:v>3687</x:v>
      </x:c>
      <x:c r="B103" s="73" t="s">
        <x:v>3262</x:v>
      </x:c>
      <x:c r="C103" s="73" t="s">
        <x:v>477</x:v>
      </x:c>
      <x:c r="D103" s="73" t="s">
        <x:v>3688</x:v>
      </x:c>
      <x:c r="E103" s="73" t="s">
        <x:v>3390</x:v>
      </x:c>
      <x:c r="F103" s="73" t="s">
        <x:v>3689</x:v>
      </x:c>
      <x:c r="G103" s="73" t="n">
        <x:v>18</x:v>
      </x:c>
      <x:c r="H103" s="73" t="n">
        <x:v>35</x:v>
      </x:c>
      <x:c r="I103" s="73" t="s">
        <x:v>72</x:v>
      </x:c>
      <x:c r="J103" s="73" t="n">
        <x:v>2023</x:v>
      </x:c>
      <x:c r="K103" s="73" t="n">
        <x:v>3</x:v>
      </x:c>
      <x:c r="L103" s="73" t="n">
        <x:v>1</x:v>
      </x:c>
      <x:c r="M103" s="73" t="n">
        <x:v>13</x:v>
      </x:c>
      <x:c r="N103" s="73" t="s">
        <x:v>3260</x:v>
      </x:c>
    </x:row>
    <x:row r="104" ht="15" hidden="0">
      <x:c r="A104" s="73" t="s">
        <x:v>3690</x:v>
      </x:c>
      <x:c r="B104" s="73" t="s">
        <x:v>3208</x:v>
      </x:c>
      <x:c r="C104" s="73" t="s">
        <x:v>481</x:v>
      </x:c>
      <x:c r="D104" s="73" t="s">
        <x:v>3691</x:v>
      </x:c>
      <x:c r="E104" s="73" t="s">
        <x:v>3382</x:v>
      </x:c>
      <x:c r="F104" s="73" t="s">
        <x:v>3692</x:v>
      </x:c>
      <x:c r="G104" s="73" t="n">
        <x:v>15</x:v>
      </x:c>
      <x:c r="H104" s="73" t="n">
        <x:v>30</x:v>
      </x:c>
      <x:c r="I104" s="73" t="s">
        <x:v>3387</x:v>
      </x:c>
      <x:c r="J104" s="73" t="n">
        <x:v>2023</x:v>
      </x:c>
      <x:c r="K104" s="73" t="n">
        <x:v>3</x:v>
      </x:c>
      <x:c r="L104" s="73" t="n">
        <x:v>1</x:v>
      </x:c>
      <x:c r="M104" s="73" t="n">
        <x:v>17</x:v>
      </x:c>
      <x:c r="N104" s="73" t="s">
        <x:v>3189</x:v>
      </x:c>
    </x:row>
    <x:row r="105" ht="15" hidden="0">
      <x:c r="A105" s="73" t="s">
        <x:v>3693</x:v>
      </x:c>
      <x:c r="B105" s="73" t="s">
        <x:v>3284</x:v>
      </x:c>
      <x:c r="C105" s="73" t="s">
        <x:v>485</x:v>
      </x:c>
      <x:c r="D105" s="73" t="s">
        <x:v>3694</x:v>
      </x:c>
      <x:c r="E105" s="73" t="s">
        <x:v>3394</x:v>
      </x:c>
      <x:c r="F105" s="73" t="s">
        <x:v>3695</x:v>
      </x:c>
      <x:c r="G105" s="73" t="n">
        <x:v>15</x:v>
      </x:c>
      <x:c r="H105" s="73" t="n">
        <x:v>30</x:v>
      </x:c>
      <x:c r="I105" s="73" t="s">
        <x:v>3396</x:v>
      </x:c>
      <x:c r="J105" s="73" t="n">
        <x:v>2023</x:v>
      </x:c>
      <x:c r="K105" s="73" t="n">
        <x:v>3</x:v>
      </x:c>
      <x:c r="L105" s="73" t="n">
        <x:v>2</x:v>
      </x:c>
      <x:c r="M105" s="73" t="n">
        <x:v>18</x:v>
      </x:c>
      <x:c r="N105" s="73" t="s">
        <x:v>3260</x:v>
      </x:c>
    </x:row>
    <x:row r="106" ht="15" hidden="0">
      <x:c r="A106" s="73" t="s">
        <x:v>3696</x:v>
      </x:c>
      <x:c r="B106" s="73" t="s">
        <x:v>3193</x:v>
      </x:c>
      <x:c r="C106" s="73" t="s">
        <x:v>490</x:v>
      </x:c>
      <x:c r="D106" s="73" t="s">
        <x:v>3697</x:v>
      </x:c>
      <x:c r="E106" s="73" t="s">
        <x:v>3390</x:v>
      </x:c>
      <x:c r="F106" s="73" t="s">
        <x:v>3698</x:v>
      </x:c>
      <x:c r="G106" s="73" t="n">
        <x:v>30</x:v>
      </x:c>
      <x:c r="H106" s="73" t="n">
        <x:v>60</x:v>
      </x:c>
      <x:c r="I106" s="73" t="s">
        <x:v>72</x:v>
      </x:c>
      <x:c r="J106" s="73" t="n">
        <x:v>2023</x:v>
      </x:c>
      <x:c r="K106" s="73" t="n">
        <x:v>3</x:v>
      </x:c>
      <x:c r="L106" s="73" t="n">
        <x:v>2</x:v>
      </x:c>
      <x:c r="M106" s="73" t="n">
        <x:v>13</x:v>
      </x:c>
      <x:c r="N106" s="73" t="s">
        <x:v>3189</x:v>
      </x:c>
    </x:row>
    <x:row r="107" ht="15" hidden="0">
      <x:c r="A107" s="73" t="s">
        <x:v>3699</x:v>
      </x:c>
      <x:c r="B107" s="73" t="s">
        <x:v>3262</x:v>
      </x:c>
      <x:c r="C107" s="73" t="s">
        <x:v>496</x:v>
      </x:c>
      <x:c r="D107" s="73" t="s">
        <x:v>3700</x:v>
      </x:c>
      <x:c r="E107" s="73" t="s">
        <x:v>3382</x:v>
      </x:c>
      <x:c r="F107" s="73" t="s">
        <x:v>3701</x:v>
      </x:c>
      <x:c r="G107" s="73" t="n">
        <x:v>25</x:v>
      </x:c>
      <x:c r="H107" s="73" t="n">
        <x:v>50</x:v>
      </x:c>
      <x:c r="I107" s="73" t="s">
        <x:v>3404</x:v>
      </x:c>
      <x:c r="J107" s="73" t="n">
        <x:v>2023</x:v>
      </x:c>
      <x:c r="K107" s="73" t="n">
        <x:v>3</x:v>
      </x:c>
      <x:c r="L107" s="73" t="n">
        <x:v>2</x:v>
      </x:c>
      <x:c r="M107" s="73" t="n">
        <x:v>16</x:v>
      </x:c>
      <x:c r="N107" s="73" t="s">
        <x:v>3260</x:v>
      </x:c>
    </x:row>
    <x:row r="108" ht="15" hidden="0">
      <x:c r="A108" s="73" t="s">
        <x:v>3702</x:v>
      </x:c>
      <x:c r="B108" s="73" t="s">
        <x:v>3303</x:v>
      </x:c>
      <x:c r="C108" s="73" t="s">
        <x:v>500</x:v>
      </x:c>
      <x:c r="D108" s="73" t="s">
        <x:v>3703</x:v>
      </x:c>
      <x:c r="E108" s="73" t="s">
        <x:v>3394</x:v>
      </x:c>
      <x:c r="F108" s="73" t="s">
        <x:v>3704</x:v>
      </x:c>
      <x:c r="G108" s="73" t="n">
        <x:v>22</x:v>
      </x:c>
      <x:c r="H108" s="73" t="n">
        <x:v>45</x:v>
      </x:c>
      <x:c r="I108" s="73" t="s">
        <x:v>72</x:v>
      </x:c>
      <x:c r="J108" s="73" t="n">
        <x:v>2023</x:v>
      </x:c>
      <x:c r="K108" s="73" t="n">
        <x:v>3</x:v>
      </x:c>
      <x:c r="L108" s="73" t="n">
        <x:v>3</x:v>
      </x:c>
      <x:c r="M108" s="73" t="n">
        <x:v>11</x:v>
      </x:c>
      <x:c r="N108" s="73" t="s">
        <x:v>3260</x:v>
      </x:c>
    </x:row>
    <x:row r="109" ht="15" hidden="0">
      <x:c r="A109" s="73" t="s">
        <x:v>3705</x:v>
      </x:c>
      <x:c r="B109" s="73" t="s">
        <x:v>3275</x:v>
      </x:c>
      <x:c r="C109" s="73" t="s">
        <x:v>504</x:v>
      </x:c>
      <x:c r="D109" s="73" t="s">
        <x:v>3706</x:v>
      </x:c>
      <x:c r="E109" s="73" t="s">
        <x:v>3390</x:v>
      </x:c>
      <x:c r="F109" s="73" t="s">
        <x:v>3707</x:v>
      </x:c>
      <x:c r="G109" s="73" t="n">
        <x:v>12</x:v>
      </x:c>
      <x:c r="H109" s="73" t="n">
        <x:v>25</x:v>
      </x:c>
      <x:c r="I109" s="73" t="s">
        <x:v>3387</x:v>
      </x:c>
      <x:c r="J109" s="73" t="n">
        <x:v>2023</x:v>
      </x:c>
      <x:c r="K109" s="73" t="n">
        <x:v>3</x:v>
      </x:c>
      <x:c r="L109" s="73" t="n">
        <x:v>3</x:v>
      </x:c>
      <x:c r="M109" s="73" t="n">
        <x:v>14</x:v>
      </x:c>
      <x:c r="N109" s="73" t="s">
        <x:v>3260</x:v>
      </x:c>
    </x:row>
    <x:row r="110" ht="15" hidden="0">
      <x:c r="A110" s="73" t="s">
        <x:v>3708</x:v>
      </x:c>
      <x:c r="B110" s="73" t="s">
        <x:v>3217</x:v>
      </x:c>
      <x:c r="C110" s="73" t="s">
        <x:v>509</x:v>
      </x:c>
      <x:c r="D110" s="73" t="s">
        <x:v>3709</x:v>
      </x:c>
      <x:c r="E110" s="73" t="s">
        <x:v>3382</x:v>
      </x:c>
      <x:c r="F110" s="73" t="s">
        <x:v>3710</x:v>
      </x:c>
      <x:c r="G110" s="73" t="n">
        <x:v>15</x:v>
      </x:c>
      <x:c r="H110" s="73" t="n">
        <x:v>30</x:v>
      </x:c>
      <x:c r="I110" s="73" t="s">
        <x:v>3396</x:v>
      </x:c>
      <x:c r="J110" s="73" t="n">
        <x:v>2023</x:v>
      </x:c>
      <x:c r="K110" s="73" t="n">
        <x:v>3</x:v>
      </x:c>
      <x:c r="L110" s="73" t="n">
        <x:v>3</x:v>
      </x:c>
      <x:c r="M110" s="73" t="n">
        <x:v>12</x:v>
      </x:c>
      <x:c r="N110" s="73" t="s">
        <x:v>3189</x:v>
      </x:c>
    </x:row>
    <x:row r="111" ht="15" hidden="0">
      <x:c r="A111" s="73" t="s">
        <x:v>3711</x:v>
      </x:c>
      <x:c r="B111" s="73" t="s">
        <x:v>3272</x:v>
      </x:c>
      <x:c r="C111" s="73" t="s">
        <x:v>514</x:v>
      </x:c>
      <x:c r="D111" s="73" t="s">
        <x:v>3712</x:v>
      </x:c>
      <x:c r="E111" s="73" t="s">
        <x:v>3382</x:v>
      </x:c>
      <x:c r="F111" s="73" t="s">
        <x:v>3713</x:v>
      </x:c>
      <x:c r="G111" s="73" t="n">
        <x:v>20</x:v>
      </x:c>
      <x:c r="H111" s="73" t="n">
        <x:v>40</x:v>
      </x:c>
      <x:c r="I111" s="73" t="s">
        <x:v>3387</x:v>
      </x:c>
      <x:c r="J111" s="73" t="n">
        <x:v>2010</x:v>
      </x:c>
      <x:c r="K111" s="73" t="n">
        <x:v>5</x:v>
      </x:c>
      <x:c r="L111" s="73" t="n">
        <x:v>15</x:v>
      </x:c>
      <x:c r="M111" s="73" t="n">
        <x:v>15</x:v>
      </x:c>
      <x:c r="N111" s="73" t="s">
        <x:v>3260</x:v>
      </x:c>
    </x:row>
    <x:row r="112" ht="15" hidden="0">
      <x:c r="A112" s="73" t="s">
        <x:v>3714</x:v>
      </x:c>
      <x:c r="B112" s="73" t="s">
        <x:v>3274</x:v>
      </x:c>
      <x:c r="C112" s="73" t="s">
        <x:v>519</x:v>
      </x:c>
      <x:c r="D112" s="73" t="s">
        <x:v>3715</x:v>
      </x:c>
      <x:c r="E112" s="73" t="s">
        <x:v>3390</x:v>
      </x:c>
      <x:c r="F112" s="73" t="s">
        <x:v>3716</x:v>
      </x:c>
      <x:c r="G112" s="73" t="n">
        <x:v>15</x:v>
      </x:c>
      <x:c r="H112" s="73" t="n">
        <x:v>30</x:v>
      </x:c>
      <x:c r="I112" s="73" t="s">
        <x:v>72</x:v>
      </x:c>
      <x:c r="J112" s="73" t="n">
        <x:v>2021</x:v>
      </x:c>
      <x:c r="K112" s="73" t="n">
        <x:v>8</x:v>
      </x:c>
      <x:c r="L112" s="73" t="n">
        <x:v>10</x:v>
      </x:c>
      <x:c r="M112" s="73" t="n">
        <x:v>21</x:v>
      </x:c>
      <x:c r="N112" s="73" t="s">
        <x:v>3260</x:v>
      </x:c>
    </x:row>
    <x:row r="113" ht="15" hidden="0">
      <x:c r="A113" s="73" t="s">
        <x:v>3717</x:v>
      </x:c>
      <x:c r="B113" s="73" t="s">
        <x:v>3263</x:v>
      </x:c>
      <x:c r="C113" s="73" t="s">
        <x:v>524</x:v>
      </x:c>
      <x:c r="D113" s="73" t="s">
        <x:v>3718</x:v>
      </x:c>
      <x:c r="E113" s="73" t="s">
        <x:v>3394</x:v>
      </x:c>
      <x:c r="F113" s="73" t="s">
        <x:v>3719</x:v>
      </x:c>
      <x:c r="G113" s="73" t="n">
        <x:v>25</x:v>
      </x:c>
      <x:c r="H113" s="73" t="n">
        <x:v>50</x:v>
      </x:c>
      <x:c r="I113" s="73" t="s">
        <x:v>3404</x:v>
      </x:c>
      <x:c r="J113" s="73" t="n">
        <x:v>2011</x:v>
      </x:c>
      <x:c r="K113" s="73" t="n">
        <x:v>6</x:v>
      </x:c>
      <x:c r="L113" s="73" t="n">
        <x:v>20</x:v>
      </x:c>
      <x:c r="M113" s="73" t="n">
        <x:v>14</x:v>
      </x:c>
      <x:c r="N113" s="73" t="s">
        <x:v>3260</x:v>
      </x:c>
    </x:row>
    <x:row r="114" ht="15" hidden="0">
      <x:c r="A114" s="73" t="s">
        <x:v>3720</x:v>
      </x:c>
      <x:c r="B114" s="73" t="s">
        <x:v>3266</x:v>
      </x:c>
      <x:c r="C114" s="73" t="s">
        <x:v>530</x:v>
      </x:c>
      <x:c r="D114" s="73" t="s">
        <x:v>3721</x:v>
      </x:c>
      <x:c r="E114" s="73" t="s">
        <x:v>3382</x:v>
      </x:c>
      <x:c r="F114" s="73" t="s">
        <x:v>3722</x:v>
      </x:c>
      <x:c r="G114" s="73" t="n">
        <x:v>18</x:v>
      </x:c>
      <x:c r="H114" s="73" t="n">
        <x:v>35</x:v>
      </x:c>
      <x:c r="I114" s="73" t="s">
        <x:v>3396</x:v>
      </x:c>
      <x:c r="J114" s="73" t="n">
        <x:v>2022</x:v>
      </x:c>
      <x:c r="K114" s="73" t="n">
        <x:v>2</x:v>
      </x:c>
      <x:c r="L114" s="73" t="n">
        <x:v>12</x:v>
      </x:c>
      <x:c r="M114" s="73" t="n">
        <x:v>18</x:v>
      </x:c>
      <x:c r="N114" s="73" t="s">
        <x:v>3260</x:v>
      </x:c>
    </x:row>
    <x:row r="115" ht="15" hidden="0">
      <x:c r="A115" s="73" t="s">
        <x:v>3723</x:v>
      </x:c>
      <x:c r="B115" s="73" t="s">
        <x:v>3264</x:v>
      </x:c>
      <x:c r="C115" s="73" t="s">
        <x:v>536</x:v>
      </x:c>
      <x:c r="D115" s="73" t="s">
        <x:v>3724</x:v>
      </x:c>
      <x:c r="E115" s="73" t="s">
        <x:v>3390</x:v>
      </x:c>
      <x:c r="F115" s="73" t="s">
        <x:v>3725</x:v>
      </x:c>
      <x:c r="G115" s="73" t="n">
        <x:v>30</x:v>
      </x:c>
      <x:c r="H115" s="73" t="n">
        <x:v>60</x:v>
      </x:c>
      <x:c r="I115" s="73" t="s">
        <x:v>3400</x:v>
      </x:c>
      <x:c r="J115" s="73" t="n">
        <x:v>2012</x:v>
      </x:c>
      <x:c r="K115" s="73" t="n">
        <x:v>11</x:v>
      </x:c>
      <x:c r="L115" s="73" t="n">
        <x:v>25</x:v>
      </x:c>
      <x:c r="M115" s="73" t="n">
        <x:v>10</x:v>
      </x:c>
      <x:c r="N115" s="73" t="s">
        <x:v>3260</x:v>
      </x:c>
    </x:row>
    <x:row r="116" ht="15" hidden="0">
      <x:c r="A116" s="73" t="s">
        <x:v>3726</x:v>
      </x:c>
      <x:c r="B116" s="73" t="s">
        <x:v>3280</x:v>
      </x:c>
      <x:c r="C116" s="73" t="s">
        <x:v>541</x:v>
      </x:c>
      <x:c r="D116" s="73" t="s">
        <x:v>3727</x:v>
      </x:c>
      <x:c r="E116" s="73" t="s">
        <x:v>3394</x:v>
      </x:c>
      <x:c r="F116" s="73" t="s">
        <x:v>3728</x:v>
      </x:c>
      <x:c r="G116" s="73" t="n">
        <x:v>22</x:v>
      </x:c>
      <x:c r="H116" s="73" t="n">
        <x:v>45</x:v>
      </x:c>
      <x:c r="I116" s="73" t="s">
        <x:v>72</x:v>
      </x:c>
      <x:c r="J116" s="73" t="n">
        <x:v>2013</x:v>
      </x:c>
      <x:c r="K116" s="73" t="n">
        <x:v>4</x:v>
      </x:c>
      <x:c r="L116" s="73" t="n">
        <x:v>5</x:v>
      </x:c>
      <x:c r="M116" s="73" t="n">
        <x:v>19</x:v>
      </x:c>
      <x:c r="N116" s="73" t="s">
        <x:v>3260</x:v>
      </x:c>
    </x:row>
    <x:row r="117" ht="15" hidden="0">
      <x:c r="A117" s="73" t="s">
        <x:v>3729</x:v>
      </x:c>
      <x:c r="B117" s="73" t="s">
        <x:v>3278</x:v>
      </x:c>
      <x:c r="C117" s="73" t="s">
        <x:v>546</x:v>
      </x:c>
      <x:c r="D117" s="73" t="s">
        <x:v>3730</x:v>
      </x:c>
      <x:c r="E117" s="73" t="s">
        <x:v>3382</x:v>
      </x:c>
      <x:c r="F117" s="73" t="s">
        <x:v>3731</x:v>
      </x:c>
      <x:c r="G117" s="73" t="n">
        <x:v>15</x:v>
      </x:c>
      <x:c r="H117" s="73" t="n">
        <x:v>30</x:v>
      </x:c>
      <x:c r="I117" s="73" t="s">
        <x:v>3396</x:v>
      </x:c>
      <x:c r="J117" s="73" t="n">
        <x:v>2014</x:v>
      </x:c>
      <x:c r="K117" s="73" t="n">
        <x:v>9</x:v>
      </x:c>
      <x:c r="L117" s="73" t="n">
        <x:v>14</x:v>
      </x:c>
      <x:c r="M117" s="73" t="n">
        <x:v>8</x:v>
      </x:c>
      <x:c r="N117" s="73" t="s">
        <x:v>3260</x:v>
      </x:c>
    </x:row>
    <x:row r="118" ht="15" hidden="0">
      <x:c r="A118" s="73" t="s">
        <x:v>3732</x:v>
      </x:c>
      <x:c r="B118" s="73" t="s">
        <x:v>3285</x:v>
      </x:c>
      <x:c r="C118" s="73" t="s">
        <x:v>551</x:v>
      </x:c>
      <x:c r="D118" s="73" t="s">
        <x:v>3733</x:v>
      </x:c>
      <x:c r="E118" s="73" t="s">
        <x:v>3390</x:v>
      </x:c>
      <x:c r="F118" s="73" t="s">
        <x:v>3734</x:v>
      </x:c>
      <x:c r="G118" s="73" t="n">
        <x:v>18</x:v>
      </x:c>
      <x:c r="H118" s="73" t="n">
        <x:v>35</x:v>
      </x:c>
      <x:c r="I118" s="73" t="s">
        <x:v>3387</x:v>
      </x:c>
      <x:c r="J118" s="73" t="n">
        <x:v>2015</x:v>
      </x:c>
      <x:c r="K118" s="73" t="n">
        <x:v>7</x:v>
      </x:c>
      <x:c r="L118" s="73" t="n">
        <x:v>18</x:v>
      </x:c>
      <x:c r="M118" s="73" t="n">
        <x:v>14</x:v>
      </x:c>
      <x:c r="N118" s="73" t="s">
        <x:v>3260</x:v>
      </x:c>
    </x:row>
    <x:row r="119" ht="15" hidden="0">
      <x:c r="A119" s="73" t="s">
        <x:v>3735</x:v>
      </x:c>
      <x:c r="B119" s="73" t="s">
        <x:v>3292</x:v>
      </x:c>
      <x:c r="C119" s="73" t="s">
        <x:v>556</x:v>
      </x:c>
      <x:c r="D119" s="73" t="s">
        <x:v>3736</x:v>
      </x:c>
      <x:c r="E119" s="73" t="s">
        <x:v>3394</x:v>
      </x:c>
      <x:c r="F119" s="73" t="s">
        <x:v>3737</x:v>
      </x:c>
      <x:c r="G119" s="73" t="n">
        <x:v>25</x:v>
      </x:c>
      <x:c r="H119" s="73" t="n">
        <x:v>50</x:v>
      </x:c>
      <x:c r="I119" s="73" t="s">
        <x:v>3396</x:v>
      </x:c>
      <x:c r="J119" s="73" t="n">
        <x:v>2016</x:v>
      </x:c>
      <x:c r="K119" s="73" t="n">
        <x:v>2</x:v>
      </x:c>
      <x:c r="L119" s="73" t="n">
        <x:v>23</x:v>
      </x:c>
      <x:c r="M119" s="73" t="n">
        <x:v>19</x:v>
      </x:c>
      <x:c r="N119" s="73" t="s">
        <x:v>3260</x:v>
      </x:c>
    </x:row>
    <x:row r="120" ht="15" hidden="0">
      <x:c r="A120" s="73" t="s">
        <x:v>3738</x:v>
      </x:c>
      <x:c r="B120" s="73" t="s">
        <x:v>3283</x:v>
      </x:c>
      <x:c r="C120" s="73" t="s">
        <x:v>561</x:v>
      </x:c>
      <x:c r="D120" s="73" t="s">
        <x:v>3739</x:v>
      </x:c>
      <x:c r="E120" s="73" t="s">
        <x:v>3382</x:v>
      </x:c>
      <x:c r="F120" s="73" t="s">
        <x:v>3740</x:v>
      </x:c>
      <x:c r="G120" s="73" t="n">
        <x:v>20</x:v>
      </x:c>
      <x:c r="H120" s="73" t="n">
        <x:v>40</x:v>
      </x:c>
      <x:c r="I120" s="73" t="s">
        <x:v>3400</x:v>
      </x:c>
      <x:c r="J120" s="73" t="n">
        <x:v>2017</x:v>
      </x:c>
      <x:c r="K120" s="73" t="n">
        <x:v>10</x:v>
      </x:c>
      <x:c r="L120" s="73" t="n">
        <x:v>30</x:v>
      </x:c>
      <x:c r="M120" s="73" t="n">
        <x:v>11</x:v>
      </x:c>
      <x:c r="N120" s="73" t="s">
        <x:v>3260</x:v>
      </x:c>
    </x:row>
    <x:row r="121" ht="15" hidden="0">
      <x:c r="A121" s="73" t="s">
        <x:v>3741</x:v>
      </x:c>
      <x:c r="B121" s="73" t="s">
        <x:v>3273</x:v>
      </x:c>
      <x:c r="C121" s="73" t="s">
        <x:v>566</x:v>
      </x:c>
      <x:c r="D121" s="73" t="s">
        <x:v>3742</x:v>
      </x:c>
      <x:c r="E121" s="73" t="s">
        <x:v>3390</x:v>
      </x:c>
      <x:c r="F121" s="73" t="s">
        <x:v>3743</x:v>
      </x:c>
      <x:c r="G121" s="73" t="n">
        <x:v>15</x:v>
      </x:c>
      <x:c r="H121" s="73" t="n">
        <x:v>30</x:v>
      </x:c>
      <x:c r="I121" s="73" t="s">
        <x:v>72</x:v>
      </x:c>
      <x:c r="J121" s="73" t="n">
        <x:v>2018</x:v>
      </x:c>
      <x:c r="K121" s="73" t="n">
        <x:v>6</x:v>
      </x:c>
      <x:c r="L121" s="73" t="n">
        <x:v>15</x:v>
      </x:c>
      <x:c r="M121" s="73" t="n">
        <x:v>16</x:v>
      </x:c>
      <x:c r="N121" s="73" t="s">
        <x:v>3260</x:v>
      </x:c>
    </x:row>
    <x:row r="122" ht="15" hidden="0">
      <x:c r="A122" s="73" t="s">
        <x:v>3744</x:v>
      </x:c>
      <x:c r="B122" s="73" t="s">
        <x:v>3288</x:v>
      </x:c>
      <x:c r="C122" s="73" t="s">
        <x:v>572</x:v>
      </x:c>
      <x:c r="D122" s="73" t="s">
        <x:v>3745</x:v>
      </x:c>
      <x:c r="E122" s="73" t="s">
        <x:v>3394</x:v>
      </x:c>
      <x:c r="F122" s="73" t="s">
        <x:v>3746</x:v>
      </x:c>
      <x:c r="G122" s="73" t="n">
        <x:v>22</x:v>
      </x:c>
      <x:c r="H122" s="73" t="n">
        <x:v>45</x:v>
      </x:c>
      <x:c r="I122" s="73" t="s">
        <x:v>3404</x:v>
      </x:c>
      <x:c r="J122" s="73" t="n">
        <x:v>2019</x:v>
      </x:c>
      <x:c r="K122" s="73" t="n">
        <x:v>3</x:v>
      </x:c>
      <x:c r="L122" s="73" t="n">
        <x:v>28</x:v>
      </x:c>
      <x:c r="M122" s="73" t="n">
        <x:v>18</x:v>
      </x:c>
      <x:c r="N122" s="73" t="s">
        <x:v>3260</x:v>
      </x:c>
    </x:row>
    <x:row r="123" ht="15" hidden="0">
      <x:c r="A123" s="73" t="s">
        <x:v>3747</x:v>
      </x:c>
      <x:c r="B123" s="73" t="s">
        <x:v>3291</x:v>
      </x:c>
      <x:c r="C123" s="73" t="s">
        <x:v>577</x:v>
      </x:c>
      <x:c r="D123" s="73" t="s">
        <x:v>3748</x:v>
      </x:c>
      <x:c r="E123" s="73" t="s">
        <x:v>3382</x:v>
      </x:c>
      <x:c r="F123" s="73" t="s">
        <x:v>3749</x:v>
      </x:c>
      <x:c r="G123" s="73" t="n">
        <x:v>18</x:v>
      </x:c>
      <x:c r="H123" s="73" t="n">
        <x:v>35</x:v>
      </x:c>
      <x:c r="I123" s="73" t="s">
        <x:v>3396</x:v>
      </x:c>
      <x:c r="J123" s="73" t="n">
        <x:v>2019</x:v>
      </x:c>
      <x:c r="K123" s="73" t="n">
        <x:v>11</x:v>
      </x:c>
      <x:c r="L123" s="73" t="n">
        <x:v>11</x:v>
      </x:c>
      <x:c r="M123" s="73" t="n">
        <x:v>15</x:v>
      </x:c>
      <x:c r="N123" s="73" t="s">
        <x:v>3260</x:v>
      </x:c>
    </x:row>
    <x:row r="124" ht="15" hidden="0">
      <x:c r="A124" s="73" t="s">
        <x:v>3750</x:v>
      </x:c>
      <x:c r="B124" s="73" t="s">
        <x:v>3272</x:v>
      </x:c>
      <x:c r="C124" s="73" t="s">
        <x:v>582</x:v>
      </x:c>
      <x:c r="D124" s="73" t="s">
        <x:v>3751</x:v>
      </x:c>
      <x:c r="E124" s="73" t="s">
        <x:v>3390</x:v>
      </x:c>
      <x:c r="F124" s="73" t="s">
        <x:v>3752</x:v>
      </x:c>
      <x:c r="G124" s="73" t="n">
        <x:v>25</x:v>
      </x:c>
      <x:c r="H124" s="73" t="n">
        <x:v>50</x:v>
      </x:c>
      <x:c r="I124" s="73" t="s">
        <x:v>3387</x:v>
      </x:c>
      <x:c r="J124" s="73" t="n">
        <x:v>2020</x:v>
      </x:c>
      <x:c r="K124" s="73" t="n">
        <x:v>4</x:v>
      </x:c>
      <x:c r="L124" s="73" t="n">
        <x:v>2</x:v>
      </x:c>
      <x:c r="M124" s="73" t="n">
        <x:v>9</x:v>
      </x:c>
      <x:c r="N124" s="73" t="s">
        <x:v>3260</x:v>
      </x:c>
    </x:row>
    <x:row r="125" ht="15" hidden="0">
      <x:c r="A125" s="73" t="s">
        <x:v>3753</x:v>
      </x:c>
      <x:c r="B125" s="73" t="s">
        <x:v>3274</x:v>
      </x:c>
      <x:c r="C125" s="73" t="s">
        <x:v>587</x:v>
      </x:c>
      <x:c r="D125" s="73" t="s">
        <x:v>3754</x:v>
      </x:c>
      <x:c r="E125" s="73" t="s">
        <x:v>3394</x:v>
      </x:c>
      <x:c r="F125" s="73" t="s">
        <x:v>3755</x:v>
      </x:c>
      <x:c r="G125" s="73" t="n">
        <x:v>15</x:v>
      </x:c>
      <x:c r="H125" s="73" t="n">
        <x:v>30</x:v>
      </x:c>
      <x:c r="I125" s="73" t="s">
        <x:v>72</x:v>
      </x:c>
      <x:c r="J125" s="73" t="n">
        <x:v>2021</x:v>
      </x:c>
      <x:c r="K125" s="73" t="n">
        <x:v>6</x:v>
      </x:c>
      <x:c r="L125" s="73" t="n">
        <x:v>19</x:v>
      </x:c>
      <x:c r="M125" s="73" t="n">
        <x:v>14</x:v>
      </x:c>
      <x:c r="N125" s="73" t="s">
        <x:v>3260</x:v>
      </x:c>
    </x:row>
    <x:row r="126" ht="15" hidden="0">
      <x:c r="A126" s="73" t="s">
        <x:v>3756</x:v>
      </x:c>
      <x:c r="B126" s="73" t="s">
        <x:v>3263</x:v>
      </x:c>
      <x:c r="C126" s="73" t="s">
        <x:v>591</x:v>
      </x:c>
      <x:c r="D126" s="73" t="s">
        <x:v>3757</x:v>
      </x:c>
      <x:c r="E126" s="73" t="s">
        <x:v>3382</x:v>
      </x:c>
      <x:c r="F126" s="73" t="s">
        <x:v>3758</x:v>
      </x:c>
      <x:c r="G126" s="73" t="n">
        <x:v>30</x:v>
      </x:c>
      <x:c r="H126" s="73" t="n">
        <x:v>60</x:v>
      </x:c>
      <x:c r="I126" s="73" t="s">
        <x:v>3400</x:v>
      </x:c>
      <x:c r="J126" s="73" t="n">
        <x:v>2010</x:v>
      </x:c>
      <x:c r="K126" s="73" t="n">
        <x:v>8</x:v>
      </x:c>
      <x:c r="L126" s="73" t="n">
        <x:v>15</x:v>
      </x:c>
      <x:c r="M126" s="73" t="n">
        <x:v>10</x:v>
      </x:c>
      <x:c r="N126" s="73" t="s">
        <x:v>3260</x:v>
      </x:c>
    </x:row>
    <x:row r="127" ht="15" hidden="0">
      <x:c r="A127" s="73" t="s">
        <x:v>3759</x:v>
      </x:c>
      <x:c r="B127" s="73" t="s">
        <x:v>3266</x:v>
      </x:c>
      <x:c r="C127" s="73" t="s">
        <x:v>595</x:v>
      </x:c>
      <x:c r="D127" s="73" t="s">
        <x:v>3760</x:v>
      </x:c>
      <x:c r="E127" s="73" t="s">
        <x:v>3390</x:v>
      </x:c>
      <x:c r="F127" s="73" t="s">
        <x:v>3761</x:v>
      </x:c>
      <x:c r="G127" s="73" t="n">
        <x:v>22</x:v>
      </x:c>
      <x:c r="H127" s="73" t="n">
        <x:v>45</x:v>
      </x:c>
      <x:c r="I127" s="73" t="s">
        <x:v>3396</x:v>
      </x:c>
      <x:c r="J127" s="73" t="n">
        <x:v>2011</x:v>
      </x:c>
      <x:c r="K127" s="73" t="n">
        <x:v>9</x:v>
      </x:c>
      <x:c r="L127" s="73" t="n">
        <x:v>22</x:v>
      </x:c>
      <x:c r="M127" s="73" t="n">
        <x:v>19</x:v>
      </x:c>
      <x:c r="N127" s="73" t="s">
        <x:v>3260</x:v>
      </x:c>
    </x:row>
    <x:row r="128" ht="15" hidden="0">
      <x:c r="A128" s="73" t="s">
        <x:v>3762</x:v>
      </x:c>
      <x:c r="B128" s="73" t="s">
        <x:v>3264</x:v>
      </x:c>
      <x:c r="C128" s="73" t="s">
        <x:v>599</x:v>
      </x:c>
      <x:c r="D128" s="73" t="s">
        <x:v>3763</x:v>
      </x:c>
      <x:c r="E128" s="73" t="s">
        <x:v>3394</x:v>
      </x:c>
      <x:c r="F128" s="73" t="s">
        <x:v>3764</x:v>
      </x:c>
      <x:c r="G128" s="73" t="n">
        <x:v>15</x:v>
      </x:c>
      <x:c r="H128" s="73" t="n">
        <x:v>30</x:v>
      </x:c>
      <x:c r="I128" s="73" t="s">
        <x:v>3404</x:v>
      </x:c>
      <x:c r="J128" s="73" t="n">
        <x:v>2012</x:v>
      </x:c>
      <x:c r="K128" s="73" t="n">
        <x:v>3</x:v>
      </x:c>
      <x:c r="L128" s="73" t="n">
        <x:v>10</x:v>
      </x:c>
      <x:c r="M128" s="73" t="n">
        <x:v>8</x:v>
      </x:c>
      <x:c r="N128" s="73" t="s">
        <x:v>3260</x:v>
      </x:c>
    </x:row>
    <x:row r="129" ht="15" hidden="0">
      <x:c r="A129" s="73" t="s">
        <x:v>3765</x:v>
      </x:c>
      <x:c r="B129" s="73" t="s">
        <x:v>3280</x:v>
      </x:c>
      <x:c r="C129" s="73" t="s">
        <x:v>603</x:v>
      </x:c>
      <x:c r="D129" s="73" t="s">
        <x:v>3766</x:v>
      </x:c>
      <x:c r="E129" s="73" t="s">
        <x:v>3382</x:v>
      </x:c>
      <x:c r="F129" s="73" t="s">
        <x:v>3767</x:v>
      </x:c>
      <x:c r="G129" s="73" t="n">
        <x:v>18</x:v>
      </x:c>
      <x:c r="H129" s="73" t="n">
        <x:v>35</x:v>
      </x:c>
      <x:c r="I129" s="73" t="s">
        <x:v>3387</x:v>
      </x:c>
      <x:c r="J129" s="73" t="n">
        <x:v>2013</x:v>
      </x:c>
      <x:c r="K129" s="73" t="n">
        <x:v>12</x:v>
      </x:c>
      <x:c r="L129" s="73" t="n">
        <x:v>5</x:v>
      </x:c>
      <x:c r="M129" s="73" t="n">
        <x:v>16</x:v>
      </x:c>
      <x:c r="N129" s="73" t="s">
        <x:v>3260</x:v>
      </x:c>
    </x:row>
    <x:row r="130" ht="15" hidden="0">
      <x:c r="A130" s="73" t="s">
        <x:v>3768</x:v>
      </x:c>
      <x:c r="B130" s="73" t="s">
        <x:v>3278</x:v>
      </x:c>
      <x:c r="C130" s="73" t="s">
        <x:v>607</x:v>
      </x:c>
      <x:c r="D130" s="73" t="s">
        <x:v>3769</x:v>
      </x:c>
      <x:c r="E130" s="73" t="s">
        <x:v>3390</x:v>
      </x:c>
      <x:c r="F130" s="73" t="s">
        <x:v>3770</x:v>
      </x:c>
      <x:c r="G130" s="73" t="n">
        <x:v>25</x:v>
      </x:c>
      <x:c r="H130" s="73" t="n">
        <x:v>50</x:v>
      </x:c>
      <x:c r="I130" s="73" t="s">
        <x:v>72</x:v>
      </x:c>
      <x:c r="J130" s="73" t="n">
        <x:v>2014</x:v>
      </x:c>
      <x:c r="K130" s="73" t="n">
        <x:v>7</x:v>
      </x:c>
      <x:c r="L130" s="73" t="n">
        <x:v>20</x:v>
      </x:c>
      <x:c r="M130" s="73" t="n">
        <x:v>11</x:v>
      </x:c>
      <x:c r="N130" s="73" t="s">
        <x:v>3260</x:v>
      </x:c>
    </x:row>
    <x:row r="131" ht="15" hidden="0">
      <x:c r="A131" s="73" t="s">
        <x:v>3771</x:v>
      </x:c>
      <x:c r="B131" s="73" t="s">
        <x:v>3285</x:v>
      </x:c>
      <x:c r="C131" s="73" t="s">
        <x:v>611</x:v>
      </x:c>
      <x:c r="D131" s="73" t="s">
        <x:v>3772</x:v>
      </x:c>
      <x:c r="E131" s="73" t="s">
        <x:v>3394</x:v>
      </x:c>
      <x:c r="F131" s="73" t="s">
        <x:v>3773</x:v>
      </x:c>
      <x:c r="G131" s="73" t="n">
        <x:v>18</x:v>
      </x:c>
      <x:c r="H131" s="73" t="n">
        <x:v>35</x:v>
      </x:c>
      <x:c r="I131" s="73" t="s">
        <x:v>72</x:v>
      </x:c>
      <x:c r="J131" s="73" t="n">
        <x:v>2015</x:v>
      </x:c>
      <x:c r="K131" s="73" t="n">
        <x:v>12</x:v>
      </x:c>
      <x:c r="L131" s="73" t="n">
        <x:v>22</x:v>
      </x:c>
      <x:c r="M131" s="73" t="n">
        <x:v>14</x:v>
      </x:c>
      <x:c r="N131" s="73" t="s">
        <x:v>3260</x:v>
      </x:c>
    </x:row>
    <x:row r="132" ht="15" hidden="0">
      <x:c r="A132" s="73" t="s">
        <x:v>3774</x:v>
      </x:c>
      <x:c r="B132" s="73" t="s">
        <x:v>3292</x:v>
      </x:c>
      <x:c r="C132" s="73" t="s">
        <x:v>615</x:v>
      </x:c>
      <x:c r="D132" s="73" t="s">
        <x:v>3775</x:v>
      </x:c>
      <x:c r="E132" s="73" t="s">
        <x:v>3382</x:v>
      </x:c>
      <x:c r="F132" s="73" t="s">
        <x:v>3776</x:v>
      </x:c>
      <x:c r="G132" s="73" t="n">
        <x:v>25</x:v>
      </x:c>
      <x:c r="H132" s="73" t="n">
        <x:v>50</x:v>
      </x:c>
      <x:c r="I132" s="73" t="s">
        <x:v>3396</x:v>
      </x:c>
      <x:c r="J132" s="73" t="n">
        <x:v>2016</x:v>
      </x:c>
      <x:c r="K132" s="73" t="n">
        <x:v>2</x:v>
      </x:c>
      <x:c r="L132" s="73" t="n">
        <x:v>10</x:v>
      </x:c>
      <x:c r="M132" s="73" t="n">
        <x:v>19</x:v>
      </x:c>
      <x:c r="N132" s="73" t="s">
        <x:v>3260</x:v>
      </x:c>
    </x:row>
    <x:row r="133" ht="15" hidden="0">
      <x:c r="A133" s="73" t="s">
        <x:v>3777</x:v>
      </x:c>
      <x:c r="B133" s="73" t="s">
        <x:v>3283</x:v>
      </x:c>
      <x:c r="C133" s="73" t="s">
        <x:v>619</x:v>
      </x:c>
      <x:c r="D133" s="73" t="s">
        <x:v>3592</x:v>
      </x:c>
      <x:c r="E133" s="73" t="s">
        <x:v>3390</x:v>
      </x:c>
      <x:c r="F133" s="73" t="s">
        <x:v>3778</x:v>
      </x:c>
      <x:c r="G133" s="73" t="n">
        <x:v>20</x:v>
      </x:c>
      <x:c r="H133" s="73" t="n">
        <x:v>40</x:v>
      </x:c>
      <x:c r="I133" s="73" t="s">
        <x:v>3400</x:v>
      </x:c>
      <x:c r="J133" s="73" t="n">
        <x:v>2017</x:v>
      </x:c>
      <x:c r="K133" s="73" t="n">
        <x:v>4</x:v>
      </x:c>
      <x:c r="L133" s="73" t="n">
        <x:v>30</x:v>
      </x:c>
      <x:c r="M133" s="73" t="n">
        <x:v>11</x:v>
      </x:c>
      <x:c r="N133" s="73" t="s">
        <x:v>3260</x:v>
      </x:c>
    </x:row>
    <x:row r="134" ht="15" hidden="0">
      <x:c r="A134" s="73" t="s">
        <x:v>3779</x:v>
      </x:c>
      <x:c r="B134" s="73" t="s">
        <x:v>3273</x:v>
      </x:c>
      <x:c r="C134" s="73" t="s">
        <x:v>623</x:v>
      </x:c>
      <x:c r="D134" s="73" t="s">
        <x:v>3780</x:v>
      </x:c>
      <x:c r="E134" s="73" t="s">
        <x:v>3394</x:v>
      </x:c>
      <x:c r="F134" s="73" t="s">
        <x:v>3781</x:v>
      </x:c>
      <x:c r="G134" s="73" t="n">
        <x:v>15</x:v>
      </x:c>
      <x:c r="H134" s="73" t="n">
        <x:v>30</x:v>
      </x:c>
      <x:c r="I134" s="73" t="s">
        <x:v>3387</x:v>
      </x:c>
      <x:c r="J134" s="73" t="n">
        <x:v>2018</x:v>
      </x:c>
      <x:c r="K134" s="73" t="n">
        <x:v>9</x:v>
      </x:c>
      <x:c r="L134" s="73" t="n">
        <x:v>15</x:v>
      </x:c>
      <x:c r="M134" s="73" t="n">
        <x:v>16</x:v>
      </x:c>
      <x:c r="N134" s="73" t="s">
        <x:v>3260</x:v>
      </x:c>
    </x:row>
    <x:row r="135" ht="15" hidden="0">
      <x:c r="A135" s="73" t="s">
        <x:v>3782</x:v>
      </x:c>
      <x:c r="B135" s="73" t="s">
        <x:v>3288</x:v>
      </x:c>
      <x:c r="C135" s="73" t="s">
        <x:v>627</x:v>
      </x:c>
      <x:c r="D135" s="73" t="s">
        <x:v>3783</x:v>
      </x:c>
      <x:c r="E135" s="73" t="s">
        <x:v>3382</x:v>
      </x:c>
      <x:c r="F135" s="73" t="s">
        <x:v>3784</x:v>
      </x:c>
      <x:c r="G135" s="73" t="n">
        <x:v>22</x:v>
      </x:c>
      <x:c r="H135" s="73" t="n">
        <x:v>45</x:v>
      </x:c>
      <x:c r="I135" s="73" t="s">
        <x:v>3404</x:v>
      </x:c>
      <x:c r="J135" s="73" t="n">
        <x:v>2019</x:v>
      </x:c>
      <x:c r="K135" s="73" t="n">
        <x:v>6</x:v>
      </x:c>
      <x:c r="L135" s="73" t="n">
        <x:v>28</x:v>
      </x:c>
      <x:c r="M135" s="73" t="n">
        <x:v>18</x:v>
      </x:c>
      <x:c r="N135" s="73" t="s">
        <x:v>3260</x:v>
      </x:c>
    </x:row>
    <x:row r="136" ht="15" hidden="0">
      <x:c r="A136" s="73" t="s">
        <x:v>3785</x:v>
      </x:c>
      <x:c r="B136" s="73" t="s">
        <x:v>3291</x:v>
      </x:c>
      <x:c r="C136" s="73" t="s">
        <x:v>631</x:v>
      </x:c>
      <x:c r="D136" s="73" t="s">
        <x:v>3786</x:v>
      </x:c>
      <x:c r="E136" s="73" t="s">
        <x:v>3390</x:v>
      </x:c>
      <x:c r="F136" s="73" t="s">
        <x:v>3787</x:v>
      </x:c>
      <x:c r="G136" s="73" t="n">
        <x:v>18</x:v>
      </x:c>
      <x:c r="H136" s="73" t="n">
        <x:v>35</x:v>
      </x:c>
      <x:c r="I136" s="73" t="s">
        <x:v>3396</x:v>
      </x:c>
      <x:c r="J136" s="73" t="n">
        <x:v>2020</x:v>
      </x:c>
      <x:c r="K136" s="73" t="n">
        <x:v>11</x:v>
      </x:c>
      <x:c r="L136" s="73" t="n">
        <x:v>11</x:v>
      </x:c>
      <x:c r="M136" s="73" t="n">
        <x:v>15</x:v>
      </x:c>
      <x:c r="N136" s="73" t="s">
        <x:v>3260</x:v>
      </x:c>
    </x:row>
    <x:row r="137" ht="15" hidden="0">
      <x:c r="A137" s="73" t="s">
        <x:v>3788</x:v>
      </x:c>
      <x:c r="B137" s="73" t="s">
        <x:v>3272</x:v>
      </x:c>
      <x:c r="C137" s="73" t="s">
        <x:v>635</x:v>
      </x:c>
      <x:c r="D137" s="73" t="s">
        <x:v>3789</x:v>
      </x:c>
      <x:c r="E137" s="73" t="s">
        <x:v>3394</x:v>
      </x:c>
      <x:c r="F137" s="73" t="s">
        <x:v>3790</x:v>
      </x:c>
      <x:c r="G137" s="73" t="n">
        <x:v>25</x:v>
      </x:c>
      <x:c r="H137" s="73" t="n">
        <x:v>50</x:v>
      </x:c>
      <x:c r="I137" s="73" t="s">
        <x:v>72</x:v>
      </x:c>
      <x:c r="J137" s="73" t="n">
        <x:v>2021</x:v>
      </x:c>
      <x:c r="K137" s="73" t="n">
        <x:v>3</x:v>
      </x:c>
      <x:c r="L137" s="73" t="n">
        <x:v>2</x:v>
      </x:c>
      <x:c r="M137" s="73" t="n">
        <x:v>9</x:v>
      </x:c>
      <x:c r="N137" s="73" t="s">
        <x:v>3260</x:v>
      </x:c>
    </x:row>
    <x:row r="138" ht="15" hidden="0">
      <x:c r="A138" s="73" t="s">
        <x:v>3791</x:v>
      </x:c>
      <x:c r="B138" s="73" t="s">
        <x:v>3272</x:v>
      </x:c>
      <x:c r="C138" s="73" t="s">
        <x:v>639</x:v>
      </x:c>
      <x:c r="D138" s="73" t="s">
        <x:v>3792</x:v>
      </x:c>
      <x:c r="E138" s="73" t="s">
        <x:v>3382</x:v>
      </x:c>
      <x:c r="F138" s="73" t="s">
        <x:v>3793</x:v>
      </x:c>
      <x:c r="G138" s="73" t="n">
        <x:v>20</x:v>
      </x:c>
      <x:c r="H138" s="73" t="n">
        <x:v>40</x:v>
      </x:c>
      <x:c r="I138" s="73" t="s">
        <x:v>72</x:v>
      </x:c>
      <x:c r="J138" s="73" t="n">
        <x:v>2012</x:v>
      </x:c>
      <x:c r="K138" s="73" t="n">
        <x:v>2</x:v>
      </x:c>
      <x:c r="L138" s="73" t="n">
        <x:v>18</x:v>
      </x:c>
      <x:c r="M138" s="73" t="n">
        <x:v>14</x:v>
      </x:c>
      <x:c r="N138" s="73" t="s">
        <x:v>3260</x:v>
      </x:c>
    </x:row>
    <x:row r="139" ht="15" hidden="0">
      <x:c r="A139" s="73" t="s">
        <x:v>3794</x:v>
      </x:c>
      <x:c r="B139" s="73" t="s">
        <x:v>3274</x:v>
      </x:c>
      <x:c r="C139" s="73" t="s">
        <x:v>643</x:v>
      </x:c>
      <x:c r="D139" s="73" t="s">
        <x:v>3795</x:v>
      </x:c>
      <x:c r="E139" s="73" t="s">
        <x:v>3390</x:v>
      </x:c>
      <x:c r="F139" s="73" t="s">
        <x:v>3796</x:v>
      </x:c>
      <x:c r="G139" s="73" t="n">
        <x:v>15</x:v>
      </x:c>
      <x:c r="H139" s="73" t="n">
        <x:v>30</x:v>
      </x:c>
      <x:c r="I139" s="73" t="s">
        <x:v>3396</x:v>
      </x:c>
      <x:c r="J139" s="73" t="n">
        <x:v>2018</x:v>
      </x:c>
      <x:c r="K139" s="73" t="n">
        <x:v>11</x:v>
      </x:c>
      <x:c r="L139" s="73" t="n">
        <x:v>5</x:v>
      </x:c>
      <x:c r="M139" s="73" t="n">
        <x:v>21</x:v>
      </x:c>
      <x:c r="N139" s="73" t="s">
        <x:v>3260</x:v>
      </x:c>
    </x:row>
    <x:row r="140" ht="15" hidden="0">
      <x:c r="A140" s="73" t="s">
        <x:v>3797</x:v>
      </x:c>
      <x:c r="B140" s="73" t="s">
        <x:v>3263</x:v>
      </x:c>
      <x:c r="C140" s="73" t="s">
        <x:v>647</x:v>
      </x:c>
      <x:c r="D140" s="73" t="s">
        <x:v>3798</x:v>
      </x:c>
      <x:c r="E140" s="73" t="s">
        <x:v>3394</x:v>
      </x:c>
      <x:c r="F140" s="73" t="s">
        <x:v>3799</x:v>
      </x:c>
      <x:c r="G140" s="73" t="n">
        <x:v>25</x:v>
      </x:c>
      <x:c r="H140" s="73" t="n">
        <x:v>50</x:v>
      </x:c>
      <x:c r="I140" s="73" t="s">
        <x:v>3404</x:v>
      </x:c>
      <x:c r="J140" s="73" t="n">
        <x:v>2015</x:v>
      </x:c>
      <x:c r="K140" s="73" t="n">
        <x:v>9</x:v>
      </x:c>
      <x:c r="L140" s="73" t="n">
        <x:v>12</x:v>
      </x:c>
      <x:c r="M140" s="73" t="n">
        <x:v>13</x:v>
      </x:c>
      <x:c r="N140" s="73" t="s">
        <x:v>3260</x:v>
      </x:c>
    </x:row>
    <x:row r="141" ht="15" hidden="0">
      <x:c r="A141" s="73" t="s">
        <x:v>3800</x:v>
      </x:c>
      <x:c r="B141" s="73" t="s">
        <x:v>3266</x:v>
      </x:c>
      <x:c r="C141" s="73" t="s">
        <x:v>651</x:v>
      </x:c>
      <x:c r="D141" s="73" t="s">
        <x:v>3801</x:v>
      </x:c>
      <x:c r="E141" s="73" t="s">
        <x:v>3382</x:v>
      </x:c>
      <x:c r="F141" s="73" t="s">
        <x:v>3802</x:v>
      </x:c>
      <x:c r="G141" s="73" t="n">
        <x:v>18</x:v>
      </x:c>
      <x:c r="H141" s="73" t="n">
        <x:v>35</x:v>
      </x:c>
      <x:c r="I141" s="73" t="s">
        <x:v>3387</x:v>
      </x:c>
      <x:c r="J141" s="73" t="n">
        <x:v>2016</x:v>
      </x:c>
      <x:c r="K141" s="73" t="n">
        <x:v>7</x:v>
      </x:c>
      <x:c r="L141" s="73" t="n">
        <x:v>30</x:v>
      </x:c>
      <x:c r="M141" s="73" t="n">
        <x:v>18</x:v>
      </x:c>
      <x:c r="N141" s="73" t="s">
        <x:v>3260</x:v>
      </x:c>
    </x:row>
    <x:row r="142" ht="15" hidden="0">
      <x:c r="A142" s="73" t="s">
        <x:v>3803</x:v>
      </x:c>
      <x:c r="B142" s="73" t="s">
        <x:v>3264</x:v>
      </x:c>
      <x:c r="C142" s="73" t="s">
        <x:v>655</x:v>
      </x:c>
      <x:c r="D142" s="73" t="s">
        <x:v>3804</x:v>
      </x:c>
      <x:c r="E142" s="73" t="s">
        <x:v>3390</x:v>
      </x:c>
      <x:c r="F142" s="73" t="s">
        <x:v>3805</x:v>
      </x:c>
      <x:c r="G142" s="73" t="n">
        <x:v>30</x:v>
      </x:c>
      <x:c r="H142" s="73" t="n">
        <x:v>60</x:v>
      </x:c>
      <x:c r="I142" s="73" t="s">
        <x:v>72</x:v>
      </x:c>
      <x:c r="J142" s="73" t="n">
        <x:v>2013</x:v>
      </x:c>
      <x:c r="K142" s="73" t="n">
        <x:v>4</x:v>
      </x:c>
      <x:c r="L142" s="73" t="n">
        <x:v>20</x:v>
      </x:c>
      <x:c r="M142" s="73" t="n">
        <x:v>10</x:v>
      </x:c>
      <x:c r="N142" s="73" t="s">
        <x:v>3260</x:v>
      </x:c>
    </x:row>
    <x:row r="143" ht="15" hidden="0">
      <x:c r="A143" s="73" t="s">
        <x:v>3806</x:v>
      </x:c>
      <x:c r="B143" s="73" t="s">
        <x:v>3280</x:v>
      </x:c>
      <x:c r="C143" s="73" t="s">
        <x:v>659</x:v>
      </x:c>
      <x:c r="D143" s="73" t="s">
        <x:v>3807</x:v>
      </x:c>
      <x:c r="E143" s="73" t="s">
        <x:v>3394</x:v>
      </x:c>
      <x:c r="F143" s="73" t="s">
        <x:v>3808</x:v>
      </x:c>
      <x:c r="G143" s="73" t="n">
        <x:v>22</x:v>
      </x:c>
      <x:c r="H143" s="73" t="n">
        <x:v>45</x:v>
      </x:c>
      <x:c r="I143" s="73" t="s">
        <x:v>3387</x:v>
      </x:c>
      <x:c r="J143" s="73" t="n">
        <x:v>2017</x:v>
      </x:c>
      <x:c r="K143" s="73" t="n">
        <x:v>12</x:v>
      </x:c>
      <x:c r="L143" s="73" t="n">
        <x:v>8</x:v>
      </x:c>
      <x:c r="M143" s="73" t="n">
        <x:v>19</x:v>
      </x:c>
      <x:c r="N143" s="73" t="s">
        <x:v>3260</x:v>
      </x:c>
    </x:row>
    <x:row r="144" ht="15" hidden="0">
      <x:c r="A144" s="73" t="s">
        <x:v>3809</x:v>
      </x:c>
      <x:c r="B144" s="73" t="s">
        <x:v>3278</x:v>
      </x:c>
      <x:c r="C144" s="73" t="s">
        <x:v>663</x:v>
      </x:c>
      <x:c r="D144" s="73" t="s">
        <x:v>3810</x:v>
      </x:c>
      <x:c r="E144" s="73" t="s">
        <x:v>3382</x:v>
      </x:c>
      <x:c r="F144" s="73" t="s">
        <x:v>3811</x:v>
      </x:c>
      <x:c r="G144" s="73" t="n">
        <x:v>15</x:v>
      </x:c>
      <x:c r="H144" s="73" t="n">
        <x:v>30</x:v>
      </x:c>
      <x:c r="I144" s="73" t="s">
        <x:v>3396</x:v>
      </x:c>
      <x:c r="J144" s="73" t="n">
        <x:v>2014</x:v>
      </x:c>
      <x:c r="K144" s="73" t="n">
        <x:v>6</x:v>
      </x:c>
      <x:c r="L144" s="73" t="n">
        <x:v>3</x:v>
      </x:c>
      <x:c r="M144" s="73" t="n">
        <x:v>8</x:v>
      </x:c>
      <x:c r="N144" s="73" t="s">
        <x:v>3260</x:v>
      </x:c>
    </x:row>
    <x:row r="145" ht="15" hidden="0">
      <x:c r="A145" s="73" t="s">
        <x:v>3812</x:v>
      </x:c>
      <x:c r="B145" s="73" t="s">
        <x:v>3285</x:v>
      </x:c>
      <x:c r="C145" s="73" t="s">
        <x:v>668</x:v>
      </x:c>
      <x:c r="D145" s="73" t="s">
        <x:v>3813</x:v>
      </x:c>
      <x:c r="E145" s="73" t="s">
        <x:v>3390</x:v>
      </x:c>
      <x:c r="F145" s="73" t="s">
        <x:v>3814</x:v>
      </x:c>
      <x:c r="G145" s="73" t="n">
        <x:v>18</x:v>
      </x:c>
      <x:c r="H145" s="73" t="n">
        <x:v>35</x:v>
      </x:c>
      <x:c r="I145" s="73" t="s">
        <x:v>3400</x:v>
      </x:c>
      <x:c r="J145" s="73" t="n">
        <x:v>2019</x:v>
      </x:c>
      <x:c r="K145" s="73" t="n">
        <x:v>1</x:v>
      </x:c>
      <x:c r="L145" s="73" t="n">
        <x:v>15</x:v>
      </x:c>
      <x:c r="M145" s="73" t="n">
        <x:v>14</x:v>
      </x:c>
      <x:c r="N145" s="73" t="s">
        <x:v>3260</x:v>
      </x:c>
    </x:row>
    <x:row r="146" ht="15" hidden="0">
      <x:c r="A146" s="73" t="s">
        <x:v>3815</x:v>
      </x:c>
      <x:c r="B146" s="73" t="s">
        <x:v>3292</x:v>
      </x:c>
      <x:c r="C146" s="73" t="s">
        <x:v>672</x:v>
      </x:c>
      <x:c r="D146" s="73" t="s">
        <x:v>3816</x:v>
      </x:c>
      <x:c r="E146" s="73" t="s">
        <x:v>3394</x:v>
      </x:c>
      <x:c r="F146" s="73" t="s">
        <x:v>3817</x:v>
      </x:c>
      <x:c r="G146" s="73" t="n">
        <x:v>25</x:v>
      </x:c>
      <x:c r="H146" s="73" t="n">
        <x:v>50</x:v>
      </x:c>
      <x:c r="I146" s="73" t="s">
        <x:v>3396</x:v>
      </x:c>
      <x:c r="J146" s="73" t="n">
        <x:v>2016</x:v>
      </x:c>
      <x:c r="K146" s="73" t="n">
        <x:v>12</x:v>
      </x:c>
      <x:c r="L146" s="73" t="n">
        <x:v>25</x:v>
      </x:c>
      <x:c r="M146" s="73" t="n">
        <x:v>19</x:v>
      </x:c>
      <x:c r="N146" s="73" t="s">
        <x:v>3260</x:v>
      </x:c>
    </x:row>
    <x:row r="147" ht="15" hidden="0">
      <x:c r="A147" s="73" t="s">
        <x:v>3818</x:v>
      </x:c>
      <x:c r="B147" s="73" t="s">
        <x:v>3283</x:v>
      </x:c>
      <x:c r="C147" s="73" t="s">
        <x:v>676</x:v>
      </x:c>
      <x:c r="D147" s="73" t="s">
        <x:v>3819</x:v>
      </x:c>
      <x:c r="E147" s="73" t="s">
        <x:v>3382</x:v>
      </x:c>
      <x:c r="F147" s="73" t="s">
        <x:v>3820</x:v>
      </x:c>
      <x:c r="G147" s="73" t="n">
        <x:v>20</x:v>
      </x:c>
      <x:c r="H147" s="73" t="n">
        <x:v>40</x:v>
      </x:c>
      <x:c r="I147" s="73" t="s">
        <x:v>3404</x:v>
      </x:c>
      <x:c r="J147" s="73" t="n">
        <x:v>2018</x:v>
      </x:c>
      <x:c r="K147" s="73" t="n">
        <x:v>3</x:v>
      </x:c>
      <x:c r="L147" s="73" t="n">
        <x:v>10</x:v>
      </x:c>
      <x:c r="M147" s="73" t="n">
        <x:v>9</x:v>
      </x:c>
      <x:c r="N147" s="73" t="s">
        <x:v>3260</x:v>
      </x:c>
    </x:row>
    <x:row r="148" ht="15" hidden="0">
      <x:c r="A148" s="73" t="s">
        <x:v>3821</x:v>
      </x:c>
      <x:c r="B148" s="73" t="s">
        <x:v>3273</x:v>
      </x:c>
      <x:c r="C148" s="73" t="s">
        <x:v>680</x:v>
      </x:c>
      <x:c r="D148" s="73" t="s">
        <x:v>3822</x:v>
      </x:c>
      <x:c r="E148" s="73" t="s">
        <x:v>3390</x:v>
      </x:c>
      <x:c r="F148" s="73" t="s">
        <x:v>3823</x:v>
      </x:c>
      <x:c r="G148" s="73" t="n">
        <x:v>15</x:v>
      </x:c>
      <x:c r="H148" s="73" t="n">
        <x:v>30</x:v>
      </x:c>
      <x:c r="I148" s="73" t="s">
        <x:v>72</x:v>
      </x:c>
      <x:c r="J148" s="73" t="n">
        <x:v>2020</x:v>
      </x:c>
      <x:c r="K148" s="73" t="n">
        <x:v>9</x:v>
      </x:c>
      <x:c r="L148" s="73" t="n">
        <x:v>17</x:v>
      </x:c>
      <x:c r="M148" s="73" t="n">
        <x:v>16</x:v>
      </x:c>
      <x:c r="N148" s="73" t="s">
        <x:v>3260</x:v>
      </x:c>
    </x:row>
    <x:row r="149" ht="15" hidden="0">
      <x:c r="A149" s="73" t="s">
        <x:v>3824</x:v>
      </x:c>
      <x:c r="B149" s="73" t="s">
        <x:v>3288</x:v>
      </x:c>
      <x:c r="C149" s="73" t="s">
        <x:v>685</x:v>
      </x:c>
      <x:c r="D149" s="73" t="s">
        <x:v>3825</x:v>
      </x:c>
      <x:c r="E149" s="73" t="s">
        <x:v>3394</x:v>
      </x:c>
      <x:c r="F149" s="73" t="s">
        <x:v>3826</x:v>
      </x:c>
      <x:c r="G149" s="73" t="n">
        <x:v>22</x:v>
      </x:c>
      <x:c r="H149" s="73" t="n">
        <x:v>45</x:v>
      </x:c>
      <x:c r="I149" s="73" t="s">
        <x:v>3387</x:v>
      </x:c>
      <x:c r="J149" s="73" t="n">
        <x:v>2011</x:v>
      </x:c>
      <x:c r="K149" s="73" t="n">
        <x:v>8</x:v>
      </x:c>
      <x:c r="L149" s="73" t="n">
        <x:v>28</x:v>
      </x:c>
      <x:c r="M149" s="73" t="n">
        <x:v>18</x:v>
      </x:c>
      <x:c r="N149" s="73" t="s">
        <x:v>3260</x:v>
      </x:c>
    </x:row>
    <x:row r="150" ht="15" hidden="0">
      <x:c r="A150" s="73" t="s">
        <x:v>3827</x:v>
      </x:c>
      <x:c r="B150" s="73" t="s">
        <x:v>3291</x:v>
      </x:c>
      <x:c r="C150" s="73" t="s">
        <x:v>690</x:v>
      </x:c>
      <x:c r="D150" s="73" t="s">
        <x:v>3828</x:v>
      </x:c>
      <x:c r="E150" s="73" t="s">
        <x:v>3382</x:v>
      </x:c>
      <x:c r="F150" s="73" t="s">
        <x:v>3829</x:v>
      </x:c>
      <x:c r="G150" s="73" t="n">
        <x:v>18</x:v>
      </x:c>
      <x:c r="H150" s="73" t="n">
        <x:v>35</x:v>
      </x:c>
      <x:c r="I150" s="73" t="s">
        <x:v>3400</x:v>
      </x:c>
      <x:c r="J150" s="73" t="n">
        <x:v>2017</x:v>
      </x:c>
      <x:c r="K150" s="73" t="n">
        <x:v>11</x:v>
      </x:c>
      <x:c r="L150" s="73" t="n">
        <x:v>1</x:v>
      </x:c>
      <x:c r="M150" s="73" t="n">
        <x:v>15</x:v>
      </x:c>
      <x:c r="N150" s="73" t="s">
        <x:v>3260</x:v>
      </x:c>
    </x:row>
    <x:row r="151" ht="15" hidden="0">
      <x:c r="A151" s="73" t="s">
        <x:v>3830</x:v>
      </x:c>
      <x:c r="B151" s="73" t="s">
        <x:v>3272</x:v>
      </x:c>
      <x:c r="C151" s="73" t="s">
        <x:v>694</x:v>
      </x:c>
      <x:c r="D151" s="73" t="s">
        <x:v>3831</x:v>
      </x:c>
      <x:c r="E151" s="73" t="s">
        <x:v>3390</x:v>
      </x:c>
      <x:c r="F151" s="73" t="s">
        <x:v>3832</x:v>
      </x:c>
      <x:c r="G151" s="73" t="n">
        <x:v>25</x:v>
      </x:c>
      <x:c r="H151" s="73" t="n">
        <x:v>50</x:v>
      </x:c>
      <x:c r="I151" s="73" t="s">
        <x:v>3396</x:v>
      </x:c>
      <x:c r="J151" s="73" t="n">
        <x:v>2019</x:v>
      </x:c>
      <x:c r="K151" s="73" t="n">
        <x:v>6</x:v>
      </x:c>
      <x:c r="L151" s="73" t="n">
        <x:v>15</x:v>
      </x:c>
      <x:c r="M151" s="73" t="n">
        <x:v>10</x:v>
      </x:c>
      <x:c r="N151" s="73" t="s">
        <x:v>3260</x:v>
      </x:c>
    </x:row>
    <x:row r="152" ht="15" hidden="0">
      <x:c r="A152" s="73" t="s">
        <x:v>3833</x:v>
      </x:c>
      <x:c r="B152" s="73" t="s">
        <x:v>3274</x:v>
      </x:c>
      <x:c r="C152" s="73" t="s">
        <x:v>698</x:v>
      </x:c>
      <x:c r="D152" s="73" t="s">
        <x:v>3834</x:v>
      </x:c>
      <x:c r="E152" s="73" t="s">
        <x:v>3394</x:v>
      </x:c>
      <x:c r="F152" s="73" t="s">
        <x:v>3835</x:v>
      </x:c>
      <x:c r="G152" s="73" t="n">
        <x:v>15</x:v>
      </x:c>
      <x:c r="H152" s="73" t="n">
        <x:v>30</x:v>
      </x:c>
      <x:c r="I152" s="73" t="s">
        <x:v>72</x:v>
      </x:c>
      <x:c r="J152" s="73" t="n">
        <x:v>2022</x:v>
      </x:c>
      <x:c r="K152" s="73" t="n">
        <x:v>4</x:v>
      </x:c>
      <x:c r="L152" s="73" t="n">
        <x:v>3</x:v>
      </x:c>
      <x:c r="M152" s="73" t="n">
        <x:v>11</x:v>
      </x:c>
      <x:c r="N152" s="73" t="s">
        <x:v>3260</x:v>
      </x:c>
    </x:row>
    <x:row r="153" ht="15" hidden="0">
      <x:c r="A153" s="73" t="s">
        <x:v>3836</x:v>
      </x:c>
      <x:c r="B153" s="73" t="s">
        <x:v>3263</x:v>
      </x:c>
      <x:c r="C153" s="73" t="s">
        <x:v>702</x:v>
      </x:c>
      <x:c r="D153" s="73" t="s">
        <x:v>3837</x:v>
      </x:c>
      <x:c r="E153" s="73" t="s">
        <x:v>3382</x:v>
      </x:c>
      <x:c r="F153" s="73" t="s">
        <x:v>3838</x:v>
      </x:c>
      <x:c r="G153" s="73" t="n">
        <x:v>30</x:v>
      </x:c>
      <x:c r="H153" s="73" t="n">
        <x:v>60</x:v>
      </x:c>
      <x:c r="I153" s="73" t="s">
        <x:v>3404</x:v>
      </x:c>
      <x:c r="J153" s="73" t="n">
        <x:v>2010</x:v>
      </x:c>
      <x:c r="K153" s="73" t="n">
        <x:v>11</x:v>
      </x:c>
      <x:c r="L153" s="73" t="n">
        <x:v>12</x:v>
      </x:c>
      <x:c r="M153" s="73" t="n">
        <x:v>20</x:v>
      </x:c>
      <x:c r="N153" s="73" t="s">
        <x:v>3260</x:v>
      </x:c>
    </x:row>
    <x:row r="154" ht="15" hidden="0">
      <x:c r="A154" s="73" t="s">
        <x:v>3839</x:v>
      </x:c>
      <x:c r="B154" s="73" t="s">
        <x:v>3266</x:v>
      </x:c>
      <x:c r="C154" s="73" t="s">
        <x:v>706</x:v>
      </x:c>
      <x:c r="D154" s="73" t="s">
        <x:v>3840</x:v>
      </x:c>
      <x:c r="E154" s="73" t="s">
        <x:v>3390</x:v>
      </x:c>
      <x:c r="F154" s="73" t="s">
        <x:v>3841</x:v>
      </x:c>
      <x:c r="G154" s="73" t="n">
        <x:v>22</x:v>
      </x:c>
      <x:c r="H154" s="73" t="n">
        <x:v>45</x:v>
      </x:c>
      <x:c r="I154" s="73" t="s">
        <x:v>3387</x:v>
      </x:c>
      <x:c r="J154" s="73" t="n">
        <x:v>2011</x:v>
      </x:c>
      <x:c r="K154" s="73" t="n">
        <x:v>7</x:v>
      </x:c>
      <x:c r="L154" s="73" t="n">
        <x:v>22</x:v>
      </x:c>
      <x:c r="M154" s="73" t="n">
        <x:v>18</x:v>
      </x:c>
      <x:c r="N154" s="73" t="s">
        <x:v>3260</x:v>
      </x:c>
    </x:row>
    <x:row r="155" ht="15" hidden="0">
      <x:c r="A155" s="73" t="s">
        <x:v>3842</x:v>
      </x:c>
      <x:c r="B155" s="73" t="s">
        <x:v>3264</x:v>
      </x:c>
      <x:c r="C155" s="73" t="s">
        <x:v>710</x:v>
      </x:c>
      <x:c r="D155" s="73" t="s">
        <x:v>3843</x:v>
      </x:c>
      <x:c r="E155" s="73" t="s">
        <x:v>3394</x:v>
      </x:c>
      <x:c r="F155" s="73" t="s">
        <x:v>3844</x:v>
      </x:c>
      <x:c r="G155" s="73" t="n">
        <x:v>15</x:v>
      </x:c>
      <x:c r="H155" s="73" t="n">
        <x:v>30</x:v>
      </x:c>
      <x:c r="I155" s="73" t="s">
        <x:v>3400</x:v>
      </x:c>
      <x:c r="J155" s="73" t="n">
        <x:v>2012</x:v>
      </x:c>
      <x:c r="K155" s="73" t="n">
        <x:v>3</x:v>
      </x:c>
      <x:c r="L155" s="73" t="n">
        <x:v>30</x:v>
      </x:c>
      <x:c r="M155" s="73" t="n">
        <x:v>11</x:v>
      </x:c>
      <x:c r="N155" s="73" t="s">
        <x:v>3260</x:v>
      </x:c>
    </x:row>
    <x:row r="156" ht="15" hidden="0">
      <x:c r="A156" s="73" t="s">
        <x:v>3845</x:v>
      </x:c>
      <x:c r="B156" s="73" t="s">
        <x:v>3280</x:v>
      </x:c>
      <x:c r="C156" s="73" t="s">
        <x:v>714</x:v>
      </x:c>
      <x:c r="D156" s="73" t="s">
        <x:v>3846</x:v>
      </x:c>
      <x:c r="E156" s="73" t="s">
        <x:v>3382</x:v>
      </x:c>
      <x:c r="F156" s="73" t="s">
        <x:v>3847</x:v>
      </x:c>
      <x:c r="G156" s="73" t="n">
        <x:v>18</x:v>
      </x:c>
      <x:c r="H156" s="73" t="n">
        <x:v>35</x:v>
      </x:c>
      <x:c r="I156" s="73" t="s">
        <x:v>3396</x:v>
      </x:c>
      <x:c r="J156" s="73" t="n">
        <x:v>2013</x:v>
      </x:c>
      <x:c r="K156" s="73" t="n">
        <x:v>10</x:v>
      </x:c>
      <x:c r="L156" s="73" t="n">
        <x:v>5</x:v>
      </x:c>
      <x:c r="M156" s="73" t="n">
        <x:v>16</x:v>
      </x:c>
      <x:c r="N156" s="73" t="s">
        <x:v>3260</x:v>
      </x:c>
    </x:row>
    <x:row r="157" ht="15" hidden="0">
      <x:c r="A157" s="73" t="s">
        <x:v>3848</x:v>
      </x:c>
      <x:c r="B157" s="73" t="s">
        <x:v>3278</x:v>
      </x:c>
      <x:c r="C157" s="73" t="s">
        <x:v>718</x:v>
      </x:c>
      <x:c r="D157" s="73" t="s">
        <x:v>3849</x:v>
      </x:c>
      <x:c r="E157" s="73" t="s">
        <x:v>3390</x:v>
      </x:c>
      <x:c r="F157" s="73" t="s">
        <x:v>3850</x:v>
      </x:c>
      <x:c r="G157" s="73" t="n">
        <x:v>25</x:v>
      </x:c>
      <x:c r="H157" s="73" t="n">
        <x:v>50</x:v>
      </x:c>
      <x:c r="I157" s="73" t="s">
        <x:v>3404</x:v>
      </x:c>
      <x:c r="J157" s="73" t="n">
        <x:v>2014</x:v>
      </x:c>
      <x:c r="K157" s="73" t="n">
        <x:v>7</x:v>
      </x:c>
      <x:c r="L157" s="73" t="n">
        <x:v>10</x:v>
      </x:c>
      <x:c r="M157" s="73" t="n">
        <x:v>13</x:v>
      </x:c>
      <x:c r="N157" s="73" t="s">
        <x:v>3260</x:v>
      </x:c>
    </x:row>
    <x:row r="158" ht="15" hidden="0">
      <x:c r="A158" s="73" t="s">
        <x:v>3851</x:v>
      </x:c>
      <x:c r="B158" s="73" t="s">
        <x:v>3285</x:v>
      </x:c>
      <x:c r="C158" s="73" t="s">
        <x:v>723</x:v>
      </x:c>
      <x:c r="D158" s="73" t="s">
        <x:v>3852</x:v>
      </x:c>
      <x:c r="E158" s="73" t="s">
        <x:v>3394</x:v>
      </x:c>
      <x:c r="F158" s="73" t="s">
        <x:v>3853</x:v>
      </x:c>
      <x:c r="G158" s="73" t="n">
        <x:v>18</x:v>
      </x:c>
      <x:c r="H158" s="73" t="n">
        <x:v>35</x:v>
      </x:c>
      <x:c r="I158" s="73" t="s">
        <x:v>72</x:v>
      </x:c>
      <x:c r="J158" s="73" t="n">
        <x:v>2015</x:v>
      </x:c>
      <x:c r="K158" s="73" t="n">
        <x:v>12</x:v>
      </x:c>
      <x:c r="L158" s="73" t="n">
        <x:v>18</x:v>
      </x:c>
      <x:c r="M158" s="73" t="n">
        <x:v>14</x:v>
      </x:c>
      <x:c r="N158" s="73" t="s">
        <x:v>3260</x:v>
      </x:c>
    </x:row>
    <x:row r="159" ht="15" hidden="0">
      <x:c r="A159" s="73" t="s">
        <x:v>3854</x:v>
      </x:c>
      <x:c r="B159" s="73" t="s">
        <x:v>3292</x:v>
      </x:c>
      <x:c r="C159" s="73" t="s">
        <x:v>615</x:v>
      </x:c>
      <x:c r="D159" s="73" t="s">
        <x:v>3855</x:v>
      </x:c>
      <x:c r="E159" s="73" t="s">
        <x:v>3382</x:v>
      </x:c>
      <x:c r="F159" s="73" t="s">
        <x:v>3856</x:v>
      </x:c>
      <x:c r="G159" s="73" t="n">
        <x:v>25</x:v>
      </x:c>
      <x:c r="H159" s="73" t="n">
        <x:v>50</x:v>
      </x:c>
      <x:c r="I159" s="73" t="s">
        <x:v>3387</x:v>
      </x:c>
      <x:c r="J159" s="73" t="n">
        <x:v>2016</x:v>
      </x:c>
      <x:c r="K159" s="73" t="n">
        <x:v>2</x:v>
      </x:c>
      <x:c r="L159" s="73" t="n">
        <x:v>10</x:v>
      </x:c>
      <x:c r="M159" s="73" t="n">
        <x:v>19</x:v>
      </x:c>
      <x:c r="N159" s="73" t="s">
        <x:v>3260</x:v>
      </x:c>
    </x:row>
    <x:row r="160" ht="15" hidden="0">
      <x:c r="A160" s="73" t="s">
        <x:v>3857</x:v>
      </x:c>
      <x:c r="B160" s="73" t="s">
        <x:v>3283</x:v>
      </x:c>
      <x:c r="C160" s="73" t="s">
        <x:v>730</x:v>
      </x:c>
      <x:c r="D160" s="73" t="s">
        <x:v>3858</x:v>
      </x:c>
      <x:c r="E160" s="73" t="s">
        <x:v>3390</x:v>
      </x:c>
      <x:c r="F160" s="73" t="s">
        <x:v>3859</x:v>
      </x:c>
      <x:c r="G160" s="73" t="n">
        <x:v>20</x:v>
      </x:c>
      <x:c r="H160" s="73" t="n">
        <x:v>40</x:v>
      </x:c>
      <x:c r="I160" s="73" t="s">
        <x:v>3396</x:v>
      </x:c>
      <x:c r="J160" s="73" t="n">
        <x:v>2017</x:v>
      </x:c>
      <x:c r="K160" s="73" t="n">
        <x:v>9</x:v>
      </x:c>
      <x:c r="L160" s="73" t="n">
        <x:v>25</x:v>
      </x:c>
      <x:c r="M160" s="73" t="n">
        <x:v>11</x:v>
      </x:c>
      <x:c r="N160" s="73" t="s">
        <x:v>3260</x:v>
      </x:c>
    </x:row>
    <x:row r="161" ht="15" hidden="0">
      <x:c r="A161" s="73" t="s">
        <x:v>3860</x:v>
      </x:c>
      <x:c r="B161" s="73" t="s">
        <x:v>3273</x:v>
      </x:c>
      <x:c r="C161" s="73" t="s">
        <x:v>734</x:v>
      </x:c>
      <x:c r="D161" s="73" t="s">
        <x:v>3861</x:v>
      </x:c>
      <x:c r="E161" s="73" t="s">
        <x:v>3394</x:v>
      </x:c>
      <x:c r="F161" s="73" t="s">
        <x:v>3862</x:v>
      </x:c>
      <x:c r="G161" s="73" t="n">
        <x:v>15</x:v>
      </x:c>
      <x:c r="H161" s="73" t="n">
        <x:v>30</x:v>
      </x:c>
      <x:c r="I161" s="73" t="s">
        <x:v>3400</x:v>
      </x:c>
      <x:c r="J161" s="73" t="n">
        <x:v>2018</x:v>
      </x:c>
      <x:c r="K161" s="73" t="n">
        <x:v>4</x:v>
      </x:c>
      <x:c r="L161" s="73" t="n">
        <x:v>15</x:v>
      </x:c>
      <x:c r="M161" s="73" t="n">
        <x:v>16</x:v>
      </x:c>
      <x:c r="N161" s="73" t="s">
        <x:v>3260</x:v>
      </x:c>
    </x:row>
    <x:row r="162" ht="15" hidden="0">
      <x:c r="A162" s="73" t="s">
        <x:v>3863</x:v>
      </x:c>
      <x:c r="B162" s="73" t="s">
        <x:v>3288</x:v>
      </x:c>
      <x:c r="C162" s="73" t="s">
        <x:v>738</x:v>
      </x:c>
      <x:c r="D162" s="73" t="s">
        <x:v>3864</x:v>
      </x:c>
      <x:c r="E162" s="73" t="s">
        <x:v>3382</x:v>
      </x:c>
      <x:c r="F162" s="73" t="s">
        <x:v>3865</x:v>
      </x:c>
      <x:c r="G162" s="73" t="n">
        <x:v>22</x:v>
      </x:c>
      <x:c r="H162" s="73" t="n">
        <x:v>45</x:v>
      </x:c>
      <x:c r="I162" s="73" t="s">
        <x:v>3404</x:v>
      </x:c>
      <x:c r="J162" s="73" t="n">
        <x:v>2019</x:v>
      </x:c>
      <x:c r="K162" s="73" t="n">
        <x:v>11</x:v>
      </x:c>
      <x:c r="L162" s="73" t="n">
        <x:v>28</x:v>
      </x:c>
      <x:c r="M162" s="73" t="n">
        <x:v>18</x:v>
      </x:c>
      <x:c r="N162" s="73" t="s">
        <x:v>3260</x:v>
      </x:c>
    </x:row>
    <x:row r="163" ht="15" hidden="0">
      <x:c r="A163" s="73" t="s">
        <x:v>3866</x:v>
      </x:c>
      <x:c r="B163" s="73" t="s">
        <x:v>3291</x:v>
      </x:c>
      <x:c r="C163" s="73" t="s">
        <x:v>742</x:v>
      </x:c>
      <x:c r="D163" s="73" t="s">
        <x:v>3571</x:v>
      </x:c>
      <x:c r="E163" s="73" t="s">
        <x:v>3390</x:v>
      </x:c>
      <x:c r="F163" s="73" t="s">
        <x:v>3867</x:v>
      </x:c>
      <x:c r="G163" s="73" t="n">
        <x:v>18</x:v>
      </x:c>
      <x:c r="H163" s="73" t="n">
        <x:v>35</x:v>
      </x:c>
      <x:c r="I163" s="73" t="s">
        <x:v>72</x:v>
      </x:c>
      <x:c r="J163" s="73" t="n">
        <x:v>2020</x:v>
      </x:c>
      <x:c r="K163" s="73" t="n">
        <x:v>5</x:v>
      </x:c>
      <x:c r="L163" s="73" t="n">
        <x:v>11</x:v>
      </x:c>
      <x:c r="M163" s="73" t="n">
        <x:v>15</x:v>
      </x:c>
      <x:c r="N163" s="73" t="s">
        <x:v>3260</x:v>
      </x:c>
    </x:row>
    <x:row r="164" ht="15" hidden="0">
      <x:c r="A164" s="73" t="s">
        <x:v>3868</x:v>
      </x:c>
      <x:c r="B164" s="73" t="s">
        <x:v>3272</x:v>
      </x:c>
      <x:c r="C164" s="73" t="s">
        <x:v>746</x:v>
      </x:c>
      <x:c r="D164" s="73" t="s">
        <x:v>3869</x:v>
      </x:c>
      <x:c r="E164" s="73" t="s">
        <x:v>3394</x:v>
      </x:c>
      <x:c r="F164" s="73" t="s">
        <x:v>3870</x:v>
      </x:c>
      <x:c r="G164" s="73" t="n">
        <x:v>25</x:v>
      </x:c>
      <x:c r="H164" s="73" t="n">
        <x:v>50</x:v>
      </x:c>
      <x:c r="I164" s="73" t="s">
        <x:v>3387</x:v>
      </x:c>
      <x:c r="J164" s="73" t="n">
        <x:v>2021</x:v>
      </x:c>
      <x:c r="K164" s="73" t="n">
        <x:v>2</x:v>
      </x:c>
      <x:c r="L164" s="73" t="n">
        <x:v>5</x:v>
      </x:c>
      <x:c r="M164" s="73" t="n">
        <x:v>9</x:v>
      </x:c>
      <x:c r="N164" s="73" t="s">
        <x:v>3260</x:v>
      </x:c>
    </x:row>
    <x:row r="165" ht="15" hidden="0">
      <x:c r="A165" s="73" t="s">
        <x:v>3871</x:v>
      </x:c>
      <x:c r="B165" s="73" t="s">
        <x:v>3188</x:v>
      </x:c>
      <x:c r="C165" s="73" t="s">
        <x:v>751</x:v>
      </x:c>
      <x:c r="D165" s="73" t="s">
        <x:v>3872</x:v>
      </x:c>
      <x:c r="E165" s="73" t="s">
        <x:v>3382</x:v>
      </x:c>
      <x:c r="F165" s="73" t="s">
        <x:v>3873</x:v>
      </x:c>
      <x:c r="G165" s="73" t="n">
        <x:v>5</x:v>
      </x:c>
      <x:c r="H165" s="73" t="n">
        <x:v>10</x:v>
      </x:c>
      <x:c r="I165" s="73" t="s">
        <x:v>72</x:v>
      </x:c>
      <x:c r="J165" s="73" t="n">
        <x:v>2021</x:v>
      </x:c>
      <x:c r="K165" s="73" t="n">
        <x:v>3</x:v>
      </x:c>
      <x:c r="L165" s="73" t="n">
        <x:v>10</x:v>
      </x:c>
      <x:c r="M165" s="73" t="n">
        <x:v>8</x:v>
      </x:c>
      <x:c r="N165" s="73" t="s">
        <x:v>3189</x:v>
      </x:c>
    </x:row>
    <x:row r="166" ht="15" hidden="0">
      <x:c r="A166" s="73" t="s">
        <x:v>3874</x:v>
      </x:c>
      <x:c r="B166" s="73" t="s">
        <x:v>3190</x:v>
      </x:c>
      <x:c r="C166" s="73" t="s">
        <x:v>756</x:v>
      </x:c>
      <x:c r="D166" s="73" t="s">
        <x:v>3875</x:v>
      </x:c>
      <x:c r="E166" s="73" t="s">
        <x:v>3390</x:v>
      </x:c>
      <x:c r="F166" s="73" t="s">
        <x:v>3876</x:v>
      </x:c>
      <x:c r="G166" s="73" t="n">
        <x:v>8</x:v>
      </x:c>
      <x:c r="H166" s="73" t="n">
        <x:v>15</x:v>
      </x:c>
      <x:c r="I166" s="73" t="s">
        <x:v>3387</x:v>
      </x:c>
      <x:c r="J166" s="73" t="n">
        <x:v>2022</x:v>
      </x:c>
      <x:c r="K166" s="73" t="n">
        <x:v>7</x:v>
      </x:c>
      <x:c r="L166" s="73" t="n">
        <x:v>5</x:v>
      </x:c>
      <x:c r="M166" s="73" t="n">
        <x:v>15</x:v>
      </x:c>
      <x:c r="N166" s="73" t="s">
        <x:v>3189</x:v>
      </x:c>
    </x:row>
    <x:row r="167" ht="15" hidden="0">
      <x:c r="A167" s="73" t="s">
        <x:v>3877</x:v>
      </x:c>
      <x:c r="B167" s="73" t="s">
        <x:v>3191</x:v>
      </x:c>
      <x:c r="C167" s="73" t="s">
        <x:v>762</x:v>
      </x:c>
      <x:c r="D167" s="73" t="s">
        <x:v>3878</x:v>
      </x:c>
      <x:c r="E167" s="73" t="s">
        <x:v>3394</x:v>
      </x:c>
      <x:c r="F167" s="73" t="s">
        <x:v>3879</x:v>
      </x:c>
      <x:c r="G167" s="73" t="n">
        <x:v>10</x:v>
      </x:c>
      <x:c r="H167" s="73" t="n">
        <x:v>20</x:v>
      </x:c>
      <x:c r="I167" s="73" t="s">
        <x:v>3396</x:v>
      </x:c>
      <x:c r="J167" s="73" t="n">
        <x:v>2019</x:v>
      </x:c>
      <x:c r="K167" s="73" t="n">
        <x:v>11</x:v>
      </x:c>
      <x:c r="L167" s="73" t="n">
        <x:v>18</x:v>
      </x:c>
      <x:c r="M167" s="73" t="n">
        <x:v>21</x:v>
      </x:c>
      <x:c r="N167" s="73" t="s">
        <x:v>3189</x:v>
      </x:c>
    </x:row>
    <x:row r="168" ht="15" hidden="0">
      <x:c r="A168" s="73" t="s">
        <x:v>3880</x:v>
      </x:c>
      <x:c r="B168" s="73" t="s">
        <x:v>3215</x:v>
      </x:c>
      <x:c r="C168" s="73" t="s">
        <x:v>767</x:v>
      </x:c>
      <x:c r="D168" s="73" t="s">
        <x:v>3881</x:v>
      </x:c>
      <x:c r="E168" s="73" t="s">
        <x:v>3382</x:v>
      </x:c>
      <x:c r="F168" s="73" t="s">
        <x:v>3882</x:v>
      </x:c>
      <x:c r="G168" s="73" t="n">
        <x:v>12</x:v>
      </x:c>
      <x:c r="H168" s="73" t="n">
        <x:v>25</x:v>
      </x:c>
      <x:c r="I168" s="73" t="s">
        <x:v>3404</x:v>
      </x:c>
      <x:c r="J168" s="73" t="n">
        <x:v>2020</x:v>
      </x:c>
      <x:c r="K168" s="73" t="n">
        <x:v>8</x:v>
      </x:c>
      <x:c r="L168" s="73" t="n">
        <x:v>12</x:v>
      </x:c>
      <x:c r="M168" s="73" t="n">
        <x:v>11</x:v>
      </x:c>
      <x:c r="N168" s="73" t="s">
        <x:v>3189</x:v>
      </x:c>
    </x:row>
    <x:row r="169" ht="15" hidden="0">
      <x:c r="A169" s="73" t="s">
        <x:v>3883</x:v>
      </x:c>
      <x:c r="B169" s="73" t="s">
        <x:v>3216</x:v>
      </x:c>
      <x:c r="C169" s="73" t="s">
        <x:v>773</x:v>
      </x:c>
      <x:c r="D169" s="73" t="s">
        <x:v>3884</x:v>
      </x:c>
      <x:c r="E169" s="73" t="s">
        <x:v>3390</x:v>
      </x:c>
      <x:c r="F169" s="73" t="s">
        <x:v>3885</x:v>
      </x:c>
      <x:c r="G169" s="73" t="n">
        <x:v>7</x:v>
      </x:c>
      <x:c r="H169" s="73" t="n">
        <x:v>15</x:v>
      </x:c>
      <x:c r="I169" s="73" t="s">
        <x:v>3400</x:v>
      </x:c>
      <x:c r="J169" s="73" t="n">
        <x:v>2018</x:v>
      </x:c>
      <x:c r="K169" s="73" t="n">
        <x:v>5</x:v>
      </x:c>
      <x:c r="L169" s="73" t="n">
        <x:v>22</x:v>
      </x:c>
      <x:c r="M169" s="73" t="n">
        <x:v>14</x:v>
      </x:c>
      <x:c r="N169" s="73" t="s">
        <x:v>3189</x:v>
      </x:c>
    </x:row>
    <x:row r="170" ht="15" hidden="0">
      <x:c r="A170" s="73" t="s">
        <x:v>3886</x:v>
      </x:c>
      <x:c r="B170" s="73" t="s">
        <x:v>3196</x:v>
      </x:c>
      <x:c r="C170" s="73" t="s">
        <x:v>779</x:v>
      </x:c>
      <x:c r="D170" s="73" t="s">
        <x:v>3887</x:v>
      </x:c>
      <x:c r="E170" s="73" t="s">
        <x:v>3394</x:v>
      </x:c>
      <x:c r="F170" s="73" t="s">
        <x:v>3888</x:v>
      </x:c>
      <x:c r="G170" s="73" t="n">
        <x:v>10</x:v>
      </x:c>
      <x:c r="H170" s="73" t="n">
        <x:v>20</x:v>
      </x:c>
      <x:c r="I170" s="73" t="s">
        <x:v>72</x:v>
      </x:c>
      <x:c r="J170" s="73" t="n">
        <x:v>2017</x:v>
      </x:c>
      <x:c r="K170" s="73" t="n">
        <x:v>1</x:v>
      </x:c>
      <x:c r="L170" s="73" t="n">
        <x:v>30</x:v>
      </x:c>
      <x:c r="M170" s="73" t="n">
        <x:v>16</x:v>
      </x:c>
      <x:c r="N170" s="73" t="s">
        <x:v>3189</x:v>
      </x:c>
    </x:row>
    <x:row r="171" ht="15" hidden="0">
      <x:c r="A171" s="73" t="s">
        <x:v>3889</x:v>
      </x:c>
      <x:c r="B171" s="73" t="s">
        <x:v>3205</x:v>
      </x:c>
      <x:c r="C171" s="73" t="s">
        <x:v>784</x:v>
      </x:c>
      <x:c r="D171" s="73" t="s">
        <x:v>3890</x:v>
      </x:c>
      <x:c r="E171" s="73" t="s">
        <x:v>3382</x:v>
      </x:c>
      <x:c r="F171" s="73" t="s">
        <x:v>3891</x:v>
      </x:c>
      <x:c r="G171" s="73" t="n">
        <x:v>8</x:v>
      </x:c>
      <x:c r="H171" s="73" t="n">
        <x:v>15</x:v>
      </x:c>
      <x:c r="I171" s="73" t="s">
        <x:v>3387</x:v>
      </x:c>
      <x:c r="J171" s="73" t="n">
        <x:v>2016</x:v>
      </x:c>
      <x:c r="K171" s="73" t="n">
        <x:v>9</x:v>
      </x:c>
      <x:c r="L171" s="73" t="n">
        <x:v>28</x:v>
      </x:c>
      <x:c r="M171" s="73" t="n">
        <x:v>19</x:v>
      </x:c>
      <x:c r="N171" s="73" t="s">
        <x:v>3189</x:v>
      </x:c>
    </x:row>
    <x:row r="172" ht="15" hidden="0">
      <x:c r="A172" s="73" t="s">
        <x:v>3892</x:v>
      </x:c>
      <x:c r="B172" s="73" t="s">
        <x:v>3219</x:v>
      </x:c>
      <x:c r="C172" s="73" t="s">
        <x:v>790</x:v>
      </x:c>
      <x:c r="D172" s="73" t="s">
        <x:v>3893</x:v>
      </x:c>
      <x:c r="E172" s="73" t="s">
        <x:v>3390</x:v>
      </x:c>
      <x:c r="F172" s="73" t="s">
        <x:v>3894</x:v>
      </x:c>
      <x:c r="G172" s="73" t="n">
        <x:v>12</x:v>
      </x:c>
      <x:c r="H172" s="73" t="n">
        <x:v>25</x:v>
      </x:c>
      <x:c r="I172" s="73" t="s">
        <x:v>3396</x:v>
      </x:c>
      <x:c r="J172" s="73" t="n">
        <x:v>2019</x:v>
      </x:c>
      <x:c r="K172" s="73" t="n">
        <x:v>4</x:v>
      </x:c>
      <x:c r="L172" s="73" t="n">
        <x:v>15</x:v>
      </x:c>
      <x:c r="M172" s="73" t="n">
        <x:v>9</x:v>
      </x:c>
      <x:c r="N172" s="73" t="s">
        <x:v>3189</x:v>
      </x:c>
    </x:row>
    <x:row r="173" ht="15" hidden="0">
      <x:c r="A173" s="73" t="s">
        <x:v>3895</x:v>
      </x:c>
      <x:c r="B173" s="73" t="s">
        <x:v>3226</x:v>
      </x:c>
      <x:c r="C173" s="73" t="s">
        <x:v>795</x:v>
      </x:c>
      <x:c r="D173" s="73" t="s">
        <x:v>3896</x:v>
      </x:c>
      <x:c r="E173" s="73" t="s">
        <x:v>3394</x:v>
      </x:c>
      <x:c r="F173" s="73" t="s">
        <x:v>3897</x:v>
      </x:c>
      <x:c r="G173" s="73" t="n">
        <x:v>15</x:v>
      </x:c>
      <x:c r="H173" s="73" t="n">
        <x:v>30</x:v>
      </x:c>
      <x:c r="I173" s="73" t="s">
        <x:v>3404</x:v>
      </x:c>
      <x:c r="J173" s="73" t="n">
        <x:v>2021</x:v>
      </x:c>
      <x:c r="K173" s="73" t="n">
        <x:v>12</x:v>
      </x:c>
      <x:c r="L173" s="73" t="n">
        <x:v>3</x:v>
      </x:c>
      <x:c r="M173" s="73" t="n">
        <x:v>18</x:v>
      </x:c>
      <x:c r="N173" s="73" t="s">
        <x:v>3189</x:v>
      </x:c>
    </x:row>
    <x:row r="174" ht="15" hidden="0">
      <x:c r="A174" s="73" t="s">
        <x:v>3898</x:v>
      </x:c>
      <x:c r="B174" s="73" t="s">
        <x:v>3225</x:v>
      </x:c>
      <x:c r="C174" s="73" t="s">
        <x:v>800</x:v>
      </x:c>
      <x:c r="D174" s="73" t="s">
        <x:v>3899</x:v>
      </x:c>
      <x:c r="E174" s="73" t="s">
        <x:v>3382</x:v>
      </x:c>
      <x:c r="F174" s="73" t="s">
        <x:v>3900</x:v>
      </x:c>
      <x:c r="G174" s="73" t="n">
        <x:v>8</x:v>
      </x:c>
      <x:c r="H174" s="73" t="n">
        <x:v>15</x:v>
      </x:c>
      <x:c r="I174" s="73" t="s">
        <x:v>3400</x:v>
      </x:c>
      <x:c r="J174" s="73" t="n">
        <x:v>2020</x:v>
      </x:c>
      <x:c r="K174" s="73" t="n">
        <x:v>6</x:v>
      </x:c>
      <x:c r="L174" s="73" t="n">
        <x:v>20</x:v>
      </x:c>
      <x:c r="M174" s="73" t="n">
        <x:v>14</x:v>
      </x:c>
      <x:c r="N174" s="73" t="s">
        <x:v>3189</x:v>
      </x:c>
    </x:row>
    <x:row r="175" ht="15" hidden="0">
      <x:c r="A175" s="73" t="s">
        <x:v>3901</x:v>
      </x:c>
      <x:c r="B175" s="73" t="s">
        <x:v>3223</x:v>
      </x:c>
      <x:c r="C175" s="73" t="s">
        <x:v>805</x:v>
      </x:c>
      <x:c r="D175" s="73" t="s">
        <x:v>3902</x:v>
      </x:c>
      <x:c r="E175" s="73" t="s">
        <x:v>3390</x:v>
      </x:c>
      <x:c r="F175" s="73" t="s">
        <x:v>3903</x:v>
      </x:c>
      <x:c r="G175" s="73" t="n">
        <x:v>10</x:v>
      </x:c>
      <x:c r="H175" s="73" t="n">
        <x:v>20</x:v>
      </x:c>
      <x:c r="I175" s="73" t="s">
        <x:v>3387</x:v>
      </x:c>
      <x:c r="J175" s="73" t="n">
        <x:v>2018</x:v>
      </x:c>
      <x:c r="K175" s="73" t="n">
        <x:v>11</x:v>
      </x:c>
      <x:c r="L175" s="73" t="n">
        <x:v>7</x:v>
      </x:c>
      <x:c r="M175" s="73" t="n">
        <x:v>11</x:v>
      </x:c>
      <x:c r="N175" s="73" t="s">
        <x:v>3189</x:v>
      </x:c>
    </x:row>
    <x:row r="176" ht="15" hidden="0">
      <x:c r="A176" s="73" t="s">
        <x:v>3904</x:v>
      </x:c>
      <x:c r="B176" s="73" t="s">
        <x:v>3200</x:v>
      </x:c>
      <x:c r="C176" s="73" t="s">
        <x:v>810</x:v>
      </x:c>
      <x:c r="D176" s="73" t="s">
        <x:v>3905</x:v>
      </x:c>
      <x:c r="E176" s="73" t="s">
        <x:v>3394</x:v>
      </x:c>
      <x:c r="F176" s="73" t="s">
        <x:v>3906</x:v>
      </x:c>
      <x:c r="G176" s="73" t="n">
        <x:v>12</x:v>
      </x:c>
      <x:c r="H176" s="73" t="n">
        <x:v>25</x:v>
      </x:c>
      <x:c r="I176" s="73" t="s">
        <x:v>3396</x:v>
      </x:c>
      <x:c r="J176" s="73" t="n">
        <x:v>2017</x:v>
      </x:c>
      <x:c r="K176" s="73" t="n">
        <x:v>8</x:v>
      </x:c>
      <x:c r="L176" s="73" t="n">
        <x:v>25</x:v>
      </x:c>
      <x:c r="M176" s="73" t="n">
        <x:v>16</x:v>
      </x:c>
      <x:c r="N176" s="73" t="s">
        <x:v>3189</x:v>
      </x:c>
    </x:row>
    <x:row r="177" ht="15" hidden="0">
      <x:c r="A177" s="73" t="s">
        <x:v>3907</x:v>
      </x:c>
      <x:c r="B177" s="73" t="s">
        <x:v>3203</x:v>
      </x:c>
      <x:c r="C177" s="73" t="s">
        <x:v>815</x:v>
      </x:c>
      <x:c r="D177" s="73" t="s">
        <x:v>3908</x:v>
      </x:c>
      <x:c r="E177" s="73" t="s">
        <x:v>3382</x:v>
      </x:c>
      <x:c r="F177" s="73" t="s">
        <x:v>3909</x:v>
      </x:c>
      <x:c r="G177" s="73" t="n">
        <x:v>7</x:v>
      </x:c>
      <x:c r="H177" s="73" t="n">
        <x:v>15</x:v>
      </x:c>
      <x:c r="I177" s="73" t="s">
        <x:v>3404</x:v>
      </x:c>
      <x:c r="J177" s="73" t="n">
        <x:v>2019</x:v>
      </x:c>
      <x:c r="K177" s="73" t="n">
        <x:v>2</x:v>
      </x:c>
      <x:c r="L177" s="73" t="n">
        <x:v>11</x:v>
      </x:c>
      <x:c r="M177" s="73" t="n">
        <x:v>9</x:v>
      </x:c>
      <x:c r="N177" s="73" t="s">
        <x:v>3189</x:v>
      </x:c>
    </x:row>
    <x:row r="178" ht="15" hidden="0">
      <x:c r="A178" s="73" t="s">
        <x:v>3910</x:v>
      </x:c>
      <x:c r="B178" s="73" t="s">
        <x:v>3188</x:v>
      </x:c>
      <x:c r="C178" s="73" t="s">
        <x:v>820</x:v>
      </x:c>
      <x:c r="D178" s="73" t="s">
        <x:v>3911</x:v>
      </x:c>
      <x:c r="E178" s="73" t="s">
        <x:v>3390</x:v>
      </x:c>
      <x:c r="F178" s="73" t="s">
        <x:v>3912</x:v>
      </x:c>
      <x:c r="G178" s="73" t="n">
        <x:v>10</x:v>
      </x:c>
      <x:c r="H178" s="73" t="n">
        <x:v>20</x:v>
      </x:c>
      <x:c r="I178" s="73" t="s">
        <x:v>72</x:v>
      </x:c>
      <x:c r="J178" s="73" t="n">
        <x:v>2016</x:v>
      </x:c>
      <x:c r="K178" s="73" t="n">
        <x:v>4</x:v>
      </x:c>
      <x:c r="L178" s="73" t="n">
        <x:v>2</x:v>
      </x:c>
      <x:c r="M178" s="73" t="n">
        <x:v>20</x:v>
      </x:c>
      <x:c r="N178" s="73" t="s">
        <x:v>3189</x:v>
      </x:c>
    </x:row>
    <x:row r="179" ht="15" hidden="0">
      <x:c r="A179" s="73" t="s">
        <x:v>3913</x:v>
      </x:c>
      <x:c r="B179" s="73" t="s">
        <x:v>3190</x:v>
      </x:c>
      <x:c r="C179" s="73" t="s">
        <x:v>824</x:v>
      </x:c>
      <x:c r="D179" s="73" t="s">
        <x:v>3914</x:v>
      </x:c>
      <x:c r="E179" s="73" t="s">
        <x:v>3394</x:v>
      </x:c>
      <x:c r="F179" s="73" t="s">
        <x:v>3915</x:v>
      </x:c>
      <x:c r="G179" s="73" t="n">
        <x:v>12</x:v>
      </x:c>
      <x:c r="H179" s="73" t="n">
        <x:v>25</x:v>
      </x:c>
      <x:c r="I179" s="73" t="s">
        <x:v>3387</x:v>
      </x:c>
      <x:c r="J179" s="73" t="n">
        <x:v>2015</x:v>
      </x:c>
      <x:c r="K179" s="73" t="n">
        <x:v>10</x:v>
      </x:c>
      <x:c r="L179" s="73" t="n">
        <x:v>18</x:v>
      </x:c>
      <x:c r="M179" s="73" t="n">
        <x:v>15</x:v>
      </x:c>
      <x:c r="N179" s="73" t="s">
        <x:v>3189</x:v>
      </x:c>
    </x:row>
    <x:row r="180" ht="15" hidden="0">
      <x:c r="A180" s="73" t="s">
        <x:v>3916</x:v>
      </x:c>
      <x:c r="B180" s="73" t="s">
        <x:v>3191</x:v>
      </x:c>
      <x:c r="C180" s="73" t="s">
        <x:v>829</x:v>
      </x:c>
      <x:c r="D180" s="73" t="s">
        <x:v>3917</x:v>
      </x:c>
      <x:c r="E180" s="73" t="s">
        <x:v>3382</x:v>
      </x:c>
      <x:c r="F180" s="73" t="s">
        <x:v>3918</x:v>
      </x:c>
      <x:c r="G180" s="73" t="n">
        <x:v>15</x:v>
      </x:c>
      <x:c r="H180" s="73" t="n">
        <x:v>30</x:v>
      </x:c>
      <x:c r="I180" s="73" t="s">
        <x:v>3396</x:v>
      </x:c>
      <x:c r="J180" s="73" t="n">
        <x:v>2019</x:v>
      </x:c>
      <x:c r="K180" s="73" t="n">
        <x:v>7</x:v>
      </x:c>
      <x:c r="L180" s="73" t="n">
        <x:v>12</x:v>
      </x:c>
      <x:c r="M180" s="73" t="n">
        <x:v>18</x:v>
      </x:c>
      <x:c r="N180" s="73" t="s">
        <x:v>3189</x:v>
      </x:c>
    </x:row>
    <x:row r="181" ht="15" hidden="0">
      <x:c r="A181" s="73" t="s">
        <x:v>3919</x:v>
      </x:c>
      <x:c r="B181" s="73" t="s">
        <x:v>3215</x:v>
      </x:c>
      <x:c r="C181" s="73" t="s">
        <x:v>833</x:v>
      </x:c>
      <x:c r="D181" s="73" t="s">
        <x:v>3920</x:v>
      </x:c>
      <x:c r="E181" s="73" t="s">
        <x:v>3390</x:v>
      </x:c>
      <x:c r="F181" s="73" t="s">
        <x:v>3921</x:v>
      </x:c>
      <x:c r="G181" s="73" t="n">
        <x:v>8</x:v>
      </x:c>
      <x:c r="H181" s="73" t="n">
        <x:v>15</x:v>
      </x:c>
      <x:c r="I181" s="73" t="s">
        <x:v>3404</x:v>
      </x:c>
      <x:c r="J181" s="73" t="n">
        <x:v>2018</x:v>
      </x:c>
      <x:c r="K181" s="73" t="n">
        <x:v>6</x:v>
      </x:c>
      <x:c r="L181" s="73" t="n">
        <x:v>3</x:v>
      </x:c>
      <x:c r="M181" s="73" t="n">
        <x:v>16</x:v>
      </x:c>
      <x:c r="N181" s="73" t="s">
        <x:v>3189</x:v>
      </x:c>
    </x:row>
    <x:row r="182" ht="15" hidden="0">
      <x:c r="A182" s="73" t="s">
        <x:v>3922</x:v>
      </x:c>
      <x:c r="B182" s="73" t="s">
        <x:v>3216</x:v>
      </x:c>
      <x:c r="C182" s="73" t="s">
        <x:v>838</x:v>
      </x:c>
      <x:c r="D182" s="73" t="s">
        <x:v>3923</x:v>
      </x:c>
      <x:c r="E182" s="73" t="s">
        <x:v>3394</x:v>
      </x:c>
      <x:c r="F182" s="73" t="s">
        <x:v>3924</x:v>
      </x:c>
      <x:c r="G182" s="73" t="n">
        <x:v>10</x:v>
      </x:c>
      <x:c r="H182" s="73" t="n">
        <x:v>20</x:v>
      </x:c>
      <x:c r="I182" s="73" t="s">
        <x:v>3400</x:v>
      </x:c>
      <x:c r="J182" s="73" t="n">
        <x:v>2022</x:v>
      </x:c>
      <x:c r="K182" s="73" t="n">
        <x:v>1</x:v>
      </x:c>
      <x:c r="L182" s="73" t="n">
        <x:v>15</x:v>
      </x:c>
      <x:c r="M182" s="73" t="n">
        <x:v>12</x:v>
      </x:c>
      <x:c r="N182" s="73" t="s">
        <x:v>3189</x:v>
      </x:c>
    </x:row>
    <x:row r="183" ht="15" hidden="0">
      <x:c r="A183" s="73" t="s">
        <x:v>3925</x:v>
      </x:c>
      <x:c r="B183" s="73" t="s">
        <x:v>3196</x:v>
      </x:c>
      <x:c r="C183" s="73" t="s">
        <x:v>843</x:v>
      </x:c>
      <x:c r="D183" s="73" t="s">
        <x:v>3926</x:v>
      </x:c>
      <x:c r="E183" s="73" t="s">
        <x:v>3382</x:v>
      </x:c>
      <x:c r="F183" s="73" t="s">
        <x:v>3927</x:v>
      </x:c>
      <x:c r="G183" s="73" t="n">
        <x:v>12</x:v>
      </x:c>
      <x:c r="H183" s="73" t="n">
        <x:v>25</x:v>
      </x:c>
      <x:c r="I183" s="73" t="s">
        <x:v>72</x:v>
      </x:c>
      <x:c r="J183" s="73" t="n">
        <x:v>2017</x:v>
      </x:c>
      <x:c r="K183" s="73" t="n">
        <x:v>4</x:v>
      </x:c>
      <x:c r="L183" s="73" t="n">
        <x:v>10</x:v>
      </x:c>
      <x:c r="M183" s="73" t="n">
        <x:v>14</x:v>
      </x:c>
      <x:c r="N183" s="73" t="s">
        <x:v>3189</x:v>
      </x:c>
    </x:row>
    <x:row r="184" ht="15" hidden="0">
      <x:c r="A184" s="73" t="s">
        <x:v>3928</x:v>
      </x:c>
      <x:c r="B184" s="73" t="s">
        <x:v>3205</x:v>
      </x:c>
      <x:c r="C184" s="73" t="s">
        <x:v>847</x:v>
      </x:c>
      <x:c r="D184" s="73" t="s">
        <x:v>3929</x:v>
      </x:c>
      <x:c r="E184" s="73" t="s">
        <x:v>3390</x:v>
      </x:c>
      <x:c r="F184" s="73" t="s">
        <x:v>3930</x:v>
      </x:c>
      <x:c r="G184" s="73" t="n">
        <x:v>7</x:v>
      </x:c>
      <x:c r="H184" s="73" t="n">
        <x:v>15</x:v>
      </x:c>
      <x:c r="I184" s="73" t="s">
        <x:v>3387</x:v>
      </x:c>
      <x:c r="J184" s="73" t="n">
        <x:v>2016</x:v>
      </x:c>
      <x:c r="K184" s="73" t="n">
        <x:v>11</x:v>
      </x:c>
      <x:c r="L184" s="73" t="n">
        <x:v>28</x:v>
      </x:c>
      <x:c r="M184" s="73" t="n">
        <x:v>19</x:v>
      </x:c>
      <x:c r="N184" s="73" t="s">
        <x:v>3189</x:v>
      </x:c>
    </x:row>
    <x:row r="185" ht="15" hidden="0">
      <x:c r="A185" s="73" t="s">
        <x:v>3931</x:v>
      </x:c>
      <x:c r="B185" s="73" t="s">
        <x:v>3219</x:v>
      </x:c>
      <x:c r="C185" s="73" t="s">
        <x:v>852</x:v>
      </x:c>
      <x:c r="D185" s="73" t="s">
        <x:v>3932</x:v>
      </x:c>
      <x:c r="E185" s="73" t="s">
        <x:v>3394</x:v>
      </x:c>
      <x:c r="F185" s="73" t="s">
        <x:v>3933</x:v>
      </x:c>
      <x:c r="G185" s="73" t="n">
        <x:v>10</x:v>
      </x:c>
      <x:c r="H185" s="73" t="n">
        <x:v>20</x:v>
      </x:c>
      <x:c r="I185" s="73" t="s">
        <x:v>3396</x:v>
      </x:c>
      <x:c r="J185" s="73" t="n">
        <x:v>2018</x:v>
      </x:c>
      <x:c r="K185" s="73" t="n">
        <x:v>9</x:v>
      </x:c>
      <x:c r="L185" s="73" t="n">
        <x:v>5</x:v>
      </x:c>
      <x:c r="M185" s="73" t="n">
        <x:v>9</x:v>
      </x:c>
      <x:c r="N185" s="73" t="s">
        <x:v>3189</x:v>
      </x:c>
    </x:row>
    <x:row r="186" ht="15" hidden="0">
      <x:c r="A186" s="73" t="s">
        <x:v>3934</x:v>
      </x:c>
      <x:c r="B186" s="73" t="s">
        <x:v>3226</x:v>
      </x:c>
      <x:c r="C186" s="73" t="s">
        <x:v>857</x:v>
      </x:c>
      <x:c r="D186" s="73" t="s">
        <x:v>3935</x:v>
      </x:c>
      <x:c r="E186" s="73" t="s">
        <x:v>3382</x:v>
      </x:c>
      <x:c r="F186" s="73" t="s">
        <x:v>3936</x:v>
      </x:c>
      <x:c r="G186" s="73" t="n">
        <x:v>15</x:v>
      </x:c>
      <x:c r="H186" s="73" t="n">
        <x:v>30</x:v>
      </x:c>
      <x:c r="I186" s="73" t="s">
        <x:v>3404</x:v>
      </x:c>
      <x:c r="J186" s="73" t="n">
        <x:v>2021</x:v>
      </x:c>
      <x:c r="K186" s="73" t="n">
        <x:v>10</x:v>
      </x:c>
      <x:c r="L186" s="73" t="n">
        <x:v>22</x:v>
      </x:c>
      <x:c r="M186" s="73" t="n">
        <x:v>18</x:v>
      </x:c>
      <x:c r="N186" s="73" t="s">
        <x:v>3189</x:v>
      </x:c>
    </x:row>
    <x:row r="187" ht="15" hidden="0">
      <x:c r="A187" s="73" t="s">
        <x:v>3937</x:v>
      </x:c>
      <x:c r="B187" s="73" t="s">
        <x:v>3225</x:v>
      </x:c>
      <x:c r="C187" s="73" t="s">
        <x:v>862</x:v>
      </x:c>
      <x:c r="D187" s="73" t="s">
        <x:v>3938</x:v>
      </x:c>
      <x:c r="E187" s="73" t="s">
        <x:v>3390</x:v>
      </x:c>
      <x:c r="F187" s="73" t="s">
        <x:v>3939</x:v>
      </x:c>
      <x:c r="G187" s="73" t="n">
        <x:v>8</x:v>
      </x:c>
      <x:c r="H187" s="73" t="n">
        <x:v>15</x:v>
      </x:c>
      <x:c r="I187" s="73" t="s">
        <x:v>3400</x:v>
      </x:c>
      <x:c r="J187" s="73" t="n">
        <x:v>2019</x:v>
      </x:c>
      <x:c r="K187" s="73" t="n">
        <x:v>5</x:v>
      </x:c>
      <x:c r="L187" s="73" t="n">
        <x:v>8</x:v>
      </x:c>
      <x:c r="M187" s="73" t="n">
        <x:v>14</x:v>
      </x:c>
      <x:c r="N187" s="73" t="s">
        <x:v>3189</x:v>
      </x:c>
    </x:row>
    <x:row r="188" ht="15" hidden="0">
      <x:c r="A188" s="73" t="s">
        <x:v>3940</x:v>
      </x:c>
      <x:c r="B188" s="73" t="s">
        <x:v>3223</x:v>
      </x:c>
      <x:c r="C188" s="73" t="s">
        <x:v>866</x:v>
      </x:c>
      <x:c r="D188" s="73" t="s">
        <x:v>3941</x:v>
      </x:c>
      <x:c r="E188" s="73" t="s">
        <x:v>3394</x:v>
      </x:c>
      <x:c r="F188" s="73" t="s">
        <x:v>3942</x:v>
      </x:c>
      <x:c r="G188" s="73" t="n">
        <x:v>10</x:v>
      </x:c>
      <x:c r="H188" s="73" t="n">
        <x:v>20</x:v>
      </x:c>
      <x:c r="I188" s="73" t="s">
        <x:v>3387</x:v>
      </x:c>
      <x:c r="J188" s="73" t="n">
        <x:v>2017</x:v>
      </x:c>
      <x:c r="K188" s="73" t="n">
        <x:v>3</x:v>
      </x:c>
      <x:c r="L188" s="73" t="n">
        <x:v>20</x:v>
      </x:c>
      <x:c r="M188" s="73" t="n">
        <x:v>11</x:v>
      </x:c>
      <x:c r="N188" s="73" t="s">
        <x:v>3189</x:v>
      </x:c>
    </x:row>
    <x:row r="189" ht="15" hidden="0">
      <x:c r="A189" s="73" t="s">
        <x:v>3943</x:v>
      </x:c>
      <x:c r="B189" s="73" t="s">
        <x:v>3200</x:v>
      </x:c>
      <x:c r="C189" s="73" t="s">
        <x:v>870</x:v>
      </x:c>
      <x:c r="D189" s="73" t="s">
        <x:v>3944</x:v>
      </x:c>
      <x:c r="E189" s="73" t="s">
        <x:v>3382</x:v>
      </x:c>
      <x:c r="F189" s="73" t="s">
        <x:v>3945</x:v>
      </x:c>
      <x:c r="G189" s="73" t="n">
        <x:v>12</x:v>
      </x:c>
      <x:c r="H189" s="73" t="n">
        <x:v>25</x:v>
      </x:c>
      <x:c r="I189" s="73" t="s">
        <x:v>72</x:v>
      </x:c>
      <x:c r="J189" s="73" t="n">
        <x:v>2018</x:v>
      </x:c>
      <x:c r="K189" s="73" t="n">
        <x:v>12</x:v>
      </x:c>
      <x:c r="L189" s="73" t="n">
        <x:v>15</x:v>
      </x:c>
      <x:c r="M189" s="73" t="n">
        <x:v>16</x:v>
      </x:c>
      <x:c r="N189" s="73" t="s">
        <x:v>3189</x:v>
      </x:c>
    </x:row>
    <x:row r="190" ht="15" hidden="0">
      <x:c r="A190" s="73" t="s">
        <x:v>3946</x:v>
      </x:c>
      <x:c r="B190" s="73" t="s">
        <x:v>3203</x:v>
      </x:c>
      <x:c r="C190" s="73" t="s">
        <x:v>874</x:v>
      </x:c>
      <x:c r="D190" s="73" t="s">
        <x:v>3947</x:v>
      </x:c>
      <x:c r="E190" s="73" t="s">
        <x:v>3390</x:v>
      </x:c>
      <x:c r="F190" s="73" t="s">
        <x:v>3626</x:v>
      </x:c>
      <x:c r="G190" s="73" t="n">
        <x:v>7</x:v>
      </x:c>
      <x:c r="H190" s="73" t="n">
        <x:v>15</x:v>
      </x:c>
      <x:c r="I190" s="73" t="s">
        <x:v>3396</x:v>
      </x:c>
      <x:c r="J190" s="73" t="n">
        <x:v>2016</x:v>
      </x:c>
      <x:c r="K190" s="73" t="n">
        <x:v>7</x:v>
      </x:c>
      <x:c r="L190" s="73" t="n">
        <x:v>1</x:v>
      </x:c>
      <x:c r="M190" s="73" t="n">
        <x:v>9</x:v>
      </x:c>
      <x:c r="N190" s="73" t="s">
        <x:v>3189</x:v>
      </x:c>
    </x:row>
    <x:row r="191" ht="15" hidden="0">
      <x:c r="A191" s="73" t="s">
        <x:v>3948</x:v>
      </x:c>
      <x:c r="B191" s="73" t="s">
        <x:v>3188</x:v>
      </x:c>
      <x:c r="C191" s="73" t="s">
        <x:v>878</x:v>
      </x:c>
      <x:c r="D191" s="73" t="s">
        <x:v>3949</x:v>
      </x:c>
      <x:c r="E191" s="73" t="s">
        <x:v>3394</x:v>
      </x:c>
      <x:c r="F191" s="73" t="s">
        <x:v>3950</x:v>
      </x:c>
      <x:c r="G191" s="73" t="n">
        <x:v>10</x:v>
      </x:c>
      <x:c r="H191" s="73" t="n">
        <x:v>20</x:v>
      </x:c>
      <x:c r="I191" s="73" t="s">
        <x:v>3404</x:v>
      </x:c>
      <x:c r="J191" s="73" t="n">
        <x:v>2020</x:v>
      </x:c>
      <x:c r="K191" s="73" t="n">
        <x:v>8</x:v>
      </x:c>
      <x:c r="L191" s="73" t="n">
        <x:v>20</x:v>
      </x:c>
      <x:c r="M191" s="73" t="n">
        <x:v>20</x:v>
      </x:c>
      <x:c r="N191" s="73" t="s">
        <x:v>3189</x:v>
      </x:c>
    </x:row>
    <x:row r="192" ht="15" hidden="0">
      <x:c r="A192" s="73" t="s">
        <x:v>3951</x:v>
      </x:c>
      <x:c r="B192" s="73" t="s">
        <x:v>3190</x:v>
      </x:c>
      <x:c r="C192" s="73" t="s">
        <x:v>882</x:v>
      </x:c>
      <x:c r="D192" s="73" t="s">
        <x:v>3952</x:v>
      </x:c>
      <x:c r="E192" s="73" t="s">
        <x:v>3382</x:v>
      </x:c>
      <x:c r="F192" s="73" t="s">
        <x:v>3953</x:v>
      </x:c>
      <x:c r="G192" s="73" t="n">
        <x:v>12</x:v>
      </x:c>
      <x:c r="H192" s="73" t="n">
        <x:v>25</x:v>
      </x:c>
      <x:c r="I192" s="73" t="s">
        <x:v>3387</x:v>
      </x:c>
      <x:c r="J192" s="73" t="n">
        <x:v>2021</x:v>
      </x:c>
      <x:c r="K192" s="73" t="n">
        <x:v>2</x:v>
      </x:c>
      <x:c r="L192" s="73" t="n">
        <x:v>25</x:v>
      </x:c>
      <x:c r="M192" s="73" t="n">
        <x:v>15</x:v>
      </x:c>
      <x:c r="N192" s="73" t="s">
        <x:v>3189</x:v>
      </x:c>
    </x:row>
    <x:row r="193" ht="15" hidden="0">
      <x:c r="A193" s="73" t="s">
        <x:v>3954</x:v>
      </x:c>
      <x:c r="B193" s="73" t="s">
        <x:v>3191</x:v>
      </x:c>
      <x:c r="C193" s="73" t="s">
        <x:v>886</x:v>
      </x:c>
      <x:c r="D193" s="73" t="s">
        <x:v>3955</x:v>
      </x:c>
      <x:c r="E193" s="73" t="s">
        <x:v>3390</x:v>
      </x:c>
      <x:c r="F193" s="73" t="s">
        <x:v>3956</x:v>
      </x:c>
      <x:c r="G193" s="73" t="n">
        <x:v>15</x:v>
      </x:c>
      <x:c r="H193" s="73" t="n">
        <x:v>30</x:v>
      </x:c>
      <x:c r="I193" s="73" t="s">
        <x:v>3400</x:v>
      </x:c>
      <x:c r="J193" s="73" t="n">
        <x:v>2019</x:v>
      </x:c>
      <x:c r="K193" s="73" t="n">
        <x:v>9</x:v>
      </x:c>
      <x:c r="L193" s="73" t="n">
        <x:v>12</x:v>
      </x:c>
      <x:c r="M193" s="73" t="n">
        <x:v>18</x:v>
      </x:c>
      <x:c r="N193" s="73" t="s">
        <x:v>3189</x:v>
      </x:c>
    </x:row>
    <x:row r="194" ht="15" hidden="0">
      <x:c r="A194" s="73" t="s">
        <x:v>3957</x:v>
      </x:c>
      <x:c r="B194" s="73" t="s">
        <x:v>3215</x:v>
      </x:c>
      <x:c r="C194" s="73" t="s">
        <x:v>891</x:v>
      </x:c>
      <x:c r="D194" s="73" t="s">
        <x:v>3958</x:v>
      </x:c>
      <x:c r="E194" s="73" t="s">
        <x:v>3394</x:v>
      </x:c>
      <x:c r="F194" s="73" t="s">
        <x:v>3959</x:v>
      </x:c>
      <x:c r="G194" s="73" t="n">
        <x:v>8</x:v>
      </x:c>
      <x:c r="H194" s="73" t="n">
        <x:v>15</x:v>
      </x:c>
      <x:c r="I194" s="73" t="s">
        <x:v>72</x:v>
      </x:c>
      <x:c r="J194" s="73" t="n">
        <x:v>2018</x:v>
      </x:c>
      <x:c r="K194" s="73" t="n">
        <x:v>8</x:v>
      </x:c>
      <x:c r="L194" s="73" t="n">
        <x:v>5</x:v>
      </x:c>
      <x:c r="M194" s="73" t="n">
        <x:v>16</x:v>
      </x:c>
      <x:c r="N194" s="73" t="s">
        <x:v>3189</x:v>
      </x:c>
    </x:row>
    <x:row r="195" ht="15" hidden="0">
      <x:c r="A195" s="73" t="s">
        <x:v>3960</x:v>
      </x:c>
      <x:c r="B195" s="73" t="s">
        <x:v>3216</x:v>
      </x:c>
      <x:c r="C195" s="73" t="s">
        <x:v>896</x:v>
      </x:c>
      <x:c r="D195" s="73" t="s">
        <x:v>3961</x:v>
      </x:c>
      <x:c r="E195" s="73" t="s">
        <x:v>3382</x:v>
      </x:c>
      <x:c r="F195" s="73" t="s">
        <x:v>3962</x:v>
      </x:c>
      <x:c r="G195" s="73" t="n">
        <x:v>10</x:v>
      </x:c>
      <x:c r="H195" s="73" t="n">
        <x:v>20</x:v>
      </x:c>
      <x:c r="I195" s="73" t="s">
        <x:v>3404</x:v>
      </x:c>
      <x:c r="J195" s="73" t="n">
        <x:v>2017</x:v>
      </x:c>
      <x:c r="K195" s="73" t="n">
        <x:v>1</x:v>
      </x:c>
      <x:c r="L195" s="73" t="n">
        <x:v>12</x:v>
      </x:c>
      <x:c r="M195" s="73" t="n">
        <x:v>12</x:v>
      </x:c>
      <x:c r="N195" s="73" t="s">
        <x:v>3189</x:v>
      </x:c>
    </x:row>
    <x:row r="196" ht="15" hidden="0">
      <x:c r="A196" s="73" t="s">
        <x:v>3963</x:v>
      </x:c>
      <x:c r="B196" s="73" t="s">
        <x:v>3196</x:v>
      </x:c>
      <x:c r="C196" s="73" t="s">
        <x:v>900</x:v>
      </x:c>
      <x:c r="D196" s="73" t="s">
        <x:v>3964</x:v>
      </x:c>
      <x:c r="E196" s="73" t="s">
        <x:v>3390</x:v>
      </x:c>
      <x:c r="F196" s="73" t="s">
        <x:v>3927</x:v>
      </x:c>
      <x:c r="G196" s="73" t="n">
        <x:v>12</x:v>
      </x:c>
      <x:c r="H196" s="73" t="n">
        <x:v>25</x:v>
      </x:c>
      <x:c r="I196" s="73" t="s">
        <x:v>3396</x:v>
      </x:c>
      <x:c r="J196" s="73" t="n">
        <x:v>2022</x:v>
      </x:c>
      <x:c r="K196" s="73" t="n">
        <x:v>4</x:v>
      </x:c>
      <x:c r="L196" s="73" t="n">
        <x:v>5</x:v>
      </x:c>
      <x:c r="M196" s="73" t="n">
        <x:v>14</x:v>
      </x:c>
      <x:c r="N196" s="73" t="s">
        <x:v>3189</x:v>
      </x:c>
    </x:row>
    <x:row r="197" ht="15" hidden="0">
      <x:c r="A197" s="73" t="s">
        <x:v>3965</x:v>
      </x:c>
      <x:c r="B197" s="73" t="s">
        <x:v>3205</x:v>
      </x:c>
      <x:c r="C197" s="73" t="s">
        <x:v>904</x:v>
      </x:c>
      <x:c r="D197" s="73" t="s">
        <x:v>3966</x:v>
      </x:c>
      <x:c r="E197" s="73" t="s">
        <x:v>3394</x:v>
      </x:c>
      <x:c r="F197" s="73" t="s">
        <x:v>3967</x:v>
      </x:c>
      <x:c r="G197" s="73" t="n">
        <x:v>7</x:v>
      </x:c>
      <x:c r="H197" s="73" t="n">
        <x:v>15</x:v>
      </x:c>
      <x:c r="I197" s="73" t="s">
        <x:v>3387</x:v>
      </x:c>
      <x:c r="J197" s="73" t="n">
        <x:v>2021</x:v>
      </x:c>
      <x:c r="K197" s="73" t="n">
        <x:v>10</x:v>
      </x:c>
      <x:c r="L197" s="73" t="n">
        <x:v>2</x:v>
      </x:c>
      <x:c r="M197" s="73" t="n">
        <x:v>19</x:v>
      </x:c>
      <x:c r="N197" s="73" t="s">
        <x:v>3189</x:v>
      </x:c>
    </x:row>
    <x:row r="198" ht="15" hidden="0">
      <x:c r="A198" s="73" t="s">
        <x:v>3968</x:v>
      </x:c>
      <x:c r="B198" s="73" t="s">
        <x:v>3265</x:v>
      </x:c>
      <x:c r="C198" s="73" t="s">
        <x:v>909</x:v>
      </x:c>
      <x:c r="D198" s="73" t="s">
        <x:v>3969</x:v>
      </x:c>
      <x:c r="E198" s="73" t="s">
        <x:v>3382</x:v>
      </x:c>
      <x:c r="F198" s="73" t="s">
        <x:v>3970</x:v>
      </x:c>
      <x:c r="G198" s="73" t="n">
        <x:v>15</x:v>
      </x:c>
      <x:c r="H198" s="73" t="n">
        <x:v>30</x:v>
      </x:c>
      <x:c r="I198" s="73" t="s">
        <x:v>72</x:v>
      </x:c>
      <x:c r="J198" s="73" t="n">
        <x:v>2023</x:v>
      </x:c>
      <x:c r="K198" s="73" t="n">
        <x:v>4</x:v>
      </x:c>
      <x:c r="L198" s="73" t="n">
        <x:v>15</x:v>
      </x:c>
      <x:c r="M198" s="73" t="n">
        <x:v>10</x:v>
      </x:c>
      <x:c r="N198" s="73" t="s">
        <x:v>3260</x:v>
      </x:c>
    </x:row>
    <x:row r="199" ht="15" hidden="0">
      <x:c r="A199" s="73" t="s">
        <x:v>3971</x:v>
      </x:c>
      <x:c r="B199" s="73" t="s">
        <x:v>3247</x:v>
      </x:c>
      <x:c r="C199" s="73" t="s">
        <x:v>914</x:v>
      </x:c>
      <x:c r="D199" s="73" t="s">
        <x:v>3972</x:v>
      </x:c>
      <x:c r="E199" s="73" t="s">
        <x:v>3390</x:v>
      </x:c>
      <x:c r="F199" s="73" t="s">
        <x:v>3973</x:v>
      </x:c>
      <x:c r="G199" s="73" t="n">
        <x:v>7</x:v>
      </x:c>
      <x:c r="H199" s="73" t="n">
        <x:v>15</x:v>
      </x:c>
      <x:c r="I199" s="73" t="s">
        <x:v>3387</x:v>
      </x:c>
      <x:c r="J199" s="73" t="n">
        <x:v>2022</x:v>
      </x:c>
      <x:c r="K199" s="73" t="n">
        <x:v>11</x:v>
      </x:c>
      <x:c r="L199" s="73" t="n">
        <x:v>28</x:v>
      </x:c>
      <x:c r="M199" s="73" t="n">
        <x:v>17</x:v>
      </x:c>
      <x:c r="N199" s="73" t="s">
        <x:v>3244</x:v>
      </x:c>
    </x:row>
    <x:row r="200" ht="15" hidden="0">
      <x:c r="A200" s="73" t="s">
        <x:v>3974</x:v>
      </x:c>
      <x:c r="B200" s="73" t="s">
        <x:v>3193</x:v>
      </x:c>
      <x:c r="C200" s="73" t="s">
        <x:v>919</x:v>
      </x:c>
      <x:c r="D200" s="73" t="s">
        <x:v>3975</x:v>
      </x:c>
      <x:c r="E200" s="73" t="s">
        <x:v>3394</x:v>
      </x:c>
      <x:c r="F200" s="73" t="s">
        <x:v>3976</x:v>
      </x:c>
      <x:c r="G200" s="73" t="n">
        <x:v>10</x:v>
      </x:c>
      <x:c r="H200" s="73" t="n">
        <x:v>20</x:v>
      </x:c>
      <x:c r="I200" s="73" t="s">
        <x:v>3396</x:v>
      </x:c>
      <x:c r="J200" s="73" t="n">
        <x:v>2020</x:v>
      </x:c>
      <x:c r="K200" s="73" t="n">
        <x:v>4</x:v>
      </x:c>
      <x:c r="L200" s="73" t="n">
        <x:v>2</x:v>
      </x:c>
      <x:c r="M200" s="73" t="n">
        <x:v>9</x:v>
      </x:c>
      <x:c r="N200" s="73" t="s">
        <x:v>3189</x:v>
      </x:c>
    </x:row>
    <x:row r="201" ht="15" hidden="0">
      <x:c r="A201" s="73" t="s">
        <x:v>3977</x:v>
      </x:c>
      <x:c r="B201" s="73" t="s">
        <x:v>3199</x:v>
      </x:c>
      <x:c r="C201" s="73" t="s">
        <x:v>924</x:v>
      </x:c>
      <x:c r="D201" s="73" t="s">
        <x:v>3978</x:v>
      </x:c>
      <x:c r="E201" s="73" t="s">
        <x:v>3382</x:v>
      </x:c>
      <x:c r="F201" s="73" t="s">
        <x:v>3979</x:v>
      </x:c>
      <x:c r="G201" s="73" t="n">
        <x:v>8</x:v>
      </x:c>
      <x:c r="H201" s="73" t="n">
        <x:v>15</x:v>
      </x:c>
      <x:c r="I201" s="73" t="s">
        <x:v>3404</x:v>
      </x:c>
      <x:c r="J201" s="73" t="n">
        <x:v>2021</x:v>
      </x:c>
      <x:c r="K201" s="73" t="n">
        <x:v>8</x:v>
      </x:c>
      <x:c r="L201" s="73" t="n">
        <x:v>10</x:v>
      </x:c>
      <x:c r="M201" s="73" t="n">
        <x:v>14</x:v>
      </x:c>
      <x:c r="N201" s="73" t="s">
        <x:v>3189</x:v>
      </x:c>
    </x:row>
    <x:row r="202" ht="15" hidden="0">
      <x:c r="A202" s="73" t="s">
        <x:v>3980</x:v>
      </x:c>
      <x:c r="B202" s="73" t="s">
        <x:v>3198</x:v>
      </x:c>
      <x:c r="C202" s="73" t="s">
        <x:v>929</x:v>
      </x:c>
      <x:c r="D202" s="73" t="s">
        <x:v>3981</x:v>
      </x:c>
      <x:c r="E202" s="73" t="s">
        <x:v>3390</x:v>
      </x:c>
      <x:c r="F202" s="73" t="s">
        <x:v>3982</x:v>
      </x:c>
      <x:c r="G202" s="73" t="n">
        <x:v>12</x:v>
      </x:c>
      <x:c r="H202" s="73" t="n">
        <x:v>25</x:v>
      </x:c>
      <x:c r="I202" s="73" t="s">
        <x:v>3400</x:v>
      </x:c>
      <x:c r="J202" s="73" t="n">
        <x:v>2019</x:v>
      </x:c>
      <x:c r="K202" s="73" t="n">
        <x:v>6</x:v>
      </x:c>
      <x:c r="L202" s="73" t="n">
        <x:v>18</x:v>
      </x:c>
      <x:c r="M202" s="73" t="n">
        <x:v>20</x:v>
      </x:c>
      <x:c r="N202" s="73" t="s">
        <x:v>3189</x:v>
      </x:c>
    </x:row>
    <x:row r="203" ht="15" hidden="0">
      <x:c r="A203" s="73" t="s">
        <x:v>3983</x:v>
      </x:c>
      <x:c r="B203" s="73" t="s">
        <x:v>3245</x:v>
      </x:c>
      <x:c r="C203" s="73" t="s">
        <x:v>934</x:v>
      </x:c>
      <x:c r="D203" s="73" t="s">
        <x:v>3984</x:v>
      </x:c>
      <x:c r="E203" s="73" t="s">
        <x:v>3394</x:v>
      </x:c>
      <x:c r="F203" s="73" t="s">
        <x:v>3985</x:v>
      </x:c>
      <x:c r="G203" s="73" t="n">
        <x:v>10</x:v>
      </x:c>
      <x:c r="H203" s="73" t="n">
        <x:v>20</x:v>
      </x:c>
      <x:c r="I203" s="73" t="s">
        <x:v>72</x:v>
      </x:c>
      <x:c r="J203" s="73" t="n">
        <x:v>2018</x:v>
      </x:c>
      <x:c r="K203" s="73" t="n">
        <x:v>2</x:v>
      </x:c>
      <x:c r="L203" s="73" t="n">
        <x:v>5</x:v>
      </x:c>
      <x:c r="M203" s="73" t="n">
        <x:v>15</x:v>
      </x:c>
      <x:c r="N203" s="73" t="s">
        <x:v>3244</x:v>
      </x:c>
    </x:row>
    <x:row r="204" ht="15" hidden="0">
      <x:c r="A204" s="73" t="s">
        <x:v>3986</x:v>
      </x:c>
      <x:c r="B204" s="73" t="s">
        <x:v>3246</x:v>
      </x:c>
      <x:c r="C204" s="73" t="s">
        <x:v>939</x:v>
      </x:c>
      <x:c r="D204" s="73" t="s">
        <x:v>3987</x:v>
      </x:c>
      <x:c r="E204" s="73" t="s">
        <x:v>3382</x:v>
      </x:c>
      <x:c r="F204" s="73" t="s">
        <x:v>3988</x:v>
      </x:c>
      <x:c r="G204" s="73" t="n">
        <x:v>12</x:v>
      </x:c>
      <x:c r="H204" s="73" t="n">
        <x:v>25</x:v>
      </x:c>
      <x:c r="I204" s="73" t="s">
        <x:v>3387</x:v>
      </x:c>
      <x:c r="J204" s="73" t="n">
        <x:v>2022</x:v>
      </x:c>
      <x:c r="K204" s="73" t="n">
        <x:v>5</x:v>
      </x:c>
      <x:c r="L204" s="73" t="n">
        <x:v>30</x:v>
      </x:c>
      <x:c r="M204" s="73" t="n">
        <x:v>11</x:v>
      </x:c>
      <x:c r="N204" s="73" t="s">
        <x:v>3244</x:v>
      </x:c>
    </x:row>
    <x:row r="205" ht="15" hidden="0">
      <x:c r="A205" s="73" t="s">
        <x:v>3989</x:v>
      </x:c>
      <x:c r="B205" s="73" t="s">
        <x:v>3270</x:v>
      </x:c>
      <x:c r="C205" s="73" t="s">
        <x:v>944</x:v>
      </x:c>
      <x:c r="D205" s="73" t="s">
        <x:v>3990</x:v>
      </x:c>
      <x:c r="E205" s="73" t="s">
        <x:v>3390</x:v>
      </x:c>
      <x:c r="F205" s="73" t="s">
        <x:v>3657</x:v>
      </x:c>
      <x:c r="G205" s="73" t="n">
        <x:v>15</x:v>
      </x:c>
      <x:c r="H205" s="73" t="n">
        <x:v>30</x:v>
      </x:c>
      <x:c r="I205" s="73" t="s">
        <x:v>3396</x:v>
      </x:c>
      <x:c r="J205" s="73" t="n">
        <x:v>2023</x:v>
      </x:c>
      <x:c r="K205" s="73" t="n">
        <x:v>1</x:v>
      </x:c>
      <x:c r="L205" s="73" t="n">
        <x:v>10</x:v>
      </x:c>
      <x:c r="M205" s="73" t="n">
        <x:v>16</x:v>
      </x:c>
      <x:c r="N205" s="73" t="s">
        <x:v>3260</x:v>
      </x:c>
    </x:row>
    <x:row r="206" ht="15" hidden="0">
      <x:c r="A206" s="73" t="s">
        <x:v>3991</x:v>
      </x:c>
      <x:c r="B206" s="73" t="s">
        <x:v>3271</x:v>
      </x:c>
      <x:c r="C206" s="73" t="s">
        <x:v>948</x:v>
      </x:c>
      <x:c r="D206" s="73" t="s">
        <x:v>3992</x:v>
      </x:c>
      <x:c r="E206" s="73" t="s">
        <x:v>3394</x:v>
      </x:c>
      <x:c r="F206" s="73" t="s">
        <x:v>3993</x:v>
      </x:c>
      <x:c r="G206" s="73" t="n">
        <x:v>10</x:v>
      </x:c>
      <x:c r="H206" s="73" t="n">
        <x:v>20</x:v>
      </x:c>
      <x:c r="I206" s="73" t="s">
        <x:v>3404</x:v>
      </x:c>
      <x:c r="J206" s="73" t="n">
        <x:v>2020</x:v>
      </x:c>
      <x:c r="K206" s="73" t="n">
        <x:v>9</x:v>
      </x:c>
      <x:c r="L206" s="73" t="n">
        <x:v>18</x:v>
      </x:c>
      <x:c r="M206" s="73" t="n">
        <x:v>13</x:v>
      </x:c>
      <x:c r="N206" s="73" t="s">
        <x:v>3260</x:v>
      </x:c>
    </x:row>
    <x:row r="207" ht="15" hidden="0">
      <x:c r="A207" s="73" t="s">
        <x:v>3994</x:v>
      </x:c>
      <x:c r="B207" s="73" t="s">
        <x:v>3266</x:v>
      </x:c>
      <x:c r="C207" s="73" t="s">
        <x:v>953</x:v>
      </x:c>
      <x:c r="D207" s="73" t="s">
        <x:v>3995</x:v>
      </x:c>
      <x:c r="E207" s="73" t="s">
        <x:v>3382</x:v>
      </x:c>
      <x:c r="F207" s="73" t="s">
        <x:v>3996</x:v>
      </x:c>
      <x:c r="G207" s="73" t="n">
        <x:v>12</x:v>
      </x:c>
      <x:c r="H207" s="73" t="n">
        <x:v>25</x:v>
      </x:c>
      <x:c r="I207" s="73" t="s">
        <x:v>3400</x:v>
      </x:c>
      <x:c r="J207" s="73" t="n">
        <x:v>2021</x:v>
      </x:c>
      <x:c r="K207" s="73" t="n">
        <x:v>7</x:v>
      </x:c>
      <x:c r="L207" s="73" t="n">
        <x:v>3</x:v>
      </x:c>
      <x:c r="M207" s="73" t="n">
        <x:v>19</x:v>
      </x:c>
      <x:c r="N207" s="73" t="s">
        <x:v>3260</x:v>
      </x:c>
    </x:row>
    <x:row r="208" ht="15" hidden="0">
      <x:c r="A208" s="73" t="s">
        <x:v>3997</x:v>
      </x:c>
      <x:c r="B208" s="73" t="s">
        <x:v>3265</x:v>
      </x:c>
      <x:c r="C208" s="73" t="s">
        <x:v>957</x:v>
      </x:c>
      <x:c r="D208" s="73" t="s">
        <x:v>3998</x:v>
      </x:c>
      <x:c r="E208" s="73" t="s">
        <x:v>3390</x:v>
      </x:c>
      <x:c r="F208" s="73" t="s">
        <x:v>3999</x:v>
      </x:c>
      <x:c r="G208" s="73" t="n">
        <x:v>20</x:v>
      </x:c>
      <x:c r="H208" s="73" t="n">
        <x:v>40</x:v>
      </x:c>
      <x:c r="I208" s="73" t="s">
        <x:v>72</x:v>
      </x:c>
      <x:c r="J208" s="73" t="n">
        <x:v>2022</x:v>
      </x:c>
      <x:c r="K208" s="73" t="n">
        <x:v>10</x:v>
      </x:c>
      <x:c r="L208" s="73" t="n">
        <x:v>8</x:v>
      </x:c>
      <x:c r="M208" s="73" t="n">
        <x:v>8</x:v>
      </x:c>
      <x:c r="N208" s="73" t="s">
        <x:v>3260</x:v>
      </x:c>
    </x:row>
    <x:row r="209" ht="15" hidden="0">
      <x:c r="A209" s="73" t="s">
        <x:v>4000</x:v>
      </x:c>
      <x:c r="B209" s="73" t="s">
        <x:v>3247</x:v>
      </x:c>
      <x:c r="C209" s="73" t="s">
        <x:v>961</x:v>
      </x:c>
      <x:c r="D209" s="73" t="s">
        <x:v>4001</x:v>
      </x:c>
      <x:c r="E209" s="73" t="s">
        <x:v>3394</x:v>
      </x:c>
      <x:c r="F209" s="73" t="s">
        <x:v>4002</x:v>
      </x:c>
      <x:c r="G209" s="73" t="n">
        <x:v>10</x:v>
      </x:c>
      <x:c r="H209" s="73" t="n">
        <x:v>20</x:v>
      </x:c>
      <x:c r="I209" s="73" t="s">
        <x:v>3387</x:v>
      </x:c>
      <x:c r="J209" s="73" t="n">
        <x:v>2023</x:v>
      </x:c>
      <x:c r="K209" s="73" t="n">
        <x:v>3</x:v>
      </x:c>
      <x:c r="L209" s="73" t="n">
        <x:v>22</x:v>
      </x:c>
      <x:c r="M209" s="73" t="n">
        <x:v>16</x:v>
      </x:c>
      <x:c r="N209" s="73" t="s">
        <x:v>3244</x:v>
      </x:c>
    </x:row>
    <x:row r="210" ht="15" hidden="0">
      <x:c r="A210" s="73" t="s">
        <x:v>4003</x:v>
      </x:c>
      <x:c r="B210" s="73" t="s">
        <x:v>3193</x:v>
      </x:c>
      <x:c r="C210" s="73" t="s">
        <x:v>965</x:v>
      </x:c>
      <x:c r="D210" s="73" t="s">
        <x:v>4004</x:v>
      </x:c>
      <x:c r="E210" s="73" t="s">
        <x:v>3382</x:v>
      </x:c>
      <x:c r="F210" s="73" t="s">
        <x:v>4005</x:v>
      </x:c>
      <x:c r="G210" s="73" t="n">
        <x:v>15</x:v>
      </x:c>
      <x:c r="H210" s="73" t="n">
        <x:v>30</x:v>
      </x:c>
      <x:c r="I210" s="73" t="s">
        <x:v>3396</x:v>
      </x:c>
      <x:c r="J210" s="73" t="n">
        <x:v>2021</x:v>
      </x:c>
      <x:c r="K210" s="73" t="n">
        <x:v>5</x:v>
      </x:c>
      <x:c r="L210" s="73" t="n">
        <x:v>15</x:v>
      </x:c>
      <x:c r="M210" s="73" t="n">
        <x:v>11</x:v>
      </x:c>
      <x:c r="N210" s="73" t="s">
        <x:v>3189</x:v>
      </x:c>
    </x:row>
    <x:row r="211" ht="15" hidden="0">
      <x:c r="A211" s="73" t="s">
        <x:v>4006</x:v>
      </x:c>
      <x:c r="B211" s="73" t="s">
        <x:v>3199</x:v>
      </x:c>
      <x:c r="C211" s="73" t="s">
        <x:v>969</x:v>
      </x:c>
      <x:c r="D211" s="73" t="s">
        <x:v>4007</x:v>
      </x:c>
      <x:c r="E211" s="73" t="s">
        <x:v>3390</x:v>
      </x:c>
      <x:c r="F211" s="73" t="s">
        <x:v>4008</x:v>
      </x:c>
      <x:c r="G211" s="73" t="n">
        <x:v>8</x:v>
      </x:c>
      <x:c r="H211" s="73" t="n">
        <x:v>15</x:v>
      </x:c>
      <x:c r="I211" s="73" t="s">
        <x:v>3400</x:v>
      </x:c>
      <x:c r="J211" s="73" t="n">
        <x:v>2019</x:v>
      </x:c>
      <x:c r="K211" s="73" t="n">
        <x:v>12</x:v>
      </x:c>
      <x:c r="L211" s="73" t="n">
        <x:v>28</x:v>
      </x:c>
      <x:c r="M211" s="73" t="n">
        <x:v>14</x:v>
      </x:c>
      <x:c r="N211" s="73" t="s">
        <x:v>3189</x:v>
      </x:c>
    </x:row>
    <x:row r="212" ht="15" hidden="0">
      <x:c r="A212" s="73" t="s">
        <x:v>4009</x:v>
      </x:c>
      <x:c r="B212" s="73" t="s">
        <x:v>3198</x:v>
      </x:c>
      <x:c r="C212" s="73" t="s">
        <x:v>973</x:v>
      </x:c>
      <x:c r="D212" s="73" t="s">
        <x:v>4010</x:v>
      </x:c>
      <x:c r="E212" s="73" t="s">
        <x:v>3394</x:v>
      </x:c>
      <x:c r="F212" s="73" t="s">
        <x:v>4011</x:v>
      </x:c>
      <x:c r="G212" s="73" t="n">
        <x:v>12</x:v>
      </x:c>
      <x:c r="H212" s="73" t="n">
        <x:v>25</x:v>
      </x:c>
      <x:c r="I212" s="73" t="s">
        <x:v>3404</x:v>
      </x:c>
      <x:c r="J212" s="73" t="n">
        <x:v>2020</x:v>
      </x:c>
      <x:c r="K212" s="73" t="n">
        <x:v>3</x:v>
      </x:c>
      <x:c r="L212" s="73" t="n">
        <x:v>1</x:v>
      </x:c>
      <x:c r="M212" s="73" t="n">
        <x:v>19</x:v>
      </x:c>
      <x:c r="N212" s="73" t="s">
        <x:v>3189</x:v>
      </x:c>
    </x:row>
    <x:row r="213" ht="15" hidden="0">
      <x:c r="A213" s="73" t="s">
        <x:v>4012</x:v>
      </x:c>
      <x:c r="B213" s="73" t="s">
        <x:v>3245</x:v>
      </x:c>
      <x:c r="C213" s="73" t="s">
        <x:v>977</x:v>
      </x:c>
      <x:c r="D213" s="73" t="s">
        <x:v>4013</x:v>
      </x:c>
      <x:c r="E213" s="73" t="s">
        <x:v>3382</x:v>
      </x:c>
      <x:c r="F213" s="73" t="s">
        <x:v>4014</x:v>
      </x:c>
      <x:c r="G213" s="73" t="n">
        <x:v>10</x:v>
      </x:c>
      <x:c r="H213" s="73" t="n">
        <x:v>20</x:v>
      </x:c>
      <x:c r="I213" s="73" t="s">
        <x:v>3387</x:v>
      </x:c>
      <x:c r="J213" s="73" t="n">
        <x:v>2018</x:v>
      </x:c>
      <x:c r="K213" s="73" t="n">
        <x:v>7</x:v>
      </x:c>
      <x:c r="L213" s="73" t="n">
        <x:v>10</x:v>
      </x:c>
      <x:c r="M213" s="73" t="n">
        <x:v>15</x:v>
      </x:c>
      <x:c r="N213" s="73" t="s">
        <x:v>3244</x:v>
      </x:c>
    </x:row>
    <x:row r="214" ht="15" hidden="0">
      <x:c r="A214" s="73" t="s">
        <x:v>4015</x:v>
      </x:c>
      <x:c r="B214" s="73" t="s">
        <x:v>3246</x:v>
      </x:c>
      <x:c r="C214" s="73" t="s">
        <x:v>981</x:v>
      </x:c>
      <x:c r="D214" s="73" t="s">
        <x:v>4016</x:v>
      </x:c>
      <x:c r="E214" s="73" t="s">
        <x:v>3390</x:v>
      </x:c>
      <x:c r="F214" s="73" t="s">
        <x:v>4017</x:v>
      </x:c>
      <x:c r="G214" s="73" t="n">
        <x:v>12</x:v>
      </x:c>
      <x:c r="H214" s="73" t="n">
        <x:v>25</x:v>
      </x:c>
      <x:c r="I214" s="73" t="s">
        <x:v>3396</x:v>
      </x:c>
      <x:c r="J214" s="73" t="n">
        <x:v>2022</x:v>
      </x:c>
      <x:c r="K214" s="73" t="n">
        <x:v>1</x:v>
      </x:c>
      <x:c r="L214" s="73" t="n">
        <x:v>5</x:v>
      </x:c>
      <x:c r="M214" s="73" t="n">
        <x:v>10</x:v>
      </x:c>
      <x:c r="N214" s="73" t="s">
        <x:v>3244</x:v>
      </x:c>
    </x:row>
    <x:row r="215" ht="15" hidden="0">
      <x:c r="A215" s="73" t="s">
        <x:v>4018</x:v>
      </x:c>
      <x:c r="B215" s="73" t="s">
        <x:v>3270</x:v>
      </x:c>
      <x:c r="C215" s="73" t="s">
        <x:v>985</x:v>
      </x:c>
      <x:c r="D215" s="73" t="s">
        <x:v>4019</x:v>
      </x:c>
      <x:c r="E215" s="73" t="s">
        <x:v>3394</x:v>
      </x:c>
      <x:c r="F215" s="73" t="s">
        <x:v>4020</x:v>
      </x:c>
      <x:c r="G215" s="73" t="n">
        <x:v>15</x:v>
      </x:c>
      <x:c r="H215" s="73" t="n">
        <x:v>30</x:v>
      </x:c>
      <x:c r="I215" s="73" t="s">
        <x:v>3400</x:v>
      </x:c>
      <x:c r="J215" s="73" t="n">
        <x:v>2021</x:v>
      </x:c>
      <x:c r="K215" s="73" t="n">
        <x:v>8</x:v>
      </x:c>
      <x:c r="L215" s="73" t="n">
        <x:v>20</x:v>
      </x:c>
      <x:c r="M215" s="73" t="n">
        <x:v>16</x:v>
      </x:c>
      <x:c r="N215" s="73" t="s">
        <x:v>3260</x:v>
      </x:c>
    </x:row>
    <x:row r="216" ht="15" hidden="0">
      <x:c r="A216" s="73" t="s">
        <x:v>4021</x:v>
      </x:c>
      <x:c r="B216" s="73" t="s">
        <x:v>3271</x:v>
      </x:c>
      <x:c r="C216" s="73" t="s">
        <x:v>989</x:v>
      </x:c>
      <x:c r="D216" s="73" t="s">
        <x:v>3338</x:v>
      </x:c>
      <x:c r="E216" s="73" t="s">
        <x:v>3382</x:v>
      </x:c>
      <x:c r="F216" s="73" t="s">
        <x:v>4022</x:v>
      </x:c>
      <x:c r="G216" s="73" t="n">
        <x:v>18</x:v>
      </x:c>
      <x:c r="H216" s="73" t="n">
        <x:v>35</x:v>
      </x:c>
      <x:c r="I216" s="73" t="s">
        <x:v>72</x:v>
      </x:c>
      <x:c r="J216" s="73" t="n">
        <x:v>2019</x:v>
      </x:c>
      <x:c r="K216" s="73" t="n">
        <x:v>11</x:v>
      </x:c>
      <x:c r="L216" s="73" t="n">
        <x:v>3</x:v>
      </x:c>
      <x:c r="M216" s="73" t="n">
        <x:v>13</x:v>
      </x:c>
      <x:c r="N216" s="73" t="s">
        <x:v>3260</x:v>
      </x:c>
    </x:row>
    <x:row r="217" ht="15" hidden="0">
      <x:c r="A217" s="73" t="s">
        <x:v>4023</x:v>
      </x:c>
      <x:c r="B217" s="73" t="s">
        <x:v>3266</x:v>
      </x:c>
      <x:c r="C217" s="73" t="s">
        <x:v>993</x:v>
      </x:c>
      <x:c r="D217" s="73" t="s">
        <x:v>4024</x:v>
      </x:c>
      <x:c r="E217" s="73" t="s">
        <x:v>3390</x:v>
      </x:c>
      <x:c r="F217" s="73" t="s">
        <x:v>4025</x:v>
      </x:c>
      <x:c r="G217" s="73" t="n">
        <x:v>25</x:v>
      </x:c>
      <x:c r="H217" s="73" t="n">
        <x:v>50</x:v>
      </x:c>
      <x:c r="I217" s="73" t="s">
        <x:v>3387</x:v>
      </x:c>
      <x:c r="J217" s="73" t="n">
        <x:v>2020</x:v>
      </x:c>
      <x:c r="K217" s="73" t="n">
        <x:v>4</x:v>
      </x:c>
      <x:c r="L217" s="73" t="n">
        <x:v>12</x:v>
      </x:c>
      <x:c r="M217" s="73" t="n">
        <x:v>19</x:v>
      </x:c>
      <x:c r="N217" s="73" t="s">
        <x:v>3260</x:v>
      </x:c>
    </x:row>
    <x:row r="218" ht="15" hidden="0">
      <x:c r="A218" s="73" t="s">
        <x:v>4026</x:v>
      </x:c>
      <x:c r="B218" s="73" t="s">
        <x:v>3265</x:v>
      </x:c>
      <x:c r="C218" s="73" t="s">
        <x:v>997</x:v>
      </x:c>
      <x:c r="D218" s="73" t="s">
        <x:v>4027</x:v>
      </x:c>
      <x:c r="E218" s="73" t="s">
        <x:v>3394</x:v>
      </x:c>
      <x:c r="F218" s="73" t="s">
        <x:v>4028</x:v>
      </x:c>
      <x:c r="G218" s="73" t="n">
        <x:v>22</x:v>
      </x:c>
      <x:c r="H218" s="73" t="n">
        <x:v>45</x:v>
      </x:c>
      <x:c r="I218" s="73" t="s">
        <x:v>3404</x:v>
      </x:c>
      <x:c r="J218" s="73" t="n">
        <x:v>2022</x:v>
      </x:c>
      <x:c r="K218" s="73" t="n">
        <x:v>4</x:v>
      </x:c>
      <x:c r="L218" s="73" t="n">
        <x:v>15</x:v>
      </x:c>
      <x:c r="M218" s="73" t="n">
        <x:v>8</x:v>
      </x:c>
      <x:c r="N218" s="73" t="s">
        <x:v>3260</x:v>
      </x:c>
    </x:row>
    <x:row r="219" ht="15" hidden="0">
      <x:c r="A219" s="73" t="s">
        <x:v>4029</x:v>
      </x:c>
      <x:c r="B219" s="73" t="s">
        <x:v>3247</x:v>
      </x:c>
      <x:c r="C219" s="73" t="s">
        <x:v>1001</x:v>
      </x:c>
      <x:c r="D219" s="73" t="s">
        <x:v>4030</x:v>
      </x:c>
      <x:c r="E219" s="73" t="s">
        <x:v>3382</x:v>
      </x:c>
      <x:c r="F219" s="73" t="s">
        <x:v>4031</x:v>
      </x:c>
      <x:c r="G219" s="73" t="n">
        <x:v>9</x:v>
      </x:c>
      <x:c r="H219" s="73" t="n">
        <x:v>18</x:v>
      </x:c>
      <x:c r="I219" s="73" t="s">
        <x:v>3396</x:v>
      </x:c>
      <x:c r="J219" s="73" t="n">
        <x:v>2023</x:v>
      </x:c>
      <x:c r="K219" s="73" t="n">
        <x:v>2</x:v>
      </x:c>
      <x:c r="L219" s="73" t="n">
        <x:v>10</x:v>
      </x:c>
      <x:c r="M219" s="73" t="n">
        <x:v>17</x:v>
      </x:c>
      <x:c r="N219" s="73" t="s">
        <x:v>3244</x:v>
      </x:c>
    </x:row>
    <x:row r="220" ht="15" hidden="0">
      <x:c r="A220" s="73" t="s">
        <x:v>4032</x:v>
      </x:c>
      <x:c r="B220" s="73" t="s">
        <x:v>3193</x:v>
      </x:c>
      <x:c r="C220" s="73" t="s">
        <x:v>1005</x:v>
      </x:c>
      <x:c r="D220" s="73" t="s">
        <x:v>4033</x:v>
      </x:c>
      <x:c r="E220" s="73" t="s">
        <x:v>3390</x:v>
      </x:c>
      <x:c r="F220" s="73" t="s">
        <x:v>4034</x:v>
      </x:c>
      <x:c r="G220" s="73" t="n">
        <x:v>14</x:v>
      </x:c>
      <x:c r="H220" s="73" t="n">
        <x:v>28</x:v>
      </x:c>
      <x:c r="I220" s="73" t="s">
        <x:v>3400</x:v>
      </x:c>
      <x:c r="J220" s="73" t="n">
        <x:v>2020</x:v>
      </x:c>
      <x:c r="K220" s="73" t="n">
        <x:v>8</x:v>
      </x:c>
      <x:c r="L220" s="73" t="n">
        <x:v>5</x:v>
      </x:c>
      <x:c r="M220" s="73" t="n">
        <x:v>12</x:v>
      </x:c>
      <x:c r="N220" s="73" t="s">
        <x:v>3189</x:v>
      </x:c>
    </x:row>
    <x:row r="221" ht="15" hidden="0">
      <x:c r="A221" s="73" t="s">
        <x:v>4035</x:v>
      </x:c>
      <x:c r="B221" s="73" t="s">
        <x:v>3199</x:v>
      </x:c>
      <x:c r="C221" s="73" t="s">
        <x:v>1009</x:v>
      </x:c>
      <x:c r="D221" s="73" t="s">
        <x:v>4036</x:v>
      </x:c>
      <x:c r="E221" s="73" t="s">
        <x:v>3394</x:v>
      </x:c>
      <x:c r="F221" s="73" t="s">
        <x:v>3979</x:v>
      </x:c>
      <x:c r="G221" s="73" t="n">
        <x:v>10</x:v>
      </x:c>
      <x:c r="H221" s="73" t="n">
        <x:v>20</x:v>
      </x:c>
      <x:c r="I221" s="73" t="s">
        <x:v>72</x:v>
      </x:c>
      <x:c r="J221" s="73" t="n">
        <x:v>2021</x:v>
      </x:c>
      <x:c r="K221" s="73" t="n">
        <x:v>12</x:v>
      </x:c>
      <x:c r="L221" s="73" t="n">
        <x:v>1</x:v>
      </x:c>
      <x:c r="M221" s="73" t="n">
        <x:v>15</x:v>
      </x:c>
      <x:c r="N221" s="73" t="s">
        <x:v>3189</x:v>
      </x:c>
    </x:row>
    <x:row r="222" ht="15" hidden="0">
      <x:c r="A222" s="73" t="s">
        <x:v>4037</x:v>
      </x:c>
      <x:c r="B222" s="73" t="s">
        <x:v>3198</x:v>
      </x:c>
      <x:c r="C222" s="73" t="s">
        <x:v>1013</x:v>
      </x:c>
      <x:c r="D222" s="73" t="s">
        <x:v>4038</x:v>
      </x:c>
      <x:c r="E222" s="73" t="s">
        <x:v>3382</x:v>
      </x:c>
      <x:c r="F222" s="73" t="s">
        <x:v>4039</x:v>
      </x:c>
      <x:c r="G222" s="73" t="n">
        <x:v>13</x:v>
      </x:c>
      <x:c r="H222" s="73" t="n">
        <x:v>26</x:v>
      </x:c>
      <x:c r="I222" s="73" t="s">
        <x:v>3387</x:v>
      </x:c>
      <x:c r="J222" s="73" t="n">
        <x:v>2019</x:v>
      </x:c>
      <x:c r="K222" s="73" t="n">
        <x:v>3</x:v>
      </x:c>
      <x:c r="L222" s="73" t="n">
        <x:v>25</x:v>
      </x:c>
      <x:c r="M222" s="73" t="n">
        <x:v>21</x:v>
      </x:c>
      <x:c r="N222" s="73" t="s">
        <x:v>3189</x:v>
      </x:c>
    </x:row>
    <x:row r="223" ht="15" hidden="0">
      <x:c r="A223" s="73" t="s">
        <x:v>4040</x:v>
      </x:c>
      <x:c r="B223" s="73" t="s">
        <x:v>3245</x:v>
      </x:c>
      <x:c r="C223" s="73" t="s">
        <x:v>1017</x:v>
      </x:c>
      <x:c r="D223" s="73" t="s">
        <x:v>4041</x:v>
      </x:c>
      <x:c r="E223" s="73" t="s">
        <x:v>3390</x:v>
      </x:c>
      <x:c r="F223" s="73" t="s">
        <x:v>4042</x:v>
      </x:c>
      <x:c r="G223" s="73" t="n">
        <x:v>12</x:v>
      </x:c>
      <x:c r="H223" s="73" t="n">
        <x:v>25</x:v>
      </x:c>
      <x:c r="I223" s="73" t="s">
        <x:v>3404</x:v>
      </x:c>
      <x:c r="J223" s="73" t="n">
        <x:v>2017</x:v>
      </x:c>
      <x:c r="K223" s="73" t="n">
        <x:v>6</x:v>
      </x:c>
      <x:c r="L223" s="73" t="n">
        <x:v>18</x:v>
      </x:c>
      <x:c r="M223" s="73" t="n">
        <x:v>14</x:v>
      </x:c>
      <x:c r="N223" s="73" t="s">
        <x:v>3244</x:v>
      </x:c>
    </x:row>
    <x:row r="224" ht="15" hidden="0">
      <x:c r="A224" s="73" t="s">
        <x:v>4043</x:v>
      </x:c>
      <x:c r="B224" s="73" t="s">
        <x:v>3246</x:v>
      </x:c>
      <x:c r="C224" s="73" t="s">
        <x:v>1021</x:v>
      </x:c>
      <x:c r="D224" s="73" t="s">
        <x:v>4044</x:v>
      </x:c>
      <x:c r="E224" s="73" t="s">
        <x:v>3394</x:v>
      </x:c>
      <x:c r="F224" s="73" t="s">
        <x:v>4045</x:v>
      </x:c>
      <x:c r="G224" s="73" t="n">
        <x:v>15</x:v>
      </x:c>
      <x:c r="H224" s="73" t="n">
        <x:v>30</x:v>
      </x:c>
      <x:c r="I224" s="73" t="s">
        <x:v>3400</x:v>
      </x:c>
      <x:c r="J224" s="73" t="n">
        <x:v>2022</x:v>
      </x:c>
      <x:c r="K224" s="73" t="n">
        <x:v>7</x:v>
      </x:c>
      <x:c r="L224" s="73" t="n">
        <x:v>8</x:v>
      </x:c>
      <x:c r="M224" s="73" t="n">
        <x:v>11</x:v>
      </x:c>
      <x:c r="N224" s="73" t="s">
        <x:v>3244</x:v>
      </x:c>
    </x:row>
    <x:row r="225" ht="15" hidden="0">
      <x:c r="A225" s="73" t="s">
        <x:v>4046</x:v>
      </x:c>
      <x:c r="B225" s="73" t="s">
        <x:v>3270</x:v>
      </x:c>
      <x:c r="C225" s="73" t="s">
        <x:v>1025</x:v>
      </x:c>
      <x:c r="D225" s="73" t="s">
        <x:v>4047</x:v>
      </x:c>
      <x:c r="E225" s="73" t="s">
        <x:v>3382</x:v>
      </x:c>
      <x:c r="F225" s="73" t="s">
        <x:v>4048</x:v>
      </x:c>
      <x:c r="G225" s="73" t="n">
        <x:v>18</x:v>
      </x:c>
      <x:c r="H225" s="73" t="n">
        <x:v>36</x:v>
      </x:c>
      <x:c r="I225" s="73" t="s">
        <x:v>3387</x:v>
      </x:c>
      <x:c r="J225" s="73" t="n">
        <x:v>2023</x:v>
      </x:c>
      <x:c r="K225" s="73" t="n">
        <x:v>5</x:v>
      </x:c>
      <x:c r="L225" s="73" t="n">
        <x:v>15</x:v>
      </x:c>
      <x:c r="M225" s="73" t="n">
        <x:v>16</x:v>
      </x:c>
      <x:c r="N225" s="73" t="s">
        <x:v>3260</x:v>
      </x:c>
    </x:row>
    <x:row r="226" ht="15" hidden="0">
      <x:c r="A226" s="73" t="s">
        <x:v>4049</x:v>
      </x:c>
      <x:c r="B226" s="73" t="s">
        <x:v>3271</x:v>
      </x:c>
      <x:c r="C226" s="73" t="s">
        <x:v>1029</x:v>
      </x:c>
      <x:c r="D226" s="73" t="s">
        <x:v>4050</x:v>
      </x:c>
      <x:c r="E226" s="73" t="s">
        <x:v>3390</x:v>
      </x:c>
      <x:c r="F226" s="73" t="s">
        <x:v>4051</x:v>
      </x:c>
      <x:c r="G226" s="73" t="n">
        <x:v>20</x:v>
      </x:c>
      <x:c r="H226" s="73" t="n">
        <x:v>40</x:v>
      </x:c>
      <x:c r="I226" s="73" t="s">
        <x:v>3396</x:v>
      </x:c>
      <x:c r="J226" s="73" t="n">
        <x:v>2021</x:v>
      </x:c>
      <x:c r="K226" s="73" t="n">
        <x:v>9</x:v>
      </x:c>
      <x:c r="L226" s="73" t="n">
        <x:v>10</x:v>
      </x:c>
      <x:c r="M226" s="73" t="n">
        <x:v>14</x:v>
      </x:c>
      <x:c r="N226" s="73" t="s">
        <x:v>3260</x:v>
      </x:c>
    </x:row>
    <x:row r="227" ht="15" hidden="0">
      <x:c r="A227" s="73" t="s">
        <x:v>4052</x:v>
      </x:c>
      <x:c r="B227" s="73" t="s">
        <x:v>3266</x:v>
      </x:c>
      <x:c r="C227" s="73" t="s">
        <x:v>1033</x:v>
      </x:c>
      <x:c r="D227" s="73" t="s">
        <x:v>4053</x:v>
      </x:c>
      <x:c r="E227" s="73" t="s">
        <x:v>3394</x:v>
      </x:c>
      <x:c r="F227" s="73" t="s">
        <x:v>4054</x:v>
      </x:c>
      <x:c r="G227" s="73" t="n">
        <x:v>25</x:v>
      </x:c>
      <x:c r="H227" s="73" t="n">
        <x:v>50</x:v>
      </x:c>
      <x:c r="I227" s="73" t="s">
        <x:v>72</x:v>
      </x:c>
      <x:c r="J227" s="73" t="n">
        <x:v>2020</x:v>
      </x:c>
      <x:c r="K227" s="73" t="n">
        <x:v>2</x:v>
      </x:c>
      <x:c r="L227" s="73" t="n">
        <x:v>28</x:v>
      </x:c>
      <x:c r="M227" s="73" t="n">
        <x:v>18</x:v>
      </x:c>
      <x:c r="N227" s="73" t="s">
        <x:v>3260</x:v>
      </x:c>
    </x:row>
    <x:row r="228" ht="15" hidden="0">
      <x:c r="A228" s="73" t="s">
        <x:v>4055</x:v>
      </x:c>
      <x:c r="B228" s="73" t="s">
        <x:v>3247</x:v>
      </x:c>
      <x:c r="C228" s="73" t="s">
        <x:v>1037</x:v>
      </x:c>
      <x:c r="D228" s="73" t="s">
        <x:v>4056</x:v>
      </x:c>
      <x:c r="E228" s="73" t="s">
        <x:v>3390</x:v>
      </x:c>
      <x:c r="F228" s="73" t="s">
        <x:v>4057</x:v>
      </x:c>
      <x:c r="G228" s="73" t="n">
        <x:v>9</x:v>
      </x:c>
      <x:c r="H228" s="73" t="n">
        <x:v>18</x:v>
      </x:c>
      <x:c r="I228" s="73" t="s">
        <x:v>3404</x:v>
      </x:c>
      <x:c r="J228" s="73" t="n">
        <x:v>2023</x:v>
      </x:c>
      <x:c r="K228" s="73" t="n">
        <x:v>3</x:v>
      </x:c>
      <x:c r="L228" s="73" t="n">
        <x:v>10</x:v>
      </x:c>
      <x:c r="M228" s="73" t="n">
        <x:v>16</x:v>
      </x:c>
      <x:c r="N228" s="73" t="s">
        <x:v>3244</x:v>
      </x:c>
    </x:row>
    <x:row r="229" ht="15" hidden="0">
      <x:c r="A229" s="73" t="s">
        <x:v>4058</x:v>
      </x:c>
      <x:c r="B229" s="73" t="s">
        <x:v>3193</x:v>
      </x:c>
      <x:c r="C229" s="73" t="s">
        <x:v>1041</x:v>
      </x:c>
      <x:c r="D229" s="73" t="s">
        <x:v>4059</x:v>
      </x:c>
      <x:c r="E229" s="73" t="s">
        <x:v>3394</x:v>
      </x:c>
      <x:c r="F229" s="73" t="s">
        <x:v>4005</x:v>
      </x:c>
      <x:c r="G229" s="73" t="n">
        <x:v>14</x:v>
      </x:c>
      <x:c r="H229" s="73" t="n">
        <x:v>28</x:v>
      </x:c>
      <x:c r="I229" s="73" t="s">
        <x:v>3400</x:v>
      </x:c>
      <x:c r="J229" s="73" t="n">
        <x:v>2021</x:v>
      </x:c>
      <x:c r="K229" s="73" t="n">
        <x:v>5</x:v>
      </x:c>
      <x:c r="L229" s="73" t="n">
        <x:v>2</x:v>
      </x:c>
      <x:c r="M229" s="73" t="n">
        <x:v>11</x:v>
      </x:c>
      <x:c r="N229" s="73" t="s">
        <x:v>3189</x:v>
      </x:c>
    </x:row>
    <x:row r="230" ht="15" hidden="0">
      <x:c r="A230" s="73" t="s">
        <x:v>4060</x:v>
      </x:c>
      <x:c r="B230" s="73" t="s">
        <x:v>3199</x:v>
      </x:c>
      <x:c r="C230" s="73" t="s">
        <x:v>1044</x:v>
      </x:c>
      <x:c r="D230" s="73" t="s">
        <x:v>4061</x:v>
      </x:c>
      <x:c r="E230" s="73" t="s">
        <x:v>3382</x:v>
      </x:c>
      <x:c r="F230" s="73" t="s">
        <x:v>4062</x:v>
      </x:c>
      <x:c r="G230" s="73" t="n">
        <x:v>11</x:v>
      </x:c>
      <x:c r="H230" s="73" t="n">
        <x:v>22</x:v>
      </x:c>
      <x:c r="I230" s="73" t="s">
        <x:v>3396</x:v>
      </x:c>
      <x:c r="J230" s="73" t="n">
        <x:v>2019</x:v>
      </x:c>
      <x:c r="K230" s="73" t="n">
        <x:v>10</x:v>
      </x:c>
      <x:c r="L230" s="73" t="n">
        <x:v>18</x:v>
      </x:c>
      <x:c r="M230" s="73" t="n">
        <x:v>14</x:v>
      </x:c>
      <x:c r="N230" s="73" t="s">
        <x:v>3189</x:v>
      </x:c>
    </x:row>
    <x:row r="231" ht="15" hidden="0">
      <x:c r="A231" s="73" t="s">
        <x:v>4063</x:v>
      </x:c>
      <x:c r="B231" s="73" t="s">
        <x:v>3198</x:v>
      </x:c>
      <x:c r="C231" s="73" t="s">
        <x:v>1048</x:v>
      </x:c>
      <x:c r="D231" s="73" t="s">
        <x:v>4064</x:v>
      </x:c>
      <x:c r="E231" s="73" t="s">
        <x:v>3390</x:v>
      </x:c>
      <x:c r="F231" s="73" t="s">
        <x:v>4065</x:v>
      </x:c>
      <x:c r="G231" s="73" t="n">
        <x:v>13</x:v>
      </x:c>
      <x:c r="H231" s="73" t="n">
        <x:v>26</x:v>
      </x:c>
      <x:c r="I231" s="73" t="s">
        <x:v>72</x:v>
      </x:c>
      <x:c r="J231" s="73" t="n">
        <x:v>2020</x:v>
      </x:c>
      <x:c r="K231" s="73" t="n">
        <x:v>1</x:v>
      </x:c>
      <x:c r="L231" s="73" t="n">
        <x:v>5</x:v>
      </x:c>
      <x:c r="M231" s="73" t="n">
        <x:v>20</x:v>
      </x:c>
      <x:c r="N231" s="73" t="s">
        <x:v>3189</x:v>
      </x:c>
    </x:row>
    <x:row r="232" ht="15" hidden="0">
      <x:c r="A232" s="73" t="s">
        <x:v>4066</x:v>
      </x:c>
      <x:c r="B232" s="73" t="s">
        <x:v>3245</x:v>
      </x:c>
      <x:c r="C232" s="73" t="s">
        <x:v>1052</x:v>
      </x:c>
      <x:c r="D232" s="73" t="s">
        <x:v>4067</x:v>
      </x:c>
      <x:c r="E232" s="73" t="s">
        <x:v>3394</x:v>
      </x:c>
      <x:c r="F232" s="73" t="s">
        <x:v>4068</x:v>
      </x:c>
      <x:c r="G232" s="73" t="n">
        <x:v>12</x:v>
      </x:c>
      <x:c r="H232" s="73" t="n">
        <x:v>25</x:v>
      </x:c>
      <x:c r="I232" s="73" t="s">
        <x:v>3387</x:v>
      </x:c>
      <x:c r="J232" s="73" t="n">
        <x:v>2018</x:v>
      </x:c>
      <x:c r="K232" s="73" t="n">
        <x:v>8</x:v>
      </x:c>
      <x:c r="L232" s="73" t="n">
        <x:v>10</x:v>
      </x:c>
      <x:c r="M232" s="73" t="n">
        <x:v>15</x:v>
      </x:c>
      <x:c r="N232" s="73" t="s">
        <x:v>3244</x:v>
      </x:c>
    </x:row>
    <x:row r="233" ht="15" hidden="0">
      <x:c r="A233" s="73" t="s">
        <x:v>4069</x:v>
      </x:c>
      <x:c r="B233" s="73" t="s">
        <x:v>3246</x:v>
      </x:c>
      <x:c r="C233" s="73" t="s">
        <x:v>1056</x:v>
      </x:c>
      <x:c r="D233" s="73" t="s">
        <x:v>4070</x:v>
      </x:c>
      <x:c r="E233" s="73" t="s">
        <x:v>3382</x:v>
      </x:c>
      <x:c r="F233" s="73" t="s">
        <x:v>4071</x:v>
      </x:c>
      <x:c r="G233" s="73" t="n">
        <x:v>15</x:v>
      </x:c>
      <x:c r="H233" s="73" t="n">
        <x:v>30</x:v>
      </x:c>
      <x:c r="I233" s="73" t="s">
        <x:v>3404</x:v>
      </x:c>
      <x:c r="J233" s="73" t="n">
        <x:v>2022</x:v>
      </x:c>
      <x:c r="K233" s="73" t="n">
        <x:v>1</x:v>
      </x:c>
      <x:c r="L233" s="73" t="n">
        <x:v>15</x:v>
      </x:c>
      <x:c r="M233" s="73" t="n">
        <x:v>10</x:v>
      </x:c>
      <x:c r="N233" s="73" t="s">
        <x:v>3244</x:v>
      </x:c>
    </x:row>
    <x:row r="234" ht="15" hidden="0">
      <x:c r="A234" s="73" t="s">
        <x:v>4072</x:v>
      </x:c>
      <x:c r="B234" s="73" t="s">
        <x:v>3270</x:v>
      </x:c>
      <x:c r="C234" s="73" t="s">
        <x:v>1060</x:v>
      </x:c>
      <x:c r="D234" s="73" t="s">
        <x:v>4073</x:v>
      </x:c>
      <x:c r="E234" s="73" t="s">
        <x:v>3390</x:v>
      </x:c>
      <x:c r="F234" s="73" t="s">
        <x:v>4074</x:v>
      </x:c>
      <x:c r="G234" s="73" t="n">
        <x:v>18</x:v>
      </x:c>
      <x:c r="H234" s="73" t="n">
        <x:v>36</x:v>
      </x:c>
      <x:c r="I234" s="73" t="s">
        <x:v>3400</x:v>
      </x:c>
      <x:c r="J234" s="73" t="n">
        <x:v>2021</x:v>
      </x:c>
      <x:c r="K234" s="73" t="n">
        <x:v>7</x:v>
      </x:c>
      <x:c r="L234" s="73" t="n">
        <x:v>20</x:v>
      </x:c>
      <x:c r="M234" s="73" t="n">
        <x:v>16</x:v>
      </x:c>
      <x:c r="N234" s="73" t="s">
        <x:v>3260</x:v>
      </x:c>
    </x:row>
    <x:row r="235" ht="15" hidden="0">
      <x:c r="A235" s="73" t="s">
        <x:v>4075</x:v>
      </x:c>
      <x:c r="B235" s="73" t="s">
        <x:v>3271</x:v>
      </x:c>
      <x:c r="C235" s="73" t="s">
        <x:v>1064</x:v>
      </x:c>
      <x:c r="D235" s="73" t="s">
        <x:v>4076</x:v>
      </x:c>
      <x:c r="E235" s="73" t="s">
        <x:v>3394</x:v>
      </x:c>
      <x:c r="F235" s="73" t="s">
        <x:v>4077</x:v>
      </x:c>
      <x:c r="G235" s="73" t="n">
        <x:v>20</x:v>
      </x:c>
      <x:c r="H235" s="73" t="n">
        <x:v>40</x:v>
      </x:c>
      <x:c r="I235" s="73" t="s">
        <x:v>72</x:v>
      </x:c>
      <x:c r="J235" s="73" t="n">
        <x:v>2019</x:v>
      </x:c>
      <x:c r="K235" s="73" t="n">
        <x:v>12</x:v>
      </x:c>
      <x:c r="L235" s="73" t="n">
        <x:v>3</x:v>
      </x:c>
      <x:c r="M235" s="73" t="n">
        <x:v>13</x:v>
      </x:c>
      <x:c r="N235" s="73" t="s">
        <x:v>3260</x:v>
      </x:c>
    </x:row>
    <x:row r="236" ht="15" hidden="0">
      <x:c r="A236" s="73" t="s">
        <x:v>4078</x:v>
      </x:c>
      <x:c r="B236" s="73" t="s">
        <x:v>3266</x:v>
      </x:c>
      <x:c r="C236" s="73" t="s">
        <x:v>993</x:v>
      </x:c>
      <x:c r="D236" s="73" t="s">
        <x:v>4079</x:v>
      </x:c>
      <x:c r="E236" s="73" t="s">
        <x:v>3382</x:v>
      </x:c>
      <x:c r="F236" s="73" t="s">
        <x:v>4080</x:v>
      </x:c>
      <x:c r="G236" s="73" t="n">
        <x:v>25</x:v>
      </x:c>
      <x:c r="H236" s="73" t="n">
        <x:v>50</x:v>
      </x:c>
      <x:c r="I236" s="73" t="s">
        <x:v>3387</x:v>
      </x:c>
      <x:c r="J236" s="73" t="n">
        <x:v>2020</x:v>
      </x:c>
      <x:c r="K236" s="73" t="n">
        <x:v>4</x:v>
      </x:c>
      <x:c r="L236" s="73" t="n">
        <x:v>12</x:v>
      </x:c>
      <x:c r="M236" s="73" t="n">
        <x:v>19</x:v>
      </x:c>
      <x:c r="N236" s="73" t="s">
        <x:v>3260</x:v>
      </x:c>
    </x:row>
    <x:row r="237" ht="15" hidden="0">
      <x:c r="A237" s="73" t="s">
        <x:v>4081</x:v>
      </x:c>
      <x:c r="B237" s="73" t="s">
        <x:v>3265</x:v>
      </x:c>
      <x:c r="C237" s="73" t="s">
        <x:v>1071</x:v>
      </x:c>
      <x:c r="D237" s="73" t="s">
        <x:v>4082</x:v>
      </x:c>
      <x:c r="E237" s="73" t="s">
        <x:v>3390</x:v>
      </x:c>
      <x:c r="F237" s="73" t="s">
        <x:v>4083</x:v>
      </x:c>
      <x:c r="G237" s="73" t="n">
        <x:v>22</x:v>
      </x:c>
      <x:c r="H237" s="73" t="n">
        <x:v>45</x:v>
      </x:c>
      <x:c r="I237" s="73" t="s">
        <x:v>3396</x:v>
      </x:c>
      <x:c r="J237" s="73" t="n">
        <x:v>2022</x:v>
      </x:c>
      <x:c r="K237" s="73" t="n">
        <x:v>5</x:v>
      </x:c>
      <x:c r="L237" s="73" t="n">
        <x:v>8</x:v>
      </x:c>
      <x:c r="M237" s="73" t="n">
        <x:v>8</x:v>
      </x:c>
      <x:c r="N237" s="73" t="s">
        <x:v>3260</x:v>
      </x:c>
    </x:row>
    <x:row r="238" ht="15" hidden="0">
      <x:c r="A238" s="73" t="s">
        <x:v>4084</x:v>
      </x:c>
      <x:c r="B238" s="73" t="s">
        <x:v>3247</x:v>
      </x:c>
      <x:c r="C238" s="73" t="s">
        <x:v>1075</x:v>
      </x:c>
      <x:c r="D238" s="73" t="s">
        <x:v>4085</x:v>
      </x:c>
      <x:c r="E238" s="73" t="s">
        <x:v>3394</x:v>
      </x:c>
      <x:c r="F238" s="73" t="s">
        <x:v>4031</x:v>
      </x:c>
      <x:c r="G238" s="73" t="n">
        <x:v>9</x:v>
      </x:c>
      <x:c r="H238" s="73" t="n">
        <x:v>18</x:v>
      </x:c>
      <x:c r="I238" s="73" t="s">
        <x:v>3404</x:v>
      </x:c>
      <x:c r="J238" s="73" t="n">
        <x:v>2023</x:v>
      </x:c>
      <x:c r="K238" s="73" t="n">
        <x:v>2</x:v>
      </x:c>
      <x:c r="L238" s="73" t="n">
        <x:v>22</x:v>
      </x:c>
      <x:c r="M238" s="73" t="n">
        <x:v>17</x:v>
      </x:c>
      <x:c r="N238" s="73" t="s">
        <x:v>3244</x:v>
      </x:c>
    </x:row>
    <x:row r="239" ht="15" hidden="0">
      <x:c r="A239" s="73" t="s">
        <x:v>4086</x:v>
      </x:c>
      <x:c r="B239" s="73" t="s">
        <x:v>3193</x:v>
      </x:c>
      <x:c r="C239" s="73" t="s">
        <x:v>1078</x:v>
      </x:c>
      <x:c r="D239" s="73" t="s">
        <x:v>4087</x:v>
      </x:c>
      <x:c r="E239" s="73" t="s">
        <x:v>3382</x:v>
      </x:c>
      <x:c r="F239" s="73" t="s">
        <x:v>4088</x:v>
      </x:c>
      <x:c r="G239" s="73" t="n">
        <x:v>14</x:v>
      </x:c>
      <x:c r="H239" s="73" t="n">
        <x:v>28</x:v>
      </x:c>
      <x:c r="I239" s="73" t="s">
        <x:v>3400</x:v>
      </x:c>
      <x:c r="J239" s="73" t="n">
        <x:v>2020</x:v>
      </x:c>
      <x:c r="K239" s="73" t="n">
        <x:v>6</x:v>
      </x:c>
      <x:c r="L239" s="73" t="n">
        <x:v>5</x:v>
      </x:c>
      <x:c r="M239" s="73" t="n">
        <x:v>12</x:v>
      </x:c>
      <x:c r="N239" s="73" t="s">
        <x:v>3189</x:v>
      </x:c>
    </x:row>
    <x:row r="240" ht="15" hidden="0">
      <x:c r="A240" s="73" t="s">
        <x:v>4089</x:v>
      </x:c>
      <x:c r="B240" s="73" t="s">
        <x:v>3199</x:v>
      </x:c>
      <x:c r="C240" s="73" t="s">
        <x:v>1082</x:v>
      </x:c>
      <x:c r="D240" s="73" t="s">
        <x:v>4090</x:v>
      </x:c>
      <x:c r="E240" s="73" t="s">
        <x:v>3390</x:v>
      </x:c>
      <x:c r="F240" s="73" t="s">
        <x:v>4091</x:v>
      </x:c>
      <x:c r="G240" s="73" t="n">
        <x:v>10</x:v>
      </x:c>
      <x:c r="H240" s="73" t="n">
        <x:v>20</x:v>
      </x:c>
      <x:c r="I240" s="73" t="s">
        <x:v>3387</x:v>
      </x:c>
      <x:c r="J240" s="73" t="n">
        <x:v>2021</x:v>
      </x:c>
      <x:c r="K240" s="73" t="n">
        <x:v>11</x:v>
      </x:c>
      <x:c r="L240" s="73" t="n">
        <x:v>30</x:v>
      </x:c>
      <x:c r="M240" s="73" t="n">
        <x:v>15</x:v>
      </x:c>
      <x:c r="N240" s="73" t="s">
        <x:v>3189</x:v>
      </x:c>
    </x:row>
    <x:row r="241" ht="15" hidden="0">
      <x:c r="A241" s="73" t="s">
        <x:v>4092</x:v>
      </x:c>
      <x:c r="B241" s="73" t="s">
        <x:v>3198</x:v>
      </x:c>
      <x:c r="C241" s="73" t="s">
        <x:v>1086</x:v>
      </x:c>
      <x:c r="D241" s="73" t="s">
        <x:v>4093</x:v>
      </x:c>
      <x:c r="E241" s="73" t="s">
        <x:v>3394</x:v>
      </x:c>
      <x:c r="F241" s="73" t="s">
        <x:v>4094</x:v>
      </x:c>
      <x:c r="G241" s="73" t="n">
        <x:v>13</x:v>
      </x:c>
      <x:c r="H241" s="73" t="n">
        <x:v>26</x:v>
      </x:c>
      <x:c r="I241" s="73" t="s">
        <x:v>3396</x:v>
      </x:c>
      <x:c r="J241" s="73" t="n">
        <x:v>2019</x:v>
      </x:c>
      <x:c r="K241" s="73" t="n">
        <x:v>2</x:v>
      </x:c>
      <x:c r="L241" s="73" t="n">
        <x:v>25</x:v>
      </x:c>
      <x:c r="M241" s="73" t="n">
        <x:v>21</x:v>
      </x:c>
      <x:c r="N241" s="73" t="s">
        <x:v>3189</x:v>
      </x:c>
    </x:row>
    <x:row r="242" ht="15" hidden="0">
      <x:c r="A242" s="73" t="s">
        <x:v>4095</x:v>
      </x:c>
      <x:c r="B242" s="73" t="s">
        <x:v>3245</x:v>
      </x:c>
      <x:c r="C242" s="73" t="s">
        <x:v>1090</x:v>
      </x:c>
      <x:c r="D242" s="73" t="s">
        <x:v>4096</x:v>
      </x:c>
      <x:c r="E242" s="73" t="s">
        <x:v>3382</x:v>
      </x:c>
      <x:c r="F242" s="73" t="s">
        <x:v>4097</x:v>
      </x:c>
      <x:c r="G242" s="73" t="n">
        <x:v>12</x:v>
      </x:c>
      <x:c r="H242" s="73" t="n">
        <x:v>25</x:v>
      </x:c>
      <x:c r="I242" s="73" t="s">
        <x:v>72</x:v>
      </x:c>
      <x:c r="J242" s="73" t="n">
        <x:v>2017</x:v>
      </x:c>
      <x:c r="K242" s="73" t="n">
        <x:v>5</x:v>
      </x:c>
      <x:c r="L242" s="73" t="n">
        <x:v>18</x:v>
      </x:c>
      <x:c r="M242" s="73" t="n">
        <x:v>14</x:v>
      </x:c>
      <x:c r="N242" s="73" t="s">
        <x:v>3244</x:v>
      </x:c>
    </x:row>
    <x:row r="243" ht="15" hidden="0">
      <x:c r="A243" s="73" t="s">
        <x:v>4098</x:v>
      </x:c>
      <x:c r="B243" s="73" t="s">
        <x:v>3246</x:v>
      </x:c>
      <x:c r="C243" s="73" t="s">
        <x:v>1094</x:v>
      </x:c>
      <x:c r="D243" s="73" t="s">
        <x:v>4099</x:v>
      </x:c>
      <x:c r="E243" s="73" t="s">
        <x:v>3390</x:v>
      </x:c>
      <x:c r="F243" s="73" t="s">
        <x:v>4100</x:v>
      </x:c>
      <x:c r="G243" s="73" t="n">
        <x:v>15</x:v>
      </x:c>
      <x:c r="H243" s="73" t="n">
        <x:v>30</x:v>
      </x:c>
      <x:c r="I243" s="73" t="s">
        <x:v>3387</x:v>
      </x:c>
      <x:c r="J243" s="73" t="n">
        <x:v>2022</x:v>
      </x:c>
      <x:c r="K243" s="73" t="n">
        <x:v>8</x:v>
      </x:c>
      <x:c r="L243" s="73" t="n">
        <x:v>5</x:v>
      </x:c>
      <x:c r="M243" s="73" t="n">
        <x:v>11</x:v>
      </x:c>
      <x:c r="N243" s="73" t="s">
        <x:v>3244</x:v>
      </x:c>
    </x:row>
    <x:row r="244" ht="15" hidden="0">
      <x:c r="A244" s="73" t="s">
        <x:v>4101</x:v>
      </x:c>
      <x:c r="B244" s="73" t="s">
        <x:v>3270</x:v>
      </x:c>
      <x:c r="C244" s="73" t="s">
        <x:v>1098</x:v>
      </x:c>
      <x:c r="D244" s="73" t="s">
        <x:v>4102</x:v>
      </x:c>
      <x:c r="E244" s="73" t="s">
        <x:v>3394</x:v>
      </x:c>
      <x:c r="F244" s="73" t="s">
        <x:v>4103</x:v>
      </x:c>
      <x:c r="G244" s="73" t="n">
        <x:v>18</x:v>
      </x:c>
      <x:c r="H244" s="73" t="n">
        <x:v>36</x:v>
      </x:c>
      <x:c r="I244" s="73" t="s">
        <x:v>3400</x:v>
      </x:c>
      <x:c r="J244" s="73" t="n">
        <x:v>2023</x:v>
      </x:c>
      <x:c r="K244" s="73" t="n">
        <x:v>6</x:v>
      </x:c>
      <x:c r="L244" s="73" t="n">
        <x:v>15</x:v>
      </x:c>
      <x:c r="M244" s="73" t="n">
        <x:v>16</x:v>
      </x:c>
      <x:c r="N244" s="73" t="s">
        <x:v>3260</x:v>
      </x:c>
    </x:row>
    <x:row r="245" ht="15" hidden="0">
      <x:c r="A245" s="73" t="s">
        <x:v>4104</x:v>
      </x:c>
      <x:c r="B245" s="73" t="s">
        <x:v>3271</x:v>
      </x:c>
      <x:c r="C245" s="73" t="s">
        <x:v>1102</x:v>
      </x:c>
      <x:c r="D245" s="73" t="s">
        <x:v>4105</x:v>
      </x:c>
      <x:c r="E245" s="73" t="s">
        <x:v>3382</x:v>
      </x:c>
      <x:c r="F245" s="73" t="s">
        <x:v>4106</x:v>
      </x:c>
      <x:c r="G245" s="73" t="n">
        <x:v>20</x:v>
      </x:c>
      <x:c r="H245" s="73" t="n">
        <x:v>40</x:v>
      </x:c>
      <x:c r="I245" s="73" t="s">
        <x:v>3396</x:v>
      </x:c>
      <x:c r="J245" s="73" t="n">
        <x:v>2021</x:v>
      </x:c>
      <x:c r="K245" s="73" t="n">
        <x:v>10</x:v>
      </x:c>
      <x:c r="L245" s="73" t="n">
        <x:v>10</x:v>
      </x:c>
      <x:c r="M245" s="73" t="n">
        <x:v>14</x:v>
      </x:c>
      <x:c r="N245" s="73" t="s">
        <x:v>3260</x:v>
      </x:c>
    </x:row>
    <x:row r="246" ht="15" hidden="0">
      <x:c r="A246" s="73" t="s">
        <x:v>4107</x:v>
      </x:c>
      <x:c r="B246" s="73" t="s">
        <x:v>3266</x:v>
      </x:c>
      <x:c r="C246" s="73" t="s">
        <x:v>1106</x:v>
      </x:c>
      <x:c r="D246" s="73" t="s">
        <x:v>4108</x:v>
      </x:c>
      <x:c r="E246" s="73" t="s">
        <x:v>3390</x:v>
      </x:c>
      <x:c r="F246" s="73" t="s">
        <x:v>4109</x:v>
      </x:c>
      <x:c r="G246" s="73" t="n">
        <x:v>25</x:v>
      </x:c>
      <x:c r="H246" s="73" t="n">
        <x:v>50</x:v>
      </x:c>
      <x:c r="I246" s="73" t="s">
        <x:v>72</x:v>
      </x:c>
      <x:c r="J246" s="73" t="n">
        <x:v>2020</x:v>
      </x:c>
      <x:c r="K246" s="73" t="n">
        <x:v>5</x:v>
      </x:c>
      <x:c r="L246" s="73" t="n">
        <x:v>12</x:v>
      </x:c>
      <x:c r="M246" s="73" t="n">
        <x:v>19</x:v>
      </x:c>
      <x:c r="N246" s="73" t="s">
        <x:v>3260</x:v>
      </x:c>
    </x:row>
    <x:row r="247" ht="15" hidden="0">
      <x:c r="A247" s="73" t="s">
        <x:v>4110</x:v>
      </x:c>
      <x:c r="B247" s="73" t="s">
        <x:v>3265</x:v>
      </x:c>
      <x:c r="C247" s="73" t="s">
        <x:v>1110</x:v>
      </x:c>
      <x:c r="D247" s="73" t="s">
        <x:v>4111</x:v>
      </x:c>
      <x:c r="E247" s="73" t="s">
        <x:v>3394</x:v>
      </x:c>
      <x:c r="F247" s="73" t="s">
        <x:v>4112</x:v>
      </x:c>
      <x:c r="G247" s="73" t="n">
        <x:v>22</x:v>
      </x:c>
      <x:c r="H247" s="73" t="n">
        <x:v>44</x:v>
      </x:c>
      <x:c r="I247" s="73" t="s">
        <x:v>3404</x:v>
      </x:c>
      <x:c r="J247" s="73" t="n">
        <x:v>2022</x:v>
      </x:c>
      <x:c r="K247" s="73" t="n">
        <x:v>12</x:v>
      </x:c>
      <x:c r="L247" s="73" t="n">
        <x:v>1</x:v>
      </x:c>
      <x:c r="M247" s="73" t="n">
        <x:v>9</x:v>
      </x:c>
      <x:c r="N247" s="73" t="s">
        <x:v>3260</x:v>
      </x:c>
    </x:row>
    <x:row r="248" ht="15" hidden="0">
      <x:c r="A248" s="73" t="s">
        <x:v>4089</x:v>
      </x:c>
      <x:c r="B248" s="73" t="s">
        <x:v>3199</x:v>
      </x:c>
      <x:c r="C248" s="73" t="s">
        <x:v>1082</x:v>
      </x:c>
      <x:c r="D248" s="73" t="s">
        <x:v>4090</x:v>
      </x:c>
      <x:c r="E248" s="73" t="s">
        <x:v>3390</x:v>
      </x:c>
      <x:c r="F248" s="73" t="s">
        <x:v>4091</x:v>
      </x:c>
      <x:c r="G248" s="73" t="n">
        <x:v>10</x:v>
      </x:c>
      <x:c r="H248" s="73" t="n">
        <x:v>20</x:v>
      </x:c>
      <x:c r="I248" s="73" t="s">
        <x:v>3387</x:v>
      </x:c>
      <x:c r="J248" s="73" t="n">
        <x:v>2021</x:v>
      </x:c>
      <x:c r="K248" s="73" t="n">
        <x:v>11</x:v>
      </x:c>
      <x:c r="L248" s="73" t="n">
        <x:v>30</x:v>
      </x:c>
      <x:c r="M248" s="73" t="n">
        <x:v>15</x:v>
      </x:c>
      <x:c r="N248" s="73" t="s">
        <x:v>3189</x:v>
      </x:c>
    </x:row>
    <x:row r="249" ht="15" hidden="0">
      <x:c r="A249" s="73" t="s">
        <x:v>4113</x:v>
      </x:c>
      <x:c r="B249" s="73" t="s">
        <x:v>3320</x:v>
      </x:c>
      <x:c r="C249" s="73" t="s">
        <x:v>1119</x:v>
      </x:c>
      <x:c r="D249" s="73" t="s">
        <x:v>4114</x:v>
      </x:c>
      <x:c r="E249" s="73" t="s">
        <x:v>3382</x:v>
      </x:c>
      <x:c r="F249" s="73" t="s">
        <x:v>4115</x:v>
      </x:c>
      <x:c r="G249" s="73" t="n">
        <x:v>15</x:v>
      </x:c>
      <x:c r="H249" s="73" t="n">
        <x:v>30</x:v>
      </x:c>
      <x:c r="I249" s="73" t="s">
        <x:v>72</x:v>
      </x:c>
      <x:c r="J249" s="73" t="n">
        <x:v>2018</x:v>
      </x:c>
      <x:c r="K249" s="73" t="n">
        <x:v>7</x:v>
      </x:c>
      <x:c r="L249" s="73" t="n">
        <x:v>12</x:v>
      </x:c>
      <x:c r="M249" s="73" t="n">
        <x:v>17</x:v>
      </x:c>
      <x:c r="N249" s="73" t="s">
        <x:v>3260</x:v>
      </x:c>
    </x:row>
    <x:row r="250" ht="15" hidden="0">
      <x:c r="A250" s="73" t="s">
        <x:v>4116</x:v>
      </x:c>
      <x:c r="B250" s="73" t="s">
        <x:v>3263</x:v>
      </x:c>
      <x:c r="C250" s="73" t="s">
        <x:v>1125</x:v>
      </x:c>
      <x:c r="D250" s="73" t="s">
        <x:v>4117</x:v>
      </x:c>
      <x:c r="E250" s="73" t="s">
        <x:v>3394</x:v>
      </x:c>
      <x:c r="F250" s="73" t="s">
        <x:v>4118</x:v>
      </x:c>
      <x:c r="G250" s="73" t="n">
        <x:v>18</x:v>
      </x:c>
      <x:c r="H250" s="73" t="n">
        <x:v>36</x:v>
      </x:c>
      <x:c r="I250" s="73" t="s">
        <x:v>3400</x:v>
      </x:c>
      <x:c r="J250" s="73" t="n">
        <x:v>2020</x:v>
      </x:c>
      <x:c r="K250" s="73" t="n">
        <x:v>9</x:v>
      </x:c>
      <x:c r="L250" s="73" t="n">
        <x:v>5</x:v>
      </x:c>
      <x:c r="M250" s="73" t="n">
        <x:v>20</x:v>
      </x:c>
      <x:c r="N250" s="73" t="s">
        <x:v>3260</x:v>
      </x:c>
    </x:row>
    <x:row r="251" ht="15" hidden="0">
      <x:c r="A251" s="73" t="s">
        <x:v>4119</x:v>
      </x:c>
      <x:c r="B251" s="73" t="s">
        <x:v>3269</x:v>
      </x:c>
      <x:c r="C251" s="73" t="s">
        <x:v>1130</x:v>
      </x:c>
      <x:c r="D251" s="73" t="s">
        <x:v>4120</x:v>
      </x:c>
      <x:c r="E251" s="73" t="s">
        <x:v>3390</x:v>
      </x:c>
      <x:c r="F251" s="73" t="s">
        <x:v>4121</x:v>
      </x:c>
      <x:c r="G251" s="73" t="n">
        <x:v>12</x:v>
      </x:c>
      <x:c r="H251" s="73" t="n">
        <x:v>24</x:v>
      </x:c>
      <x:c r="I251" s="73" t="s">
        <x:v>3404</x:v>
      </x:c>
      <x:c r="J251" s="73" t="n">
        <x:v>2022</x:v>
      </x:c>
      <x:c r="K251" s="73" t="n">
        <x:v>4</x:v>
      </x:c>
      <x:c r="L251" s="73" t="n">
        <x:v>18</x:v>
      </x:c>
      <x:c r="M251" s="73" t="n">
        <x:v>8</x:v>
      </x:c>
      <x:c r="N251" s="73" t="s">
        <x:v>3260</x:v>
      </x:c>
    </x:row>
    <x:row r="252" ht="15" hidden="0">
      <x:c r="A252" s="73" t="s">
        <x:v>4122</x:v>
      </x:c>
      <x:c r="B252" s="73" t="s">
        <x:v>3290</x:v>
      </x:c>
      <x:c r="C252" s="73" t="s">
        <x:v>1135</x:v>
      </x:c>
      <x:c r="D252" s="73" t="s">
        <x:v>4123</x:v>
      </x:c>
      <x:c r="E252" s="73" t="s">
        <x:v>3382</x:v>
      </x:c>
      <x:c r="F252" s="73" t="s">
        <x:v>4124</x:v>
      </x:c>
      <x:c r="G252" s="73" t="n">
        <x:v>25</x:v>
      </x:c>
      <x:c r="H252" s="73" t="n">
        <x:v>50</x:v>
      </x:c>
      <x:c r="I252" s="73" t="s">
        <x:v>3387</x:v>
      </x:c>
      <x:c r="J252" s="73" t="n">
        <x:v>2019</x:v>
      </x:c>
      <x:c r="K252" s="73" t="n">
        <x:v>12</x:v>
      </x:c>
      <x:c r="L252" s="73" t="n">
        <x:v>10</x:v>
      </x:c>
      <x:c r="M252" s="73" t="n">
        <x:v>12</x:v>
      </x:c>
      <x:c r="N252" s="73" t="s">
        <x:v>3260</x:v>
      </x:c>
    </x:row>
    <x:row r="253" ht="15" hidden="0">
      <x:c r="A253" s="73" t="s">
        <x:v>4125</x:v>
      </x:c>
      <x:c r="B253" s="73" t="s">
        <x:v>3289</x:v>
      </x:c>
      <x:c r="C253" s="73" t="s">
        <x:v>1140</x:v>
      </x:c>
      <x:c r="D253" s="73" t="s">
        <x:v>4126</x:v>
      </x:c>
      <x:c r="E253" s="73" t="s">
        <x:v>3394</x:v>
      </x:c>
      <x:c r="F253" s="73" t="s">
        <x:v>4127</x:v>
      </x:c>
      <x:c r="G253" s="73" t="n">
        <x:v>20</x:v>
      </x:c>
      <x:c r="H253" s="73" t="n">
        <x:v>40</x:v>
      </x:c>
      <x:c r="I253" s="73" t="s">
        <x:v>72</x:v>
      </x:c>
      <x:c r="J253" s="73" t="n">
        <x:v>2023</x:v>
      </x:c>
      <x:c r="K253" s="73" t="n">
        <x:v>2</x:v>
      </x:c>
      <x:c r="L253" s="73" t="n">
        <x:v>28</x:v>
      </x:c>
      <x:c r="M253" s="73" t="n">
        <x:v>9</x:v>
      </x:c>
      <x:c r="N253" s="73" t="s">
        <x:v>3260</x:v>
      </x:c>
    </x:row>
    <x:row r="254" ht="15" hidden="0">
      <x:c r="A254" s="73" t="s">
        <x:v>4128</x:v>
      </x:c>
      <x:c r="B254" s="73" t="s">
        <x:v>3300</x:v>
      </x:c>
      <x:c r="C254" s="73" t="s">
        <x:v>1145</x:v>
      </x:c>
      <x:c r="D254" s="73" t="s">
        <x:v>4016</x:v>
      </x:c>
      <x:c r="E254" s="73" t="s">
        <x:v>3390</x:v>
      </x:c>
      <x:c r="F254" s="73" t="s">
        <x:v>4129</x:v>
      </x:c>
      <x:c r="G254" s="73" t="n">
        <x:v>15</x:v>
      </x:c>
      <x:c r="H254" s="73" t="n">
        <x:v>30</x:v>
      </x:c>
      <x:c r="I254" s="73" t="s">
        <x:v>3396</x:v>
      </x:c>
      <x:c r="J254" s="73" t="n">
        <x:v>2018</x:v>
      </x:c>
      <x:c r="K254" s="73" t="n">
        <x:v>4</x:v>
      </x:c>
      <x:c r="L254" s="73" t="n">
        <x:v>3</x:v>
      </x:c>
      <x:c r="M254" s="73" t="n">
        <x:v>14</x:v>
      </x:c>
      <x:c r="N254" s="73" t="s">
        <x:v>3260</x:v>
      </x:c>
    </x:row>
    <x:row r="255" ht="15" hidden="0">
      <x:c r="A255" s="73" t="s">
        <x:v>4130</x:v>
      </x:c>
      <x:c r="B255" s="73" t="s">
        <x:v>3286</x:v>
      </x:c>
      <x:c r="C255" s="73" t="s">
        <x:v>1150</x:v>
      </x:c>
      <x:c r="D255" s="73" t="s">
        <x:v>4131</x:v>
      </x:c>
      <x:c r="E255" s="73" t="s">
        <x:v>3382</x:v>
      </x:c>
      <x:c r="F255" s="73" t="s">
        <x:v>4132</x:v>
      </x:c>
      <x:c r="G255" s="73" t="n">
        <x:v>18</x:v>
      </x:c>
      <x:c r="H255" s="73" t="n">
        <x:v>36</x:v>
      </x:c>
      <x:c r="I255" s="73" t="s">
        <x:v>3400</x:v>
      </x:c>
      <x:c r="J255" s="73" t="n">
        <x:v>2022</x:v>
      </x:c>
      <x:c r="K255" s="73" t="n">
        <x:v>6</x:v>
      </x:c>
      <x:c r="L255" s="73" t="n">
        <x:v>20</x:v>
      </x:c>
      <x:c r="M255" s="73" t="n">
        <x:v>10</x:v>
      </x:c>
      <x:c r="N255" s="73" t="s">
        <x:v>3260</x:v>
      </x:c>
    </x:row>
    <x:row r="256" ht="15" hidden="0">
      <x:c r="A256" s="73" t="s">
        <x:v>4133</x:v>
      </x:c>
      <x:c r="B256" s="73" t="s">
        <x:v>3277</x:v>
      </x:c>
      <x:c r="C256" s="73" t="s">
        <x:v>1155</x:v>
      </x:c>
      <x:c r="D256" s="73" t="s">
        <x:v>4134</x:v>
      </x:c>
      <x:c r="E256" s="73" t="s">
        <x:v>3394</x:v>
      </x:c>
      <x:c r="F256" s="73" t="s">
        <x:v>4135</x:v>
      </x:c>
      <x:c r="G256" s="73" t="n">
        <x:v>22</x:v>
      </x:c>
      <x:c r="H256" s="73" t="n">
        <x:v>44</x:v>
      </x:c>
      <x:c r="I256" s="73" t="s">
        <x:v>3387</x:v>
      </x:c>
      <x:c r="J256" s="73" t="n">
        <x:v>2020</x:v>
      </x:c>
      <x:c r="K256" s="73" t="n">
        <x:v>7</x:v>
      </x:c>
      <x:c r="L256" s="73" t="n">
        <x:v>8</x:v>
      </x:c>
      <x:c r="M256" s="73" t="n">
        <x:v>18</x:v>
      </x:c>
      <x:c r="N256" s="73" t="s">
        <x:v>3260</x:v>
      </x:c>
    </x:row>
    <x:row r="257" ht="15" hidden="0">
      <x:c r="A257" s="73" t="s">
        <x:v>4136</x:v>
      </x:c>
      <x:c r="B257" s="73" t="s">
        <x:v>3301</x:v>
      </x:c>
      <x:c r="C257" s="73" t="s">
        <x:v>1160</x:v>
      </x:c>
      <x:c r="D257" s="73" t="s">
        <x:v>4137</x:v>
      </x:c>
      <x:c r="E257" s="73" t="s">
        <x:v>3390</x:v>
      </x:c>
      <x:c r="F257" s="73" t="s">
        <x:v>4138</x:v>
      </x:c>
      <x:c r="G257" s="73" t="n">
        <x:v>20</x:v>
      </x:c>
      <x:c r="H257" s="73" t="n">
        <x:v>40</x:v>
      </x:c>
      <x:c r="I257" s="73" t="s">
        <x:v>3404</x:v>
      </x:c>
      <x:c r="J257" s="73" t="n">
        <x:v>2021</x:v>
      </x:c>
      <x:c r="K257" s="73" t="n">
        <x:v>8</x:v>
      </x:c>
      <x:c r="L257" s="73" t="n">
        <x:v>15</x:v>
      </x:c>
      <x:c r="M257" s="73" t="n">
        <x:v>11</x:v>
      </x:c>
      <x:c r="N257" s="73" t="s">
        <x:v>3260</x:v>
      </x:c>
    </x:row>
    <x:row r="258" ht="15" hidden="0">
      <x:c r="A258" s="73" t="s">
        <x:v>4139</x:v>
      </x:c>
      <x:c r="B258" s="73" t="s">
        <x:v>3281</x:v>
      </x:c>
      <x:c r="C258" s="73" t="s">
        <x:v>1165</x:v>
      </x:c>
      <x:c r="D258" s="73" t="s">
        <x:v>4140</x:v>
      </x:c>
      <x:c r="E258" s="73" t="s">
        <x:v>3382</x:v>
      </x:c>
      <x:c r="F258" s="73" t="s">
        <x:v>4141</x:v>
      </x:c>
      <x:c r="G258" s="73" t="n">
        <x:v>15</x:v>
      </x:c>
      <x:c r="H258" s="73" t="n">
        <x:v>30</x:v>
      </x:c>
      <x:c r="I258" s="73" t="s">
        <x:v>3396</x:v>
      </x:c>
      <x:c r="J258" s="73" t="n">
        <x:v>2019</x:v>
      </x:c>
      <x:c r="K258" s="73" t="n">
        <x:v>10</x:v>
      </x:c>
      <x:c r="L258" s="73" t="n">
        <x:v>25</x:v>
      </x:c>
      <x:c r="M258" s="73" t="n">
        <x:v>16</x:v>
      </x:c>
      <x:c r="N258" s="73" t="s">
        <x:v>3260</x:v>
      </x:c>
    </x:row>
    <x:row r="259" ht="15" hidden="0">
      <x:c r="A259" s="73" t="s">
        <x:v>4142</x:v>
      </x:c>
      <x:c r="B259" s="73" t="s">
        <x:v>3269</x:v>
      </x:c>
      <x:c r="C259" s="73" t="s">
        <x:v>1169</x:v>
      </x:c>
      <x:c r="D259" s="73" t="s">
        <x:v>4143</x:v>
      </x:c>
      <x:c r="E259" s="73" t="s">
        <x:v>3394</x:v>
      </x:c>
      <x:c r="F259" s="73" t="s">
        <x:v>4144</x:v>
      </x:c>
      <x:c r="G259" s="73" t="n">
        <x:v>12</x:v>
      </x:c>
      <x:c r="H259" s="73" t="n">
        <x:v>24</x:v>
      </x:c>
      <x:c r="I259" s="73" t="s">
        <x:v>72</x:v>
      </x:c>
      <x:c r="J259" s="73" t="n">
        <x:v>2023</x:v>
      </x:c>
      <x:c r="K259" s="73" t="n">
        <x:v>10</x:v>
      </x:c>
      <x:c r="L259" s="73" t="n">
        <x:v>5</x:v>
      </x:c>
      <x:c r="M259" s="73" t="n">
        <x:v>7</x:v>
      </x:c>
      <x:c r="N259" s="73" t="s">
        <x:v>3260</x:v>
      </x:c>
    </x:row>
    <x:row r="260" ht="15" hidden="0">
      <x:c r="A260" s="73" t="s">
        <x:v>4145</x:v>
      </x:c>
      <x:c r="B260" s="73" t="s">
        <x:v>3298</x:v>
      </x:c>
      <x:c r="C260" s="73" t="s">
        <x:v>1174</x:v>
      </x:c>
      <x:c r="D260" s="73" t="s">
        <x:v>4146</x:v>
      </x:c>
      <x:c r="E260" s="73" t="s">
        <x:v>3390</x:v>
      </x:c>
      <x:c r="F260" s="73" t="s">
        <x:v>4147</x:v>
      </x:c>
      <x:c r="G260" s="73" t="n">
        <x:v>25</x:v>
      </x:c>
      <x:c r="H260" s="73" t="n">
        <x:v>50</x:v>
      </x:c>
      <x:c r="I260" s="73" t="s">
        <x:v>3400</x:v>
      </x:c>
      <x:c r="J260" s="73" t="n">
        <x:v>2022</x:v>
      </x:c>
      <x:c r="K260" s="73" t="n">
        <x:v>2</x:v>
      </x:c>
      <x:c r="L260" s="73" t="n">
        <x:v>15</x:v>
      </x:c>
      <x:c r="M260" s="73" t="n">
        <x:v>13</x:v>
      </x:c>
      <x:c r="N260" s="73" t="s">
        <x:v>3260</x:v>
      </x:c>
    </x:row>
    <x:row r="261" ht="15" hidden="0">
      <x:c r="A261" s="73" t="s">
        <x:v>4148</x:v>
      </x:c>
      <x:c r="B261" s="73" t="s">
        <x:v>3266</x:v>
      </x:c>
      <x:c r="C261" s="73" t="s">
        <x:v>1179</x:v>
      </x:c>
      <x:c r="D261" s="73" t="s">
        <x:v>4149</x:v>
      </x:c>
      <x:c r="E261" s="73" t="s">
        <x:v>3382</x:v>
      </x:c>
      <x:c r="F261" s="73" t="s">
        <x:v>4150</x:v>
      </x:c>
      <x:c r="G261" s="73" t="n">
        <x:v>13</x:v>
      </x:c>
      <x:c r="H261" s="73" t="n">
        <x:v>26</x:v>
      </x:c>
      <x:c r="I261" s="73" t="s">
        <x:v>3387</x:v>
      </x:c>
      <x:c r="J261" s="73" t="n">
        <x:v>2021</x:v>
      </x:c>
      <x:c r="K261" s="73" t="n">
        <x:v>5</x:v>
      </x:c>
      <x:c r="L261" s="73" t="n">
        <x:v>8</x:v>
      </x:c>
      <x:c r="M261" s="73" t="n">
        <x:v>22</x:v>
      </x:c>
      <x:c r="N261" s="73" t="s">
        <x:v>3260</x:v>
      </x:c>
    </x:row>
    <x:row r="262" ht="15" hidden="0">
      <x:c r="A262" s="73" t="s">
        <x:v>4151</x:v>
      </x:c>
      <x:c r="B262" s="73" t="s">
        <x:v>3265</x:v>
      </x:c>
      <x:c r="C262" s="73" t="s">
        <x:v>1184</x:v>
      </x:c>
      <x:c r="D262" s="73" t="s">
        <x:v>4152</x:v>
      </x:c>
      <x:c r="E262" s="73" t="s">
        <x:v>3390</x:v>
      </x:c>
      <x:c r="F262" s="73" t="s">
        <x:v>4153</x:v>
      </x:c>
      <x:c r="G262" s="73" t="n">
        <x:v>17</x:v>
      </x:c>
      <x:c r="H262" s="73" t="n">
        <x:v>34</x:v>
      </x:c>
      <x:c r="I262" s="73" t="s">
        <x:v>72</x:v>
      </x:c>
      <x:c r="J262" s="73" t="n">
        <x:v>2020</x:v>
      </x:c>
      <x:c r="K262" s="73" t="n">
        <x:v>11</x:v>
      </x:c>
      <x:c r="L262" s="73" t="n">
        <x:v>29</x:v>
      </x:c>
      <x:c r="M262" s="73" t="n">
        <x:v>14</x:v>
      </x:c>
      <x:c r="N262" s="73" t="s">
        <x:v>3260</x:v>
      </x:c>
    </x:row>
    <x:row r="263" ht="15" hidden="0">
      <x:c r="A263" s="73" t="s">
        <x:v>4154</x:v>
      </x:c>
      <x:c r="B263" s="73" t="s">
        <x:v>3246</x:v>
      </x:c>
      <x:c r="C263" s="73" t="s">
        <x:v>1189</x:v>
      </x:c>
      <x:c r="D263" s="73" t="s">
        <x:v>4155</x:v>
      </x:c>
      <x:c r="E263" s="73" t="s">
        <x:v>3394</x:v>
      </x:c>
      <x:c r="F263" s="73" t="s">
        <x:v>4156</x:v>
      </x:c>
      <x:c r="G263" s="73" t="n">
        <x:v>14</x:v>
      </x:c>
      <x:c r="H263" s="73" t="n">
        <x:v>28</x:v>
      </x:c>
      <x:c r="I263" s="73" t="s">
        <x:v>3396</x:v>
      </x:c>
      <x:c r="J263" s="73" t="n">
        <x:v>2019</x:v>
      </x:c>
      <x:c r="K263" s="73" t="n">
        <x:v>9</x:v>
      </x:c>
      <x:c r="L263" s="73" t="n">
        <x:v>14</x:v>
      </x:c>
      <x:c r="M263" s="73" t="n">
        <x:v>10</x:v>
      </x:c>
      <x:c r="N263" s="73" t="s">
        <x:v>3244</x:v>
      </x:c>
    </x:row>
    <x:row r="264" ht="15" hidden="0">
      <x:c r="A264" s="73" t="s">
        <x:v>4157</x:v>
      </x:c>
      <x:c r="B264" s="73" t="s">
        <x:v>3289</x:v>
      </x:c>
      <x:c r="C264" s="73" t="s">
        <x:v>1193</x:v>
      </x:c>
      <x:c r="D264" s="73" t="s">
        <x:v>4158</x:v>
      </x:c>
      <x:c r="E264" s="73" t="s">
        <x:v>3382</x:v>
      </x:c>
      <x:c r="F264" s="73" t="s">
        <x:v>4159</x:v>
      </x:c>
      <x:c r="G264" s="73" t="n">
        <x:v>19</x:v>
      </x:c>
      <x:c r="H264" s="73" t="n">
        <x:v>38</x:v>
      </x:c>
      <x:c r="I264" s="73" t="s">
        <x:v>3400</x:v>
      </x:c>
      <x:c r="J264" s="73" t="n">
        <x:v>2022</x:v>
      </x:c>
      <x:c r="K264" s="73" t="n">
        <x:v>3</x:v>
      </x:c>
      <x:c r="L264" s="73" t="n">
        <x:v>12</x:v>
      </x:c>
      <x:c r="M264" s="73" t="n">
        <x:v>19</x:v>
      </x:c>
      <x:c r="N264" s="73" t="s">
        <x:v>3260</x:v>
      </x:c>
    </x:row>
    <x:row r="265" ht="15" hidden="0">
      <x:c r="A265" s="73" t="s">
        <x:v>4160</x:v>
      </x:c>
      <x:c r="B265" s="73" t="s">
        <x:v>3320</x:v>
      </x:c>
      <x:c r="C265" s="73" t="s">
        <x:v>1197</x:v>
      </x:c>
      <x:c r="D265" s="73" t="s">
        <x:v>4161</x:v>
      </x:c>
      <x:c r="E265" s="73" t="s">
        <x:v>3390</x:v>
      </x:c>
      <x:c r="F265" s="73" t="s">
        <x:v>4162</x:v>
      </x:c>
      <x:c r="G265" s="73" t="n">
        <x:v>16</x:v>
      </x:c>
      <x:c r="H265" s="73" t="n">
        <x:v>32</x:v>
      </x:c>
      <x:c r="I265" s="73" t="s">
        <x:v>3404</x:v>
      </x:c>
      <x:c r="J265" s="73" t="n">
        <x:v>2023</x:v>
      </x:c>
      <x:c r="K265" s="73" t="n">
        <x:v>3</x:v>
      </x:c>
      <x:c r="L265" s="73" t="n">
        <x:v>30</x:v>
      </x:c>
      <x:c r="M265" s="73" t="n">
        <x:v>16</x:v>
      </x:c>
      <x:c r="N265" s="73" t="s">
        <x:v>3260</x:v>
      </x:c>
    </x:row>
    <x:row r="266" ht="15" hidden="0">
      <x:c r="A266" s="73" t="s">
        <x:v>4163</x:v>
      </x:c>
      <x:c r="B266" s="73" t="s">
        <x:v>3286</x:v>
      </x:c>
      <x:c r="C266" s="73" t="s">
        <x:v>1201</x:v>
      </x:c>
      <x:c r="D266" s="73" t="s">
        <x:v>4164</x:v>
      </x:c>
      <x:c r="E266" s="73" t="s">
        <x:v>3394</x:v>
      </x:c>
      <x:c r="F266" s="73" t="s">
        <x:v>4165</x:v>
      </x:c>
      <x:c r="G266" s="73" t="n">
        <x:v>21</x:v>
      </x:c>
      <x:c r="H266" s="73" t="n">
        <x:v>42</x:v>
      </x:c>
      <x:c r="I266" s="73" t="s">
        <x:v>3387</x:v>
      </x:c>
      <x:c r="J266" s="73" t="n">
        <x:v>2021</x:v>
      </x:c>
      <x:c r="K266" s="73" t="n">
        <x:v>7</x:v>
      </x:c>
      <x:c r="L266" s="73" t="n">
        <x:v>1</x:v>
      </x:c>
      <x:c r="M266" s="73" t="n">
        <x:v>12</x:v>
      </x:c>
      <x:c r="N266" s="73" t="s">
        <x:v>3260</x:v>
      </x:c>
    </x:row>
    <x:row r="267" ht="15" hidden="0">
      <x:c r="A267" s="73" t="s">
        <x:v>4166</x:v>
      </x:c>
      <x:c r="B267" s="73" t="s">
        <x:v>3290</x:v>
      </x:c>
      <x:c r="C267" s="73" t="s">
        <x:v>1205</x:v>
      </x:c>
      <x:c r="D267" s="73" t="s">
        <x:v>4167</x:v>
      </x:c>
      <x:c r="E267" s="73" t="s">
        <x:v>3382</x:v>
      </x:c>
      <x:c r="F267" s="73" t="s">
        <x:v>4168</x:v>
      </x:c>
      <x:c r="G267" s="73" t="n">
        <x:v>23</x:v>
      </x:c>
      <x:c r="H267" s="73" t="n">
        <x:v>46</x:v>
      </x:c>
      <x:c r="I267" s="73" t="s">
        <x:v>72</x:v>
      </x:c>
      <x:c r="J267" s="73" t="n">
        <x:v>2020</x:v>
      </x:c>
      <x:c r="K267" s="73" t="n">
        <x:v>1</x:v>
      </x:c>
      <x:c r="L267" s="73" t="n">
        <x:v>5</x:v>
      </x:c>
      <x:c r="M267" s="73" t="n">
        <x:v>8</x:v>
      </x:c>
      <x:c r="N267" s="73" t="s">
        <x:v>3260</x:v>
      </x:c>
    </x:row>
    <x:row r="268" ht="15" hidden="0">
      <x:c r="A268" s="73" t="s">
        <x:v>4169</x:v>
      </x:c>
      <x:c r="B268" s="73" t="s">
        <x:v>3269</x:v>
      </x:c>
      <x:c r="C268" s="73" t="s">
        <x:v>1209</x:v>
      </x:c>
      <x:c r="D268" s="73" t="s">
        <x:v>4170</x:v>
      </x:c>
      <x:c r="E268" s="73" t="s">
        <x:v>3390</x:v>
      </x:c>
      <x:c r="F268" s="73" t="s">
        <x:v>4171</x:v>
      </x:c>
      <x:c r="G268" s="73" t="n">
        <x:v>14</x:v>
      </x:c>
      <x:c r="H268" s="73" t="n">
        <x:v>28</x:v>
      </x:c>
      <x:c r="I268" s="73" t="s">
        <x:v>3396</x:v>
      </x:c>
      <x:c r="J268" s="73" t="n">
        <x:v>2022</x:v>
      </x:c>
      <x:c r="K268" s="73" t="n">
        <x:v>7</x:v>
      </x:c>
      <x:c r="L268" s="73" t="n">
        <x:v>17</x:v>
      </x:c>
      <x:c r="M268" s="73" t="n">
        <x:v>6</x:v>
      </x:c>
      <x:c r="N268" s="73" t="s">
        <x:v>3260</x:v>
      </x:c>
    </x:row>
    <x:row r="269" ht="15" hidden="0">
      <x:c r="A269" s="73" t="s">
        <x:v>4172</x:v>
      </x:c>
      <x:c r="B269" s="73" t="s">
        <x:v>3277</x:v>
      </x:c>
      <x:c r="C269" s="73" t="s">
        <x:v>1213</x:v>
      </x:c>
      <x:c r="D269" s="73" t="s">
        <x:v>4173</x:v>
      </x:c>
      <x:c r="E269" s="73" t="s">
        <x:v>3394</x:v>
      </x:c>
      <x:c r="F269" s="73" t="s">
        <x:v>4174</x:v>
      </x:c>
      <x:c r="G269" s="73" t="n">
        <x:v>24</x:v>
      </x:c>
      <x:c r="H269" s="73" t="n">
        <x:v>48</x:v>
      </x:c>
      <x:c r="I269" s="73" t="s">
        <x:v>3400</x:v>
      </x:c>
      <x:c r="J269" s="73" t="n">
        <x:v>2018</x:v>
      </x:c>
      <x:c r="K269" s="73" t="n">
        <x:v>8</x:v>
      </x:c>
      <x:c r="L269" s="73" t="n">
        <x:v>22</x:v>
      </x:c>
      <x:c r="M269" s="73" t="n">
        <x:v>17</x:v>
      </x:c>
      <x:c r="N269" s="73" t="s">
        <x:v>3260</x:v>
      </x:c>
    </x:row>
    <x:row r="270" ht="15" hidden="0">
      <x:c r="A270" s="73" t="s">
        <x:v>4175</x:v>
      </x:c>
      <x:c r="B270" s="73" t="s">
        <x:v>3281</x:v>
      </x:c>
      <x:c r="C270" s="73" t="s">
        <x:v>1217</x:v>
      </x:c>
      <x:c r="D270" s="73" t="s">
        <x:v>4176</x:v>
      </x:c>
      <x:c r="E270" s="73" t="s">
        <x:v>3382</x:v>
      </x:c>
      <x:c r="F270" s="73" t="s">
        <x:v>4177</x:v>
      </x:c>
      <x:c r="G270" s="73" t="n">
        <x:v>18</x:v>
      </x:c>
      <x:c r="H270" s="73" t="n">
        <x:v>36</x:v>
      </x:c>
      <x:c r="I270" s="73" t="s">
        <x:v>3404</x:v>
      </x:c>
      <x:c r="J270" s="73" t="n">
        <x:v>2021</x:v>
      </x:c>
      <x:c r="K270" s="73" t="n">
        <x:v>12</x:v>
      </x:c>
      <x:c r="L270" s="73" t="n">
        <x:v>8</x:v>
      </x:c>
      <x:c r="M270" s="73" t="n">
        <x:v>14</x:v>
      </x:c>
      <x:c r="N270" s="73" t="s">
        <x:v>3260</x:v>
      </x:c>
    </x:row>
    <x:row r="271" ht="15" hidden="0">
      <x:c r="A271" s="73" t="s">
        <x:v>4178</x:v>
      </x:c>
      <x:c r="B271" s="73" t="s">
        <x:v>3263</x:v>
      </x:c>
      <x:c r="C271" s="73" t="s">
        <x:v>1221</x:v>
      </x:c>
      <x:c r="D271" s="73" t="s">
        <x:v>4179</x:v>
      </x:c>
      <x:c r="E271" s="73" t="s">
        <x:v>3390</x:v>
      </x:c>
      <x:c r="F271" s="73" t="s">
        <x:v>4180</x:v>
      </x:c>
      <x:c r="G271" s="73" t="n">
        <x:v>20</x:v>
      </x:c>
      <x:c r="H271" s="73" t="n">
        <x:v>40</x:v>
      </x:c>
      <x:c r="I271" s="73" t="s">
        <x:v>3387</x:v>
      </x:c>
      <x:c r="J271" s="73" t="n">
        <x:v>2019</x:v>
      </x:c>
      <x:c r="K271" s="73" t="n">
        <x:v>4</x:v>
      </x:c>
      <x:c r="L271" s="73" t="n">
        <x:v>27</x:v>
      </x:c>
      <x:c r="M271" s="73" t="n">
        <x:v>9</x:v>
      </x:c>
      <x:c r="N271" s="73" t="s">
        <x:v>3260</x:v>
      </x:c>
    </x:row>
    <x:row r="272" ht="15" hidden="0">
      <x:c r="A272" s="73" t="s">
        <x:v>4181</x:v>
      </x:c>
      <x:c r="B272" s="73" t="s">
        <x:v>3300</x:v>
      </x:c>
      <x:c r="C272" s="73" t="s">
        <x:v>1225</x:v>
      </x:c>
      <x:c r="D272" s="73" t="s">
        <x:v>4182</x:v>
      </x:c>
      <x:c r="E272" s="73" t="s">
        <x:v>3394</x:v>
      </x:c>
      <x:c r="F272" s="73" t="s">
        <x:v>4183</x:v>
      </x:c>
      <x:c r="G272" s="73" t="n">
        <x:v>16</x:v>
      </x:c>
      <x:c r="H272" s="73" t="n">
        <x:v>32</x:v>
      </x:c>
      <x:c r="I272" s="73" t="s">
        <x:v>72</x:v>
      </x:c>
      <x:c r="J272" s="73" t="n">
        <x:v>2023</x:v>
      </x:c>
      <x:c r="K272" s="73" t="n">
        <x:v>9</x:v>
      </x:c>
      <x:c r="L272" s="73" t="n">
        <x:v>3</x:v>
      </x:c>
      <x:c r="M272" s="73" t="n">
        <x:v>21</x:v>
      </x:c>
      <x:c r="N272" s="73" t="s">
        <x:v>3260</x:v>
      </x:c>
    </x:row>
    <x:row r="273" ht="15" hidden="0">
      <x:c r="A273" s="73" t="s">
        <x:v>4184</x:v>
      </x:c>
      <x:c r="B273" s="73" t="s">
        <x:v>3301</x:v>
      </x:c>
      <x:c r="C273" s="73" t="s">
        <x:v>1229</x:v>
      </x:c>
      <x:c r="D273" s="73" t="s">
        <x:v>4185</x:v>
      </x:c>
      <x:c r="E273" s="73" t="s">
        <x:v>3382</x:v>
      </x:c>
      <x:c r="F273" s="73" t="s">
        <x:v>4186</x:v>
      </x:c>
      <x:c r="G273" s="73" t="n">
        <x:v>22</x:v>
      </x:c>
      <x:c r="H273" s="73" t="n">
        <x:v>44</x:v>
      </x:c>
      <x:c r="I273" s="73" t="s">
        <x:v>3396</x:v>
      </x:c>
      <x:c r="J273" s="73" t="n">
        <x:v>2020</x:v>
      </x:c>
      <x:c r="K273" s="73" t="n">
        <x:v>6</x:v>
      </x:c>
      <x:c r="L273" s="73" t="n">
        <x:v>10</x:v>
      </x:c>
      <x:c r="M273" s="73" t="n">
        <x:v>10</x:v>
      </x:c>
      <x:c r="N273" s="73" t="s">
        <x:v>3260</x:v>
      </x:c>
    </x:row>
    <x:row r="274" ht="15" hidden="0">
      <x:c r="A274" s="73" t="s">
        <x:v>4187</x:v>
      </x:c>
      <x:c r="B274" s="73" t="s">
        <x:v>3289</x:v>
      </x:c>
      <x:c r="C274" s="73" t="s">
        <x:v>1233</x:v>
      </x:c>
      <x:c r="D274" s="73" t="s">
        <x:v>4188</x:v>
      </x:c>
      <x:c r="E274" s="73" t="s">
        <x:v>3390</x:v>
      </x:c>
      <x:c r="F274" s="73" t="s">
        <x:v>4189</x:v>
      </x:c>
      <x:c r="G274" s="73" t="n">
        <x:v>19</x:v>
      </x:c>
      <x:c r="H274" s="73" t="n">
        <x:v>38</x:v>
      </x:c>
      <x:c r="I274" s="73" t="s">
        <x:v>3400</x:v>
      </x:c>
      <x:c r="J274" s="73" t="n">
        <x:v>2022</x:v>
      </x:c>
      <x:c r="K274" s="73" t="n">
        <x:v>4</x:v>
      </x:c>
      <x:c r="L274" s="73" t="n">
        <x:v>1</x:v>
      </x:c>
      <x:c r="M274" s="73" t="n">
        <x:v>18</x:v>
      </x:c>
      <x:c r="N274" s="73" t="s">
        <x:v>3260</x:v>
      </x:c>
    </x:row>
    <x:row r="275" ht="15" hidden="0">
      <x:c r="A275" s="73" t="s">
        <x:v>4190</x:v>
      </x:c>
      <x:c r="B275" s="73" t="s">
        <x:v>3298</x:v>
      </x:c>
      <x:c r="C275" s="73" t="s">
        <x:v>1237</x:v>
      </x:c>
      <x:c r="D275" s="73" t="s">
        <x:v>4191</x:v>
      </x:c>
      <x:c r="E275" s="73" t="s">
        <x:v>3394</x:v>
      </x:c>
      <x:c r="F275" s="73" t="s">
        <x:v>4192</x:v>
      </x:c>
      <x:c r="G275" s="73" t="n">
        <x:v>23</x:v>
      </x:c>
      <x:c r="H275" s="73" t="n">
        <x:v>46</x:v>
      </x:c>
      <x:c r="I275" s="73" t="s">
        <x:v>3387</x:v>
      </x:c>
      <x:c r="J275" s="73" t="n">
        <x:v>2021</x:v>
      </x:c>
      <x:c r="K275" s="73" t="n">
        <x:v>1</x:v>
      </x:c>
      <x:c r="L275" s="73" t="n">
        <x:v>15</x:v>
      </x:c>
      <x:c r="M275" s="73" t="n">
        <x:v>13</x:v>
      </x:c>
      <x:c r="N275" s="73" t="s">
        <x:v>3260</x:v>
      </x:c>
    </x:row>
    <x:row r="276" ht="15" hidden="0">
      <x:c r="A276" s="73" t="s">
        <x:v>4193</x:v>
      </x:c>
      <x:c r="B276" s="73" t="s">
        <x:v>3269</x:v>
      </x:c>
      <x:c r="C276" s="73" t="s">
        <x:v>1241</x:v>
      </x:c>
      <x:c r="D276" s="73" t="s">
        <x:v>4194</x:v>
      </x:c>
      <x:c r="E276" s="73" t="s">
        <x:v>3382</x:v>
      </x:c>
      <x:c r="F276" s="73" t="s">
        <x:v>4195</x:v>
      </x:c>
      <x:c r="G276" s="73" t="n">
        <x:v>15</x:v>
      </x:c>
      <x:c r="H276" s="73" t="n">
        <x:v>30</x:v>
      </x:c>
      <x:c r="I276" s="73" t="s">
        <x:v>3404</x:v>
      </x:c>
      <x:c r="J276" s="73" t="n">
        <x:v>2023</x:v>
      </x:c>
      <x:c r="K276" s="73" t="n">
        <x:v>5</x:v>
      </x:c>
      <x:c r="L276" s="73" t="n">
        <x:v>6</x:v>
      </x:c>
      <x:c r="M276" s="73" t="n">
        <x:v>7</x:v>
      </x:c>
      <x:c r="N276" s="73" t="s">
        <x:v>3260</x:v>
      </x:c>
    </x:row>
    <x:row r="277" ht="15" hidden="0">
      <x:c r="A277" s="73" t="s">
        <x:v>4196</x:v>
      </x:c>
      <x:c r="B277" s="73" t="s">
        <x:v>3277</x:v>
      </x:c>
      <x:c r="C277" s="73" t="s">
        <x:v>1245</x:v>
      </x:c>
      <x:c r="D277" s="73" t="s">
        <x:v>4197</x:v>
      </x:c>
      <x:c r="E277" s="73" t="s">
        <x:v>3390</x:v>
      </x:c>
      <x:c r="F277" s="73" t="s">
        <x:v>4198</x:v>
      </x:c>
      <x:c r="G277" s="73" t="n">
        <x:v>25</x:v>
      </x:c>
      <x:c r="H277" s="73" t="n">
        <x:v>50</x:v>
      </x:c>
      <x:c r="I277" s="73" t="s">
        <x:v>72</x:v>
      </x:c>
      <x:c r="J277" s="73" t="n">
        <x:v>2019</x:v>
      </x:c>
      <x:c r="K277" s="73" t="n">
        <x:v>11</x:v>
      </x:c>
      <x:c r="L277" s="73" t="n">
        <x:v>18</x:v>
      </x:c>
      <x:c r="M277" s="73" t="n">
        <x:v>15</x:v>
      </x:c>
      <x:c r="N277" s="73" t="s">
        <x:v>3260</x:v>
      </x:c>
    </x:row>
    <x:row r="278" ht="15" hidden="0">
      <x:c r="A278" s="73" t="s">
        <x:v>4199</x:v>
      </x:c>
      <x:c r="B278" s="73" t="s">
        <x:v>3281</x:v>
      </x:c>
      <x:c r="C278" s="73" t="s">
        <x:v>1249</x:v>
      </x:c>
      <x:c r="D278" s="73" t="s">
        <x:v>4200</x:v>
      </x:c>
      <x:c r="E278" s="73" t="s">
        <x:v>3394</x:v>
      </x:c>
      <x:c r="F278" s="73" t="s">
        <x:v>4201</x:v>
      </x:c>
      <x:c r="G278" s="73" t="n">
        <x:v>14</x:v>
      </x:c>
      <x:c r="H278" s="73" t="n">
        <x:v>28</x:v>
      </x:c>
      <x:c r="I278" s="73" t="s">
        <x:v>3396</x:v>
      </x:c>
      <x:c r="J278" s="73" t="n">
        <x:v>2020</x:v>
      </x:c>
      <x:c r="K278" s="73" t="n">
        <x:v>8</x:v>
      </x:c>
      <x:c r="L278" s="73" t="n">
        <x:v>29</x:v>
      </x:c>
      <x:c r="M278" s="73" t="n">
        <x:v>20</x:v>
      </x:c>
      <x:c r="N278" s="73" t="s">
        <x:v>3260</x:v>
      </x:c>
    </x:row>
    <x:row r="279" ht="15" hidden="0">
      <x:c r="A279" s="73" t="s">
        <x:v>4202</x:v>
      </x:c>
      <x:c r="B279" s="73" t="s">
        <x:v>3269</x:v>
      </x:c>
      <x:c r="C279" s="73" t="s">
        <x:v>1253</x:v>
      </x:c>
      <x:c r="D279" s="73" t="s">
        <x:v>4203</x:v>
      </x:c>
      <x:c r="E279" s="73" t="s">
        <x:v>3382</x:v>
      </x:c>
      <x:c r="F279" s="73" t="s">
        <x:v>4204</x:v>
      </x:c>
      <x:c r="G279" s="73" t="n">
        <x:v>17</x:v>
      </x:c>
      <x:c r="H279" s="73" t="n">
        <x:v>34</x:v>
      </x:c>
      <x:c r="I279" s="73" t="s">
        <x:v>3400</x:v>
      </x:c>
      <x:c r="J279" s="73" t="n">
        <x:v>2022</x:v>
      </x:c>
      <x:c r="K279" s="73" t="n">
        <x:v>10</x:v>
      </x:c>
      <x:c r="L279" s="73" t="n">
        <x:v>30</x:v>
      </x:c>
      <x:c r="M279" s="73" t="n">
        <x:v>11</x:v>
      </x:c>
      <x:c r="N279" s="73" t="s">
        <x:v>3260</x:v>
      </x:c>
    </x:row>
    <x:row r="280" ht="15" hidden="0">
      <x:c r="A280" s="73" t="s">
        <x:v>4163</x:v>
      </x:c>
      <x:c r="B280" s="73" t="s">
        <x:v>3286</x:v>
      </x:c>
      <x:c r="C280" s="73" t="s">
        <x:v>1201</x:v>
      </x:c>
      <x:c r="D280" s="73" t="s">
        <x:v>4164</x:v>
      </x:c>
      <x:c r="E280" s="73" t="s">
        <x:v>3390</x:v>
      </x:c>
      <x:c r="F280" s="73" t="s">
        <x:v>4165</x:v>
      </x:c>
      <x:c r="G280" s="73" t="n">
        <x:v>21</x:v>
      </x:c>
      <x:c r="H280" s="73" t="n">
        <x:v>42</x:v>
      </x:c>
      <x:c r="I280" s="73" t="s">
        <x:v>3387</x:v>
      </x:c>
      <x:c r="J280" s="73" t="n">
        <x:v>2021</x:v>
      </x:c>
      <x:c r="K280" s="73" t="n">
        <x:v>7</x:v>
      </x:c>
      <x:c r="L280" s="73" t="n">
        <x:v>1</x:v>
      </x:c>
      <x:c r="M280" s="73" t="n">
        <x:v>12</x:v>
      </x:c>
      <x:c r="N280" s="73" t="s">
        <x:v>3260</x:v>
      </x:c>
    </x:row>
    <x:row r="281" ht="15" hidden="0">
      <x:c r="A281" s="73" t="s">
        <x:v>4166</x:v>
      </x:c>
      <x:c r="B281" s="73" t="s">
        <x:v>3290</x:v>
      </x:c>
      <x:c r="C281" s="73" t="s">
        <x:v>1205</x:v>
      </x:c>
      <x:c r="D281" s="73" t="s">
        <x:v>4167</x:v>
      </x:c>
      <x:c r="E281" s="73" t="s">
        <x:v>3382</x:v>
      </x:c>
      <x:c r="F281" s="73" t="s">
        <x:v>4168</x:v>
      </x:c>
      <x:c r="G281" s="73" t="n">
        <x:v>23</x:v>
      </x:c>
      <x:c r="H281" s="73" t="n">
        <x:v>46</x:v>
      </x:c>
      <x:c r="I281" s="73" t="s">
        <x:v>72</x:v>
      </x:c>
      <x:c r="J281" s="73" t="n">
        <x:v>2020</x:v>
      </x:c>
      <x:c r="K281" s="73" t="n">
        <x:v>1</x:v>
      </x:c>
      <x:c r="L281" s="73" t="n">
        <x:v>5</x:v>
      </x:c>
      <x:c r="M281" s="73" t="n">
        <x:v>8</x:v>
      </x:c>
      <x:c r="N281" s="73" t="s">
        <x:v>3260</x:v>
      </x:c>
    </x:row>
    <x:row r="282" ht="15" hidden="0">
      <x:c r="A282" s="73" t="s">
        <x:v>4169</x:v>
      </x:c>
      <x:c r="B282" s="73" t="s">
        <x:v>3269</x:v>
      </x:c>
      <x:c r="C282" s="73" t="s">
        <x:v>1209</x:v>
      </x:c>
      <x:c r="D282" s="73" t="s">
        <x:v>4170</x:v>
      </x:c>
      <x:c r="E282" s="73" t="s">
        <x:v>3390</x:v>
      </x:c>
      <x:c r="F282" s="73" t="s">
        <x:v>4171</x:v>
      </x:c>
      <x:c r="G282" s="73" t="n">
        <x:v>14</x:v>
      </x:c>
      <x:c r="H282" s="73" t="n">
        <x:v>28</x:v>
      </x:c>
      <x:c r="I282" s="73" t="s">
        <x:v>3396</x:v>
      </x:c>
      <x:c r="J282" s="73" t="n">
        <x:v>2022</x:v>
      </x:c>
      <x:c r="K282" s="73" t="n">
        <x:v>7</x:v>
      </x:c>
      <x:c r="L282" s="73" t="n">
        <x:v>17</x:v>
      </x:c>
      <x:c r="M282" s="73" t="n">
        <x:v>6</x:v>
      </x:c>
      <x:c r="N282" s="73" t="s">
        <x:v>3260</x:v>
      </x:c>
    </x:row>
    <x:row r="283" ht="15" hidden="0">
      <x:c r="A283" s="73" t="s">
        <x:v>4172</x:v>
      </x:c>
      <x:c r="B283" s="73" t="s">
        <x:v>3277</x:v>
      </x:c>
      <x:c r="C283" s="73" t="s">
        <x:v>1213</x:v>
      </x:c>
      <x:c r="D283" s="73" t="s">
        <x:v>4173</x:v>
      </x:c>
      <x:c r="E283" s="73" t="s">
        <x:v>3394</x:v>
      </x:c>
      <x:c r="F283" s="73" t="s">
        <x:v>4174</x:v>
      </x:c>
      <x:c r="G283" s="73" t="n">
        <x:v>24</x:v>
      </x:c>
      <x:c r="H283" s="73" t="n">
        <x:v>48</x:v>
      </x:c>
      <x:c r="I283" s="73" t="s">
        <x:v>3400</x:v>
      </x:c>
      <x:c r="J283" s="73" t="n">
        <x:v>2018</x:v>
      </x:c>
      <x:c r="K283" s="73" t="n">
        <x:v>8</x:v>
      </x:c>
      <x:c r="L283" s="73" t="n">
        <x:v>22</x:v>
      </x:c>
      <x:c r="M283" s="73" t="n">
        <x:v>17</x:v>
      </x:c>
      <x:c r="N283" s="73" t="s">
        <x:v>3260</x:v>
      </x:c>
    </x:row>
    <x:row r="284" ht="15" hidden="0">
      <x:c r="A284" s="73" t="s">
        <x:v>4175</x:v>
      </x:c>
      <x:c r="B284" s="73" t="s">
        <x:v>3281</x:v>
      </x:c>
      <x:c r="C284" s="73" t="s">
        <x:v>1217</x:v>
      </x:c>
      <x:c r="D284" s="73" t="s">
        <x:v>4176</x:v>
      </x:c>
      <x:c r="E284" s="73" t="s">
        <x:v>3382</x:v>
      </x:c>
      <x:c r="F284" s="73" t="s">
        <x:v>4177</x:v>
      </x:c>
      <x:c r="G284" s="73" t="n">
        <x:v>18</x:v>
      </x:c>
      <x:c r="H284" s="73" t="n">
        <x:v>36</x:v>
      </x:c>
      <x:c r="I284" s="73" t="s">
        <x:v>3404</x:v>
      </x:c>
      <x:c r="J284" s="73" t="n">
        <x:v>2021</x:v>
      </x:c>
      <x:c r="K284" s="73" t="n">
        <x:v>12</x:v>
      </x:c>
      <x:c r="L284" s="73" t="n">
        <x:v>8</x:v>
      </x:c>
      <x:c r="M284" s="73" t="n">
        <x:v>14</x:v>
      </x:c>
      <x:c r="N284" s="73" t="s">
        <x:v>3260</x:v>
      </x:c>
    </x:row>
    <x:row r="285" ht="15" hidden="0">
      <x:c r="A285" s="73" t="s">
        <x:v>4178</x:v>
      </x:c>
      <x:c r="B285" s="73" t="s">
        <x:v>3263</x:v>
      </x:c>
      <x:c r="C285" s="73" t="s">
        <x:v>1221</x:v>
      </x:c>
      <x:c r="D285" s="73" t="s">
        <x:v>4179</x:v>
      </x:c>
      <x:c r="E285" s="73" t="s">
        <x:v>3390</x:v>
      </x:c>
      <x:c r="F285" s="73" t="s">
        <x:v>4180</x:v>
      </x:c>
      <x:c r="G285" s="73" t="n">
        <x:v>20</x:v>
      </x:c>
      <x:c r="H285" s="73" t="n">
        <x:v>40</x:v>
      </x:c>
      <x:c r="I285" s="73" t="s">
        <x:v>3387</x:v>
      </x:c>
      <x:c r="J285" s="73" t="n">
        <x:v>2019</x:v>
      </x:c>
      <x:c r="K285" s="73" t="n">
        <x:v>4</x:v>
      </x:c>
      <x:c r="L285" s="73" t="n">
        <x:v>27</x:v>
      </x:c>
      <x:c r="M285" s="73" t="n">
        <x:v>9</x:v>
      </x:c>
      <x:c r="N285" s="73" t="s">
        <x:v>3260</x:v>
      </x:c>
    </x:row>
    <x:row r="286" ht="15" hidden="0">
      <x:c r="A286" s="73" t="s">
        <x:v>4181</x:v>
      </x:c>
      <x:c r="B286" s="73" t="s">
        <x:v>3300</x:v>
      </x:c>
      <x:c r="C286" s="73" t="s">
        <x:v>1225</x:v>
      </x:c>
      <x:c r="D286" s="73" t="s">
        <x:v>4182</x:v>
      </x:c>
      <x:c r="E286" s="73" t="s">
        <x:v>3394</x:v>
      </x:c>
      <x:c r="F286" s="73" t="s">
        <x:v>4183</x:v>
      </x:c>
      <x:c r="G286" s="73" t="n">
        <x:v>16</x:v>
      </x:c>
      <x:c r="H286" s="73" t="n">
        <x:v>32</x:v>
      </x:c>
      <x:c r="I286" s="73" t="s">
        <x:v>72</x:v>
      </x:c>
      <x:c r="J286" s="73" t="n">
        <x:v>2023</x:v>
      </x:c>
      <x:c r="K286" s="73" t="n">
        <x:v>9</x:v>
      </x:c>
      <x:c r="L286" s="73" t="n">
        <x:v>3</x:v>
      </x:c>
      <x:c r="M286" s="73" t="n">
        <x:v>21</x:v>
      </x:c>
      <x:c r="N286" s="73" t="s">
        <x:v>3260</x:v>
      </x:c>
    </x:row>
    <x:row r="287" ht="15" hidden="0">
      <x:c r="A287" s="73" t="s">
        <x:v>4184</x:v>
      </x:c>
      <x:c r="B287" s="73" t="s">
        <x:v>3301</x:v>
      </x:c>
      <x:c r="C287" s="73" t="s">
        <x:v>1229</x:v>
      </x:c>
      <x:c r="D287" s="73" t="s">
        <x:v>4185</x:v>
      </x:c>
      <x:c r="E287" s="73" t="s">
        <x:v>3382</x:v>
      </x:c>
      <x:c r="F287" s="73" t="s">
        <x:v>4186</x:v>
      </x:c>
      <x:c r="G287" s="73" t="n">
        <x:v>22</x:v>
      </x:c>
      <x:c r="H287" s="73" t="n">
        <x:v>44</x:v>
      </x:c>
      <x:c r="I287" s="73" t="s">
        <x:v>3396</x:v>
      </x:c>
      <x:c r="J287" s="73" t="n">
        <x:v>2020</x:v>
      </x:c>
      <x:c r="K287" s="73" t="n">
        <x:v>6</x:v>
      </x:c>
      <x:c r="L287" s="73" t="n">
        <x:v>10</x:v>
      </x:c>
      <x:c r="M287" s="73" t="n">
        <x:v>10</x:v>
      </x:c>
      <x:c r="N287" s="73" t="s">
        <x:v>3260</x:v>
      </x:c>
    </x:row>
    <x:row r="288" ht="15" hidden="0">
      <x:c r="A288" s="73" t="s">
        <x:v>4187</x:v>
      </x:c>
      <x:c r="B288" s="73" t="s">
        <x:v>3289</x:v>
      </x:c>
      <x:c r="C288" s="73" t="s">
        <x:v>1233</x:v>
      </x:c>
      <x:c r="D288" s="73" t="s">
        <x:v>4188</x:v>
      </x:c>
      <x:c r="E288" s="73" t="s">
        <x:v>3390</x:v>
      </x:c>
      <x:c r="F288" s="73" t="s">
        <x:v>4189</x:v>
      </x:c>
      <x:c r="G288" s="73" t="n">
        <x:v>19</x:v>
      </x:c>
      <x:c r="H288" s="73" t="n">
        <x:v>38</x:v>
      </x:c>
      <x:c r="I288" s="73" t="s">
        <x:v>3400</x:v>
      </x:c>
      <x:c r="J288" s="73" t="n">
        <x:v>2022</x:v>
      </x:c>
      <x:c r="K288" s="73" t="n">
        <x:v>4</x:v>
      </x:c>
      <x:c r="L288" s="73" t="n">
        <x:v>1</x:v>
      </x:c>
      <x:c r="M288" s="73" t="n">
        <x:v>18</x:v>
      </x:c>
      <x:c r="N288" s="73" t="s">
        <x:v>3260</x:v>
      </x:c>
    </x:row>
    <x:row r="289" ht="15" hidden="0">
      <x:c r="A289" s="73" t="s">
        <x:v>4190</x:v>
      </x:c>
      <x:c r="B289" s="73" t="s">
        <x:v>3298</x:v>
      </x:c>
      <x:c r="C289" s="73" t="s">
        <x:v>1237</x:v>
      </x:c>
      <x:c r="D289" s="73" t="s">
        <x:v>4191</x:v>
      </x:c>
      <x:c r="E289" s="73" t="s">
        <x:v>3394</x:v>
      </x:c>
      <x:c r="F289" s="73" t="s">
        <x:v>4192</x:v>
      </x:c>
      <x:c r="G289" s="73" t="n">
        <x:v>23</x:v>
      </x:c>
      <x:c r="H289" s="73" t="n">
        <x:v>46</x:v>
      </x:c>
      <x:c r="I289" s="73" t="s">
        <x:v>3387</x:v>
      </x:c>
      <x:c r="J289" s="73" t="n">
        <x:v>2021</x:v>
      </x:c>
      <x:c r="K289" s="73" t="n">
        <x:v>1</x:v>
      </x:c>
      <x:c r="L289" s="73" t="n">
        <x:v>15</x:v>
      </x:c>
      <x:c r="M289" s="73" t="n">
        <x:v>13</x:v>
      </x:c>
      <x:c r="N289" s="73" t="s">
        <x:v>3260</x:v>
      </x:c>
    </x:row>
    <x:row r="290" ht="15" hidden="0">
      <x:c r="A290" s="73" t="s">
        <x:v>4193</x:v>
      </x:c>
      <x:c r="B290" s="73" t="s">
        <x:v>3269</x:v>
      </x:c>
      <x:c r="C290" s="73" t="s">
        <x:v>1241</x:v>
      </x:c>
      <x:c r="D290" s="73" t="s">
        <x:v>4194</x:v>
      </x:c>
      <x:c r="E290" s="73" t="s">
        <x:v>3382</x:v>
      </x:c>
      <x:c r="F290" s="73" t="s">
        <x:v>4195</x:v>
      </x:c>
      <x:c r="G290" s="73" t="n">
        <x:v>15</x:v>
      </x:c>
      <x:c r="H290" s="73" t="n">
        <x:v>30</x:v>
      </x:c>
      <x:c r="I290" s="73" t="s">
        <x:v>3404</x:v>
      </x:c>
      <x:c r="J290" s="73" t="n">
        <x:v>2023</x:v>
      </x:c>
      <x:c r="K290" s="73" t="n">
        <x:v>5</x:v>
      </x:c>
      <x:c r="L290" s="73" t="n">
        <x:v>6</x:v>
      </x:c>
      <x:c r="M290" s="73" t="n">
        <x:v>7</x:v>
      </x:c>
      <x:c r="N290" s="73" t="s">
        <x:v>3260</x:v>
      </x:c>
    </x:row>
    <x:row r="291" ht="15" hidden="0">
      <x:c r="A291" s="73" t="s">
        <x:v>4196</x:v>
      </x:c>
      <x:c r="B291" s="73" t="s">
        <x:v>3277</x:v>
      </x:c>
      <x:c r="C291" s="73" t="s">
        <x:v>1245</x:v>
      </x:c>
      <x:c r="D291" s="73" t="s">
        <x:v>4197</x:v>
      </x:c>
      <x:c r="E291" s="73" t="s">
        <x:v>3390</x:v>
      </x:c>
      <x:c r="F291" s="73" t="s">
        <x:v>4198</x:v>
      </x:c>
      <x:c r="G291" s="73" t="n">
        <x:v>25</x:v>
      </x:c>
      <x:c r="H291" s="73" t="n">
        <x:v>50</x:v>
      </x:c>
      <x:c r="I291" s="73" t="s">
        <x:v>72</x:v>
      </x:c>
      <x:c r="J291" s="73" t="n">
        <x:v>2019</x:v>
      </x:c>
      <x:c r="K291" s="73" t="n">
        <x:v>11</x:v>
      </x:c>
      <x:c r="L291" s="73" t="n">
        <x:v>18</x:v>
      </x:c>
      <x:c r="M291" s="73" t="n">
        <x:v>15</x:v>
      </x:c>
      <x:c r="N291" s="73" t="s">
        <x:v>3260</x:v>
      </x:c>
    </x:row>
    <x:row r="292" ht="15" hidden="0">
      <x:c r="A292" s="73" t="s">
        <x:v>4199</x:v>
      </x:c>
      <x:c r="B292" s="73" t="s">
        <x:v>3281</x:v>
      </x:c>
      <x:c r="C292" s="73" t="s">
        <x:v>1249</x:v>
      </x:c>
      <x:c r="D292" s="73" t="s">
        <x:v>4200</x:v>
      </x:c>
      <x:c r="E292" s="73" t="s">
        <x:v>3394</x:v>
      </x:c>
      <x:c r="F292" s="73" t="s">
        <x:v>4201</x:v>
      </x:c>
      <x:c r="G292" s="73" t="n">
        <x:v>14</x:v>
      </x:c>
      <x:c r="H292" s="73" t="n">
        <x:v>28</x:v>
      </x:c>
      <x:c r="I292" s="73" t="s">
        <x:v>3396</x:v>
      </x:c>
      <x:c r="J292" s="73" t="n">
        <x:v>2020</x:v>
      </x:c>
      <x:c r="K292" s="73" t="n">
        <x:v>8</x:v>
      </x:c>
      <x:c r="L292" s="73" t="n">
        <x:v>29</x:v>
      </x:c>
      <x:c r="M292" s="73" t="n">
        <x:v>20</x:v>
      </x:c>
      <x:c r="N292" s="73" t="s">
        <x:v>3260</x:v>
      </x:c>
    </x:row>
    <x:row r="293" ht="15" hidden="0">
      <x:c r="A293" s="73" t="s">
        <x:v>4202</x:v>
      </x:c>
      <x:c r="B293" s="73" t="s">
        <x:v>3269</x:v>
      </x:c>
      <x:c r="C293" s="73" t="s">
        <x:v>1253</x:v>
      </x:c>
      <x:c r="D293" s="73" t="s">
        <x:v>4203</x:v>
      </x:c>
      <x:c r="E293" s="73" t="s">
        <x:v>3382</x:v>
      </x:c>
      <x:c r="F293" s="73" t="s">
        <x:v>4204</x:v>
      </x:c>
      <x:c r="G293" s="73" t="n">
        <x:v>17</x:v>
      </x:c>
      <x:c r="H293" s="73" t="n">
        <x:v>34</x:v>
      </x:c>
      <x:c r="I293" s="73" t="s">
        <x:v>3400</x:v>
      </x:c>
      <x:c r="J293" s="73" t="n">
        <x:v>2022</x:v>
      </x:c>
      <x:c r="K293" s="73" t="n">
        <x:v>10</x:v>
      </x:c>
      <x:c r="L293" s="73" t="n">
        <x:v>30</x:v>
      </x:c>
      <x:c r="M293" s="73" t="n">
        <x:v>11</x:v>
      </x:c>
      <x:c r="N293" s="73" t="s">
        <x:v>3260</x:v>
      </x:c>
    </x:row>
    <x:row r="294" ht="15" hidden="0">
      <x:c r="A294" s="73" t="s">
        <x:v>4163</x:v>
      </x:c>
      <x:c r="B294" s="73" t="s">
        <x:v>3286</x:v>
      </x:c>
      <x:c r="C294" s="73" t="s">
        <x:v>1201</x:v>
      </x:c>
      <x:c r="D294" s="73" t="s">
        <x:v>4164</x:v>
      </x:c>
      <x:c r="E294" s="73" t="s">
        <x:v>3390</x:v>
      </x:c>
      <x:c r="F294" s="73" t="s">
        <x:v>4165</x:v>
      </x:c>
      <x:c r="G294" s="73" t="n">
        <x:v>21</x:v>
      </x:c>
      <x:c r="H294" s="73" t="n">
        <x:v>42</x:v>
      </x:c>
      <x:c r="I294" s="73" t="s">
        <x:v>3387</x:v>
      </x:c>
      <x:c r="J294" s="73" t="n">
        <x:v>2021</x:v>
      </x:c>
      <x:c r="K294" s="73" t="n">
        <x:v>7</x:v>
      </x:c>
      <x:c r="L294" s="73" t="n">
        <x:v>1</x:v>
      </x:c>
      <x:c r="M294" s="73" t="n">
        <x:v>12</x:v>
      </x:c>
      <x:c r="N294" s="73" t="s">
        <x:v>3260</x:v>
      </x:c>
    </x:row>
    <x:row r="295" ht="15" hidden="0">
      <x:c r="A295" s="73" t="s">
        <x:v>4166</x:v>
      </x:c>
      <x:c r="B295" s="73" t="s">
        <x:v>3290</x:v>
      </x:c>
      <x:c r="C295" s="73" t="s">
        <x:v>1205</x:v>
      </x:c>
      <x:c r="D295" s="73" t="s">
        <x:v>4167</x:v>
      </x:c>
      <x:c r="E295" s="73" t="s">
        <x:v>3382</x:v>
      </x:c>
      <x:c r="F295" s="73" t="s">
        <x:v>4168</x:v>
      </x:c>
      <x:c r="G295" s="73" t="n">
        <x:v>23</x:v>
      </x:c>
      <x:c r="H295" s="73" t="n">
        <x:v>46</x:v>
      </x:c>
      <x:c r="I295" s="73" t="s">
        <x:v>72</x:v>
      </x:c>
      <x:c r="J295" s="73" t="n">
        <x:v>2020</x:v>
      </x:c>
      <x:c r="K295" s="73" t="n">
        <x:v>1</x:v>
      </x:c>
      <x:c r="L295" s="73" t="n">
        <x:v>5</x:v>
      </x:c>
      <x:c r="M295" s="73" t="n">
        <x:v>8</x:v>
      </x:c>
      <x:c r="N295" s="73" t="s">
        <x:v>3260</x:v>
      </x:c>
    </x:row>
    <x:row r="296" ht="15" hidden="0">
      <x:c r="A296" s="73" t="s">
        <x:v>4169</x:v>
      </x:c>
      <x:c r="B296" s="73" t="s">
        <x:v>3269</x:v>
      </x:c>
      <x:c r="C296" s="73" t="s">
        <x:v>1209</x:v>
      </x:c>
      <x:c r="D296" s="73" t="s">
        <x:v>4170</x:v>
      </x:c>
      <x:c r="E296" s="73" t="s">
        <x:v>3390</x:v>
      </x:c>
      <x:c r="F296" s="73" t="s">
        <x:v>4171</x:v>
      </x:c>
      <x:c r="G296" s="73" t="n">
        <x:v>14</x:v>
      </x:c>
      <x:c r="H296" s="73" t="n">
        <x:v>28</x:v>
      </x:c>
      <x:c r="I296" s="73" t="s">
        <x:v>3404</x:v>
      </x:c>
      <x:c r="J296" s="73" t="n">
        <x:v>2022</x:v>
      </x:c>
      <x:c r="K296" s="73" t="n">
        <x:v>7</x:v>
      </x:c>
      <x:c r="L296" s="73" t="n">
        <x:v>17</x:v>
      </x:c>
      <x:c r="M296" s="73" t="n">
        <x:v>6</x:v>
      </x:c>
      <x:c r="N296" s="73" t="s">
        <x:v>3260</x:v>
      </x:c>
    </x:row>
    <x:row r="297" ht="15" hidden="0">
      <x:c r="A297" s="73" t="s">
        <x:v>4172</x:v>
      </x:c>
      <x:c r="B297" s="73" t="s">
        <x:v>3277</x:v>
      </x:c>
      <x:c r="C297" s="73" t="s">
        <x:v>1213</x:v>
      </x:c>
      <x:c r="D297" s="73" t="s">
        <x:v>4173</x:v>
      </x:c>
      <x:c r="E297" s="73" t="s">
        <x:v>3394</x:v>
      </x:c>
      <x:c r="F297" s="73" t="s">
        <x:v>4174</x:v>
      </x:c>
      <x:c r="G297" s="73" t="n">
        <x:v>24</x:v>
      </x:c>
      <x:c r="H297" s="73" t="n">
        <x:v>48</x:v>
      </x:c>
      <x:c r="I297" s="73" t="s">
        <x:v>3400</x:v>
      </x:c>
      <x:c r="J297" s="73" t="n">
        <x:v>2018</x:v>
      </x:c>
      <x:c r="K297" s="73" t="n">
        <x:v>8</x:v>
      </x:c>
      <x:c r="L297" s="73" t="n">
        <x:v>22</x:v>
      </x:c>
      <x:c r="M297" s="73" t="n">
        <x:v>17</x:v>
      </x:c>
      <x:c r="N297" s="73" t="s">
        <x:v>3260</x:v>
      </x:c>
    </x:row>
    <x:row r="298" ht="15" hidden="0">
      <x:c r="A298" s="73" t="s">
        <x:v>4205</x:v>
      </x:c>
      <x:c r="B298" s="73" t="s">
        <x:v>3188</x:v>
      </x:c>
      <x:c r="C298" s="73" t="s">
        <x:v>1258</x:v>
      </x:c>
      <x:c r="D298" s="73" t="s">
        <x:v>4206</x:v>
      </x:c>
      <x:c r="E298" s="73" t="s">
        <x:v>3390</x:v>
      </x:c>
      <x:c r="F298" s="73" t="s">
        <x:v>4207</x:v>
      </x:c>
      <x:c r="G298" s="73" t="n">
        <x:v>8</x:v>
      </x:c>
      <x:c r="H298" s="73" t="n">
        <x:v>16</x:v>
      </x:c>
      <x:c r="I298" s="73" t="s">
        <x:v>3387</x:v>
      </x:c>
      <x:c r="J298" s="73" t="n">
        <x:v>2021</x:v>
      </x:c>
      <x:c r="K298" s="73" t="n">
        <x:v>9</x:v>
      </x:c>
      <x:c r="L298" s="73" t="n">
        <x:v>15</x:v>
      </x:c>
      <x:c r="M298" s="73" t="n">
        <x:v>16</x:v>
      </x:c>
      <x:c r="N298" s="73" t="s">
        <x:v>3189</x:v>
      </x:c>
    </x:row>
    <x:row r="299" ht="15" hidden="0">
      <x:c r="A299" s="73" t="s">
        <x:v>4208</x:v>
      </x:c>
      <x:c r="B299" s="73" t="s">
        <x:v>3202</x:v>
      </x:c>
      <x:c r="C299" s="73" t="s">
        <x:v>1263</x:v>
      </x:c>
      <x:c r="D299" s="73" t="s">
        <x:v>4209</x:v>
      </x:c>
      <x:c r="E299" s="73" t="s">
        <x:v>3394</x:v>
      </x:c>
      <x:c r="F299" s="73" t="s">
        <x:v>4210</x:v>
      </x:c>
      <x:c r="G299" s="73" t="n">
        <x:v>12</x:v>
      </x:c>
      <x:c r="H299" s="73" t="n">
        <x:v>24</x:v>
      </x:c>
      <x:c r="I299" s="73" t="s">
        <x:v>3396</x:v>
      </x:c>
      <x:c r="J299" s="73" t="n">
        <x:v>2019</x:v>
      </x:c>
      <x:c r="K299" s="73" t="n">
        <x:v>3</x:v>
      </x:c>
      <x:c r="L299" s="73" t="n">
        <x:v>8</x:v>
      </x:c>
      <x:c r="M299" s="73" t="n">
        <x:v>14</x:v>
      </x:c>
      <x:c r="N299" s="73" t="s">
        <x:v>3189</x:v>
      </x:c>
    </x:row>
    <x:row r="300" ht="15" hidden="0">
      <x:c r="A300" s="73" t="s">
        <x:v>4211</x:v>
      </x:c>
      <x:c r="B300" s="73" t="s">
        <x:v>3191</x:v>
      </x:c>
      <x:c r="C300" s="73" t="s">
        <x:v>1267</x:v>
      </x:c>
      <x:c r="D300" s="73" t="s">
        <x:v>4212</x:v>
      </x:c>
      <x:c r="E300" s="73" t="s">
        <x:v>3382</x:v>
      </x:c>
      <x:c r="F300" s="73" t="s">
        <x:v>4213</x:v>
      </x:c>
      <x:c r="G300" s="73" t="n">
        <x:v>15</x:v>
      </x:c>
      <x:c r="H300" s="73" t="n">
        <x:v>30</x:v>
      </x:c>
      <x:c r="I300" s="73" t="s">
        <x:v>72</x:v>
      </x:c>
      <x:c r="J300" s="73" t="n">
        <x:v>2017</x:v>
      </x:c>
      <x:c r="K300" s="73" t="n">
        <x:v>7</x:v>
      </x:c>
      <x:c r="L300" s="73" t="n">
        <x:v>20</x:v>
      </x:c>
      <x:c r="M300" s="73" t="n">
        <x:v>11</x:v>
      </x:c>
      <x:c r="N300" s="73" t="s">
        <x:v>3189</x:v>
      </x:c>
    </x:row>
    <x:row r="301" ht="15" hidden="0">
      <x:c r="A301" s="73" t="s">
        <x:v>4214</x:v>
      </x:c>
      <x:c r="B301" s="73" t="s">
        <x:v>3319</x:v>
      </x:c>
      <x:c r="C301" s="73" t="s">
        <x:v>1272</x:v>
      </x:c>
      <x:c r="D301" s="73" t="s">
        <x:v>4215</x:v>
      </x:c>
      <x:c r="E301" s="73" t="s">
        <x:v>3390</x:v>
      </x:c>
      <x:c r="F301" s="73" t="s">
        <x:v>4216</x:v>
      </x:c>
      <x:c r="G301" s="73" t="n">
        <x:v>10</x:v>
      </x:c>
      <x:c r="H301" s="73" t="n">
        <x:v>20</x:v>
      </x:c>
      <x:c r="I301" s="73" t="s">
        <x:v>3400</x:v>
      </x:c>
      <x:c r="J301" s="73" t="n">
        <x:v>2020</x:v>
      </x:c>
      <x:c r="K301" s="73" t="n">
        <x:v>11</x:v>
      </x:c>
      <x:c r="L301" s="73" t="n">
        <x:v>2</x:v>
      </x:c>
      <x:c r="M301" s="73" t="n">
        <x:v>19</x:v>
      </x:c>
      <x:c r="N301" s="73" t="s">
        <x:v>3260</x:v>
      </x:c>
    </x:row>
    <x:row r="302" ht="15" hidden="0">
      <x:c r="A302" s="73" t="s">
        <x:v>4217</x:v>
      </x:c>
      <x:c r="B302" s="73" t="s">
        <x:v>3212</x:v>
      </x:c>
      <x:c r="C302" s="73" t="s">
        <x:v>1277</x:v>
      </x:c>
      <x:c r="D302" s="73" t="s">
        <x:v>4218</x:v>
      </x:c>
      <x:c r="E302" s="73" t="s">
        <x:v>3394</x:v>
      </x:c>
      <x:c r="F302" s="73" t="s">
        <x:v>4219</x:v>
      </x:c>
      <x:c r="G302" s="73" t="n">
        <x:v>18</x:v>
      </x:c>
      <x:c r="H302" s="73" t="n">
        <x:v>36</x:v>
      </x:c>
      <x:c r="I302" s="73" t="s">
        <x:v>3404</x:v>
      </x:c>
      <x:c r="J302" s="73" t="n">
        <x:v>2022</x:v>
      </x:c>
      <x:c r="K302" s="73" t="n">
        <x:v>5</x:v>
      </x:c>
      <x:c r="L302" s="73" t="n">
        <x:v>12</x:v>
      </x:c>
      <x:c r="M302" s="73" t="n">
        <x:v>2</x:v>
      </x:c>
      <x:c r="N302" s="73" t="s">
        <x:v>3189</x:v>
      </x:c>
    </x:row>
    <x:row r="303" ht="15" hidden="0">
      <x:c r="A303" s="73" t="s">
        <x:v>4220</x:v>
      </x:c>
      <x:c r="B303" s="73" t="s">
        <x:v>3220</x:v>
      </x:c>
      <x:c r="C303" s="73" t="s">
        <x:v>1282</x:v>
      </x:c>
      <x:c r="D303" s="73" t="s">
        <x:v>4221</x:v>
      </x:c>
      <x:c r="E303" s="73" t="s">
        <x:v>3382</x:v>
      </x:c>
      <x:c r="F303" s="73" t="s">
        <x:v>4222</x:v>
      </x:c>
      <x:c r="G303" s="73" t="n">
        <x:v>14</x:v>
      </x:c>
      <x:c r="H303" s="73" t="n">
        <x:v>28</x:v>
      </x:c>
      <x:c r="I303" s="73" t="s">
        <x:v>3396</x:v>
      </x:c>
      <x:c r="J303" s="73" t="n">
        <x:v>2023</x:v>
      </x:c>
      <x:c r="K303" s="73" t="n">
        <x:v>4</x:v>
      </x:c>
      <x:c r="L303" s="73" t="n">
        <x:v>8</x:v>
      </x:c>
      <x:c r="M303" s="73" t="n">
        <x:v>13</x:v>
      </x:c>
      <x:c r="N303" s="73" t="s">
        <x:v>3189</x:v>
      </x:c>
    </x:row>
    <x:row r="304" ht="15" hidden="0">
      <x:c r="A304" s="73" t="s">
        <x:v>4223</x:v>
      </x:c>
      <x:c r="B304" s="73" t="s">
        <x:v>3207</x:v>
      </x:c>
      <x:c r="C304" s="73" t="s">
        <x:v>1287</x:v>
      </x:c>
      <x:c r="D304" s="73" t="s">
        <x:v>4224</x:v>
      </x:c>
      <x:c r="E304" s="73" t="s">
        <x:v>3390</x:v>
      </x:c>
      <x:c r="F304" s="73" t="s">
        <x:v>4225</x:v>
      </x:c>
      <x:c r="G304" s="73" t="n">
        <x:v>22</x:v>
      </x:c>
      <x:c r="H304" s="73" t="n">
        <x:v>44</x:v>
      </x:c>
      <x:c r="I304" s="73" t="s">
        <x:v>3387</x:v>
      </x:c>
      <x:c r="J304" s="73" t="n">
        <x:v>2021</x:v>
      </x:c>
      <x:c r="K304" s="73" t="n">
        <x:v>6</x:v>
      </x:c>
      <x:c r="L304" s="73" t="n">
        <x:v>25</x:v>
      </x:c>
      <x:c r="M304" s="73" t="n">
        <x:v>17</x:v>
      </x:c>
      <x:c r="N304" s="73" t="s">
        <x:v>3189</x:v>
      </x:c>
    </x:row>
    <x:row r="305" ht="15" hidden="0">
      <x:c r="A305" s="73" t="s">
        <x:v>4226</x:v>
      </x:c>
      <x:c r="B305" s="73" t="s">
        <x:v>3214</x:v>
      </x:c>
      <x:c r="C305" s="73" t="s">
        <x:v>1292</x:v>
      </x:c>
      <x:c r="D305" s="73" t="s">
        <x:v>4227</x:v>
      </x:c>
      <x:c r="E305" s="73" t="s">
        <x:v>3394</x:v>
      </x:c>
      <x:c r="F305" s="73" t="s">
        <x:v>4228</x:v>
      </x:c>
      <x:c r="G305" s="73" t="n">
        <x:v>16</x:v>
      </x:c>
      <x:c r="H305" s="73" t="n">
        <x:v>32</x:v>
      </x:c>
      <x:c r="I305" s="73" t="s">
        <x:v>72</x:v>
      </x:c>
      <x:c r="J305" s="73" t="n">
        <x:v>2019</x:v>
      </x:c>
      <x:c r="K305" s="73" t="n">
        <x:v>8</x:v>
      </x:c>
      <x:c r="L305" s="73" t="n">
        <x:v>30</x:v>
      </x:c>
      <x:c r="M305" s="73" t="n">
        <x:v>10</x:v>
      </x:c>
      <x:c r="N305" s="73" t="s">
        <x:v>3189</x:v>
      </x:c>
    </x:row>
    <x:row r="306" ht="15" hidden="0">
      <x:c r="A306" s="73" t="s">
        <x:v>4229</x:v>
      </x:c>
      <x:c r="B306" s="73" t="s">
        <x:v>3209</x:v>
      </x:c>
      <x:c r="C306" s="73" t="s">
        <x:v>1297</x:v>
      </x:c>
      <x:c r="D306" s="73" t="s">
        <x:v>4230</x:v>
      </x:c>
      <x:c r="E306" s="73" t="s">
        <x:v>3382</x:v>
      </x:c>
      <x:c r="F306" s="73" t="s">
        <x:v>4231</x:v>
      </x:c>
      <x:c r="G306" s="73" t="n">
        <x:v>25</x:v>
      </x:c>
      <x:c r="H306" s="73" t="n">
        <x:v>50</x:v>
      </x:c>
      <x:c r="I306" s="73" t="s">
        <x:v>3400</x:v>
      </x:c>
      <x:c r="J306" s="73" t="n">
        <x:v>2022</x:v>
      </x:c>
      <x:c r="K306" s="73" t="n">
        <x:v>8</x:v>
      </x:c>
      <x:c r="L306" s="73" t="n">
        <x:v>3</x:v>
      </x:c>
      <x:c r="M306" s="73" t="n">
        <x:v>15</x:v>
      </x:c>
      <x:c r="N306" s="73" t="s">
        <x:v>3189</x:v>
      </x:c>
    </x:row>
    <x:row r="307" ht="15" hidden="0">
      <x:c r="A307" s="73" t="s">
        <x:v>4232</x:v>
      </x:c>
      <x:c r="B307" s="73" t="s">
        <x:v>3204</x:v>
      </x:c>
      <x:c r="C307" s="73" t="s">
        <x:v>1302</x:v>
      </x:c>
      <x:c r="D307" s="73" t="s">
        <x:v>4233</x:v>
      </x:c>
      <x:c r="E307" s="73" t="s">
        <x:v>3390</x:v>
      </x:c>
      <x:c r="F307" s="73" t="s">
        <x:v>4234</x:v>
      </x:c>
      <x:c r="G307" s="73" t="n">
        <x:v>12</x:v>
      </x:c>
      <x:c r="H307" s="73" t="n">
        <x:v>24</x:v>
      </x:c>
      <x:c r="I307" s="73" t="s">
        <x:v>3404</x:v>
      </x:c>
      <x:c r="J307" s="73" t="n">
        <x:v>2020</x:v>
      </x:c>
      <x:c r="K307" s="73" t="n">
        <x:v>12</x:v>
      </x:c>
      <x:c r="L307" s="73" t="n">
        <x:v>17</x:v>
      </x:c>
      <x:c r="M307" s="73" t="n">
        <x:v>9</x:v>
      </x:c>
      <x:c r="N307" s="73" t="s">
        <x:v>3189</x:v>
      </x:c>
    </x:row>
    <x:row r="308" ht="15" hidden="0">
      <x:c r="A308" s="73" t="s">
        <x:v>4235</x:v>
      </x:c>
      <x:c r="B308" s="73" t="s">
        <x:v>3211</x:v>
      </x:c>
      <x:c r="C308" s="73" t="s">
        <x:v>1307</x:v>
      </x:c>
      <x:c r="D308" s="73" t="s">
        <x:v>4236</x:v>
      </x:c>
      <x:c r="E308" s="73" t="s">
        <x:v>3394</x:v>
      </x:c>
      <x:c r="F308" s="73" t="s">
        <x:v>4237</x:v>
      </x:c>
      <x:c r="G308" s="73" t="n">
        <x:v>20</x:v>
      </x:c>
      <x:c r="H308" s="73" t="n">
        <x:v>40</x:v>
      </x:c>
      <x:c r="I308" s="73" t="s">
        <x:v>72</x:v>
      </x:c>
      <x:c r="J308" s="73" t="n">
        <x:v>2021</x:v>
      </x:c>
      <x:c r="K308" s="73" t="n">
        <x:v>2</x:v>
      </x:c>
      <x:c r="L308" s="73" t="n">
        <x:v>28</x:v>
      </x:c>
      <x:c r="M308" s="73" t="n">
        <x:v>22</x:v>
      </x:c>
      <x:c r="N308" s="73" t="s">
        <x:v>3189</x:v>
      </x:c>
    </x:row>
    <x:row r="309" ht="15" hidden="0">
      <x:c r="A309" s="73" t="s">
        <x:v>4238</x:v>
      </x:c>
      <x:c r="B309" s="73" t="s">
        <x:v>3210</x:v>
      </x:c>
      <x:c r="C309" s="73" t="s">
        <x:v>1312</x:v>
      </x:c>
      <x:c r="D309" s="73" t="s">
        <x:v>4239</x:v>
      </x:c>
      <x:c r="E309" s="73" t="s">
        <x:v>3382</x:v>
      </x:c>
      <x:c r="F309" s="73" t="s">
        <x:v>4240</x:v>
      </x:c>
      <x:c r="G309" s="73" t="n">
        <x:v>14</x:v>
      </x:c>
      <x:c r="H309" s="73" t="n">
        <x:v>28</x:v>
      </x:c>
      <x:c r="I309" s="73" t="s">
        <x:v>3396</x:v>
      </x:c>
      <x:c r="J309" s="73" t="n">
        <x:v>2018</x:v>
      </x:c>
      <x:c r="K309" s="73" t="n">
        <x:v>5</x:v>
      </x:c>
      <x:c r="L309" s="73" t="n">
        <x:v>10</x:v>
      </x:c>
      <x:c r="M309" s="73" t="n">
        <x:v>14</x:v>
      </x:c>
      <x:c r="N309" s="73" t="s">
        <x:v>3189</x:v>
      </x:c>
    </x:row>
    <x:row r="310" ht="15" hidden="0">
      <x:c r="A310" s="73" t="s">
        <x:v>4241</x:v>
      </x:c>
      <x:c r="B310" s="73" t="s">
        <x:v>3204</x:v>
      </x:c>
      <x:c r="C310" s="73" t="s">
        <x:v>1316</x:v>
      </x:c>
      <x:c r="D310" s="73" t="s">
        <x:v>4242</x:v>
      </x:c>
      <x:c r="E310" s="73" t="s">
        <x:v>3390</x:v>
      </x:c>
      <x:c r="F310" s="73" t="s">
        <x:v>4243</x:v>
      </x:c>
      <x:c r="G310" s="73" t="n">
        <x:v>15</x:v>
      </x:c>
      <x:c r="H310" s="73" t="n">
        <x:v>30</x:v>
      </x:c>
      <x:c r="I310" s="73" t="s">
        <x:v>3387</x:v>
      </x:c>
      <x:c r="J310" s="73" t="n">
        <x:v>2022</x:v>
      </x:c>
      <x:c r="K310" s="73" t="n">
        <x:v>1</x:v>
      </x:c>
      <x:c r="L310" s="73" t="n">
        <x:v>7</x:v>
      </x:c>
      <x:c r="M310" s="73" t="n">
        <x:v>11</x:v>
      </x:c>
      <x:c r="N310" s="73" t="s">
        <x:v>3189</x:v>
      </x:c>
    </x:row>
    <x:row r="311" ht="15" hidden="0">
      <x:c r="A311" s="73" t="s">
        <x:v>4244</x:v>
      </x:c>
      <x:c r="B311" s="73" t="s">
        <x:v>3191</x:v>
      </x:c>
      <x:c r="C311" s="73" t="s">
        <x:v>1320</x:v>
      </x:c>
      <x:c r="D311" s="73" t="s">
        <x:v>4245</x:v>
      </x:c>
      <x:c r="E311" s="73" t="s">
        <x:v>3394</x:v>
      </x:c>
      <x:c r="F311" s="73" t="s">
        <x:v>4246</x:v>
      </x:c>
      <x:c r="G311" s="73" t="n">
        <x:v>18</x:v>
      </x:c>
      <x:c r="H311" s="73" t="n">
        <x:v>36</x:v>
      </x:c>
      <x:c r="I311" s="73" t="s">
        <x:v>3400</x:v>
      </x:c>
      <x:c r="J311" s="73" t="n">
        <x:v>2019</x:v>
      </x:c>
      <x:c r="K311" s="73" t="n">
        <x:v>9</x:v>
      </x:c>
      <x:c r="L311" s="73" t="n">
        <x:v>19</x:v>
      </x:c>
      <x:c r="M311" s="73" t="n">
        <x:v>3</x:v>
      </x:c>
      <x:c r="N311" s="73" t="s">
        <x:v>3189</x:v>
      </x:c>
    </x:row>
    <x:row r="312" ht="15" hidden="0">
      <x:c r="A312" s="73" t="s">
        <x:v>4247</x:v>
      </x:c>
      <x:c r="B312" s="73" t="s">
        <x:v>3212</x:v>
      </x:c>
      <x:c r="C312" s="73" t="s">
        <x:v>1324</x:v>
      </x:c>
      <x:c r="D312" s="73" t="s">
        <x:v>4248</x:v>
      </x:c>
      <x:c r="E312" s="73" t="s">
        <x:v>3382</x:v>
      </x:c>
      <x:c r="F312" s="73" t="s">
        <x:v>4249</x:v>
      </x:c>
      <x:c r="G312" s="73" t="n">
        <x:v>13</x:v>
      </x:c>
      <x:c r="H312" s="73" t="n">
        <x:v>26</x:v>
      </x:c>
      <x:c r="I312" s="73" t="s">
        <x:v>3396</x:v>
      </x:c>
      <x:c r="J312" s="73" t="n">
        <x:v>2023</x:v>
      </x:c>
      <x:c r="K312" s="73" t="n">
        <x:v>7</x:v>
      </x:c>
      <x:c r="L312" s="73" t="n">
        <x:v>14</x:v>
      </x:c>
      <x:c r="M312" s="73" t="n">
        <x:v>23</x:v>
      </x:c>
      <x:c r="N312" s="73" t="s">
        <x:v>3189</x:v>
      </x:c>
    </x:row>
    <x:row r="313" ht="15" hidden="0">
      <x:c r="A313" s="73" t="s">
        <x:v>4250</x:v>
      </x:c>
      <x:c r="B313" s="73" t="s">
        <x:v>3202</x:v>
      </x:c>
      <x:c r="C313" s="73" t="s">
        <x:v>1328</x:v>
      </x:c>
      <x:c r="D313" s="73" t="s">
        <x:v>4251</x:v>
      </x:c>
      <x:c r="E313" s="73" t="s">
        <x:v>3390</x:v>
      </x:c>
      <x:c r="F313" s="73" t="s">
        <x:v>4252</x:v>
      </x:c>
      <x:c r="G313" s="73" t="n">
        <x:v>10</x:v>
      </x:c>
      <x:c r="H313" s="73" t="n">
        <x:v>20</x:v>
      </x:c>
      <x:c r="I313" s="73" t="s">
        <x:v>3404</x:v>
      </x:c>
      <x:c r="J313" s="73" t="n">
        <x:v>2020</x:v>
      </x:c>
      <x:c r="K313" s="73" t="n">
        <x:v>4</x:v>
      </x:c>
      <x:c r="L313" s="73" t="n">
        <x:v>5</x:v>
      </x:c>
      <x:c r="M313" s="73" t="n">
        <x:v>16</x:v>
      </x:c>
      <x:c r="N313" s="73" t="s">
        <x:v>3189</x:v>
      </x:c>
    </x:row>
    <x:row r="314" ht="15" hidden="0">
      <x:c r="A314" s="73" t="s">
        <x:v>4253</x:v>
      </x:c>
      <x:c r="B314" s="73" t="s">
        <x:v>3207</x:v>
      </x:c>
      <x:c r="C314" s="73" t="s">
        <x:v>1332</x:v>
      </x:c>
      <x:c r="D314" s="73" t="s">
        <x:v>4254</x:v>
      </x:c>
      <x:c r="E314" s="73" t="s">
        <x:v>3394</x:v>
      </x:c>
      <x:c r="F314" s="73" t="s">
        <x:v>4255</x:v>
      </x:c>
      <x:c r="G314" s="73" t="n">
        <x:v>20</x:v>
      </x:c>
      <x:c r="H314" s="73" t="n">
        <x:v>40</x:v>
      </x:c>
      <x:c r="I314" s="73" t="s">
        <x:v>72</x:v>
      </x:c>
      <x:c r="J314" s="73" t="n">
        <x:v>2021</x:v>
      </x:c>
      <x:c r="K314" s="73" t="n">
        <x:v>11</x:v>
      </x:c>
      <x:c r="L314" s="73" t="n">
        <x:v>29</x:v>
      </x:c>
      <x:c r="M314" s="73" t="n">
        <x:v>8</x:v>
      </x:c>
      <x:c r="N314" s="73" t="s">
        <x:v>3189</x:v>
      </x:c>
    </x:row>
    <x:row r="315" ht="15" hidden="0">
      <x:c r="A315" s="73" t="s">
        <x:v>4256</x:v>
      </x:c>
      <x:c r="B315" s="73" t="s">
        <x:v>3214</x:v>
      </x:c>
      <x:c r="C315" s="73" t="s">
        <x:v>1336</x:v>
      </x:c>
      <x:c r="D315" s="73" t="s">
        <x:v>4257</x:v>
      </x:c>
      <x:c r="E315" s="73" t="s">
        <x:v>3382</x:v>
      </x:c>
      <x:c r="F315" s="73" t="s">
        <x:v>4258</x:v>
      </x:c>
      <x:c r="G315" s="73" t="n">
        <x:v>16</x:v>
      </x:c>
      <x:c r="H315" s="73" t="n">
        <x:v>32</x:v>
      </x:c>
      <x:c r="I315" s="73" t="s">
        <x:v>3400</x:v>
      </x:c>
      <x:c r="J315" s="73" t="n">
        <x:v>2019</x:v>
      </x:c>
      <x:c r="K315" s="73" t="n">
        <x:v>12</x:v>
      </x:c>
      <x:c r="L315" s="73" t="n">
        <x:v>12</x:v>
      </x:c>
      <x:c r="M315" s="73" t="n">
        <x:v>17</x:v>
      </x:c>
      <x:c r="N315" s="73" t="s">
        <x:v>3189</x:v>
      </x:c>
    </x:row>
    <x:row r="316" ht="15" hidden="0">
      <x:c r="A316" s="73" t="s">
        <x:v>4259</x:v>
      </x:c>
      <x:c r="B316" s="73" t="s">
        <x:v>3209</x:v>
      </x:c>
      <x:c r="C316" s="73" t="s">
        <x:v>1340</x:v>
      </x:c>
      <x:c r="D316" s="73" t="s">
        <x:v>4260</x:v>
      </x:c>
      <x:c r="E316" s="73" t="s">
        <x:v>3390</x:v>
      </x:c>
      <x:c r="F316" s="73" t="s">
        <x:v>4261</x:v>
      </x:c>
      <x:c r="G316" s="73" t="n">
        <x:v>25</x:v>
      </x:c>
      <x:c r="H316" s="73" t="n">
        <x:v>50</x:v>
      </x:c>
      <x:c r="I316" s="73" t="s">
        <x:v>3387</x:v>
      </x:c>
      <x:c r="J316" s="73" t="n">
        <x:v>2022</x:v>
      </x:c>
      <x:c r="K316" s="73" t="n">
        <x:v>5</x:v>
      </x:c>
      <x:c r="L316" s="73" t="n">
        <x:v>20</x:v>
      </x:c>
      <x:c r="M316" s="73" t="n">
        <x:v>14</x:v>
      </x:c>
      <x:c r="N316" s="73" t="s">
        <x:v>3189</x:v>
      </x:c>
    </x:row>
    <x:row r="317" ht="15" hidden="0">
      <x:c r="A317" s="73" t="s">
        <x:v>4262</x:v>
      </x:c>
      <x:c r="B317" s="73" t="s">
        <x:v>3204</x:v>
      </x:c>
      <x:c r="C317" s="73" t="s">
        <x:v>1344</x:v>
      </x:c>
      <x:c r="D317" s="73" t="s">
        <x:v>4263</x:v>
      </x:c>
      <x:c r="E317" s="73" t="s">
        <x:v>3394</x:v>
      </x:c>
      <x:c r="F317" s="73" t="s">
        <x:v>4264</x:v>
      </x:c>
      <x:c r="G317" s="73" t="n">
        <x:v>14</x:v>
      </x:c>
      <x:c r="H317" s="73" t="n">
        <x:v>28</x:v>
      </x:c>
      <x:c r="I317" s="73" t="s">
        <x:v>3396</x:v>
      </x:c>
      <x:c r="J317" s="73" t="n">
        <x:v>2020</x:v>
      </x:c>
      <x:c r="K317" s="73" t="n">
        <x:v>9</x:v>
      </x:c>
      <x:c r="L317" s="73" t="n">
        <x:v>3</x:v>
      </x:c>
      <x:c r="M317" s="73" t="n">
        <x:v>12</x:v>
      </x:c>
      <x:c r="N317" s="73" t="s">
        <x:v>3189</x:v>
      </x:c>
    </x:row>
    <x:row r="318" ht="15" hidden="0">
      <x:c r="A318" s="73" t="s">
        <x:v>4265</x:v>
      </x:c>
      <x:c r="B318" s="73" t="s">
        <x:v>3211</x:v>
      </x:c>
      <x:c r="C318" s="73" t="s">
        <x:v>1348</x:v>
      </x:c>
      <x:c r="D318" s="73" t="s">
        <x:v>4266</x:v>
      </x:c>
      <x:c r="E318" s="73" t="s">
        <x:v>3382</x:v>
      </x:c>
      <x:c r="F318" s="73" t="s">
        <x:v>4267</x:v>
      </x:c>
      <x:c r="G318" s="73" t="n">
        <x:v>20</x:v>
      </x:c>
      <x:c r="H318" s="73" t="n">
        <x:v>40</x:v>
      </x:c>
      <x:c r="I318" s="73" t="s">
        <x:v>72</x:v>
      </x:c>
      <x:c r="J318" s="73" t="n">
        <x:v>2021</x:v>
      </x:c>
      <x:c r="K318" s="73" t="n">
        <x:v>2</x:v>
      </x:c>
      <x:c r="L318" s="73" t="n">
        <x:v>10</x:v>
      </x:c>
      <x:c r="M318" s="73" t="n">
        <x:v>19</x:v>
      </x:c>
      <x:c r="N318" s="73" t="s">
        <x:v>3189</x:v>
      </x:c>
    </x:row>
    <x:row r="319" ht="15" hidden="0">
      <x:c r="A319" s="73" t="s">
        <x:v>4268</x:v>
      </x:c>
      <x:c r="B319" s="73" t="s">
        <x:v>3210</x:v>
      </x:c>
      <x:c r="C319" s="73" t="s">
        <x:v>1352</x:v>
      </x:c>
      <x:c r="D319" s="73" t="s">
        <x:v>4269</x:v>
      </x:c>
      <x:c r="E319" s="73" t="s">
        <x:v>3390</x:v>
      </x:c>
      <x:c r="F319" s="73" t="s">
        <x:v>4270</x:v>
      </x:c>
      <x:c r="G319" s="73" t="n">
        <x:v>12</x:v>
      </x:c>
      <x:c r="H319" s="73" t="n">
        <x:v>24</x:v>
      </x:c>
      <x:c r="I319" s="73" t="s">
        <x:v>3400</x:v>
      </x:c>
      <x:c r="J319" s="73" t="n">
        <x:v>2018</x:v>
      </x:c>
      <x:c r="K319" s="73" t="n">
        <x:v>8</x:v>
      </x:c>
      <x:c r="L319" s="73" t="n">
        <x:v>18</x:v>
      </x:c>
      <x:c r="M319" s="73" t="n">
        <x:v>14</x:v>
      </x:c>
      <x:c r="N319" s="73" t="s">
        <x:v>3189</x:v>
      </x:c>
    </x:row>
    <x:row r="320" ht="15" hidden="0">
      <x:c r="A320" s="73" t="s">
        <x:v>4271</x:v>
      </x:c>
      <x:c r="B320" s="73" t="s">
        <x:v>3188</x:v>
      </x:c>
      <x:c r="C320" s="73" t="s">
        <x:v>1356</x:v>
      </x:c>
      <x:c r="D320" s="73" t="s">
        <x:v>4272</x:v>
      </x:c>
      <x:c r="E320" s="73" t="s">
        <x:v>3394</x:v>
      </x:c>
      <x:c r="F320" s="73" t="s">
        <x:v>4273</x:v>
      </x:c>
      <x:c r="G320" s="73" t="n">
        <x:v>8</x:v>
      </x:c>
      <x:c r="H320" s="73" t="n">
        <x:v>16</x:v>
      </x:c>
      <x:c r="I320" s="73" t="s">
        <x:v>3387</x:v>
      </x:c>
      <x:c r="J320" s="73" t="n">
        <x:v>2022</x:v>
      </x:c>
      <x:c r="K320" s="73" t="n">
        <x:v>2</x:v>
      </x:c>
      <x:c r="L320" s="73" t="n">
        <x:v>28</x:v>
      </x:c>
      <x:c r="M320" s="73" t="n">
        <x:v>21</x:v>
      </x:c>
      <x:c r="N320" s="73" t="s">
        <x:v>3189</x:v>
      </x:c>
    </x:row>
    <x:row r="321" ht="15" hidden="0">
      <x:c r="A321" s="73" t="s">
        <x:v>4274</x:v>
      </x:c>
      <x:c r="B321" s="73" t="s">
        <x:v>3202</x:v>
      </x:c>
      <x:c r="C321" s="73" t="s">
        <x:v>1360</x:v>
      </x:c>
      <x:c r="D321" s="73" t="s">
        <x:v>4275</x:v>
      </x:c>
      <x:c r="E321" s="73" t="s">
        <x:v>3382</x:v>
      </x:c>
      <x:c r="F321" s="73" t="s">
        <x:v>4276</x:v>
      </x:c>
      <x:c r="G321" s="73" t="n">
        <x:v>15</x:v>
      </x:c>
      <x:c r="H321" s="73" t="n">
        <x:v>30</x:v>
      </x:c>
      <x:c r="I321" s="73" t="s">
        <x:v>3396</x:v>
      </x:c>
      <x:c r="J321" s="73" t="n">
        <x:v>2019</x:v>
      </x:c>
      <x:c r="K321" s="73" t="n">
        <x:v>10</x:v>
      </x:c>
      <x:c r="L321" s="73" t="n">
        <x:v>15</x:v>
      </x:c>
      <x:c r="M321" s="73" t="n">
        <x:v>10</x:v>
      </x:c>
      <x:c r="N321" s="73" t="s">
        <x:v>3189</x:v>
      </x:c>
    </x:row>
    <x:row r="322" ht="15" hidden="0">
      <x:c r="A322" s="73" t="s">
        <x:v>4277</x:v>
      </x:c>
      <x:c r="B322" s="73" t="s">
        <x:v>3191</x:v>
      </x:c>
      <x:c r="C322" s="73" t="s">
        <x:v>1364</x:v>
      </x:c>
      <x:c r="D322" s="73" t="s">
        <x:v>4278</x:v>
      </x:c>
      <x:c r="E322" s="73" t="s">
        <x:v>3390</x:v>
      </x:c>
      <x:c r="F322" s="73" t="s">
        <x:v>4279</x:v>
      </x:c>
      <x:c r="G322" s="73" t="n">
        <x:v>18</x:v>
      </x:c>
      <x:c r="H322" s="73" t="n">
        <x:v>36</x:v>
      </x:c>
      <x:c r="I322" s="73" t="s">
        <x:v>72</x:v>
      </x:c>
      <x:c r="J322" s="73" t="n">
        <x:v>2017</x:v>
      </x:c>
      <x:c r="K322" s="73" t="n">
        <x:v>12</x:v>
      </x:c>
      <x:c r="L322" s="73" t="n">
        <x:v>1</x:v>
      </x:c>
      <x:c r="M322" s="73" t="n">
        <x:v>18</x:v>
      </x:c>
      <x:c r="N322" s="73" t="s">
        <x:v>3189</x:v>
      </x:c>
    </x:row>
    <x:row r="323" ht="15" hidden="0">
      <x:c r="A323" s="73" t="s">
        <x:v>4280</x:v>
      </x:c>
      <x:c r="B323" s="73" t="s">
        <x:v>3319</x:v>
      </x:c>
      <x:c r="C323" s="73" t="s">
        <x:v>1368</x:v>
      </x:c>
      <x:c r="D323" s="73" t="s">
        <x:v>4281</x:v>
      </x:c>
      <x:c r="E323" s="73" t="s">
        <x:v>3394</x:v>
      </x:c>
      <x:c r="F323" s="73" t="s">
        <x:v>4282</x:v>
      </x:c>
      <x:c r="G323" s="73" t="n">
        <x:v>10</x:v>
      </x:c>
      <x:c r="H323" s="73" t="n">
        <x:v>20</x:v>
      </x:c>
      <x:c r="I323" s="73" t="s">
        <x:v>3400</x:v>
      </x:c>
      <x:c r="J323" s="73" t="n">
        <x:v>2020</x:v>
      </x:c>
      <x:c r="K323" s="73" t="n">
        <x:v>4</x:v>
      </x:c>
      <x:c r="L323" s="73" t="n">
        <x:v>18</x:v>
      </x:c>
      <x:c r="M323" s="73" t="n">
        <x:v>16</x:v>
      </x:c>
      <x:c r="N323" s="73" t="s">
        <x:v>3260</x:v>
      </x:c>
    </x:row>
    <x:row r="324" ht="15" hidden="0">
      <x:c r="A324" s="73" t="s">
        <x:v>4283</x:v>
      </x:c>
      <x:c r="B324" s="73" t="s">
        <x:v>3212</x:v>
      </x:c>
      <x:c r="C324" s="73" t="s">
        <x:v>1372</x:v>
      </x:c>
      <x:c r="D324" s="73" t="s">
        <x:v>4218</x:v>
      </x:c>
      <x:c r="E324" s="73" t="s">
        <x:v>3382</x:v>
      </x:c>
      <x:c r="F324" s="73" t="s">
        <x:v>4284</x:v>
      </x:c>
      <x:c r="G324" s="73" t="n">
        <x:v>18</x:v>
      </x:c>
      <x:c r="H324" s="73" t="n">
        <x:v>36</x:v>
      </x:c>
      <x:c r="I324" s="73" t="s">
        <x:v>3404</x:v>
      </x:c>
      <x:c r="J324" s="73" t="n">
        <x:v>2023</x:v>
      </x:c>
      <x:c r="K324" s="73" t="n">
        <x:v>1</x:v>
      </x:c>
      <x:c r="L324" s="73" t="n">
        <x:v>7</x:v>
      </x:c>
      <x:c r="M324" s="73" t="n">
        <x:v>3</x:v>
      </x:c>
      <x:c r="N324" s="73" t="s">
        <x:v>3189</x:v>
      </x:c>
    </x:row>
    <x:row r="325" ht="15" hidden="0">
      <x:c r="A325" s="73" t="s">
        <x:v>4285</x:v>
      </x:c>
      <x:c r="B325" s="73" t="s">
        <x:v>3220</x:v>
      </x:c>
      <x:c r="C325" s="73" t="s">
        <x:v>1375</x:v>
      </x:c>
      <x:c r="D325" s="73" t="s">
        <x:v>4194</x:v>
      </x:c>
      <x:c r="E325" s="73" t="s">
        <x:v>3390</x:v>
      </x:c>
      <x:c r="F325" s="73" t="s">
        <x:v>4286</x:v>
      </x:c>
      <x:c r="G325" s="73" t="n">
        <x:v>14</x:v>
      </x:c>
      <x:c r="H325" s="73" t="n">
        <x:v>28</x:v>
      </x:c>
      <x:c r="I325" s="73" t="s">
        <x:v>3387</x:v>
      </x:c>
      <x:c r="J325" s="73" t="n">
        <x:v>2021</x:v>
      </x:c>
      <x:c r="K325" s="73" t="n">
        <x:v>6</x:v>
      </x:c>
      <x:c r="L325" s="73" t="n">
        <x:v>10</x:v>
      </x:c>
      <x:c r="M325" s="73" t="n">
        <x:v>10</x:v>
      </x:c>
      <x:c r="N325" s="73" t="s">
        <x:v>3189</x:v>
      </x:c>
    </x:row>
    <x:row r="326" ht="15" hidden="0">
      <x:c r="A326" s="73" t="s">
        <x:v>4287</x:v>
      </x:c>
      <x:c r="B326" s="73" t="s">
        <x:v>3207</x:v>
      </x:c>
      <x:c r="C326" s="73" t="s">
        <x:v>1378</x:v>
      </x:c>
      <x:c r="D326" s="73" t="s">
        <x:v>4288</x:v>
      </x:c>
      <x:c r="E326" s="73" t="s">
        <x:v>3394</x:v>
      </x:c>
      <x:c r="F326" s="73" t="s">
        <x:v>4289</x:v>
      </x:c>
      <x:c r="G326" s="73" t="n">
        <x:v>22</x:v>
      </x:c>
      <x:c r="H326" s="73" t="n">
        <x:v>44</x:v>
      </x:c>
      <x:c r="I326" s="73" t="s">
        <x:v>72</x:v>
      </x:c>
      <x:c r="J326" s="73" t="n">
        <x:v>2020</x:v>
      </x:c>
      <x:c r="K326" s="73" t="n">
        <x:v>2</x:v>
      </x:c>
      <x:c r="L326" s="73" t="n">
        <x:v>22</x:v>
      </x:c>
      <x:c r="M326" s="73" t="n">
        <x:v>15</x:v>
      </x:c>
      <x:c r="N326" s="73" t="s">
        <x:v>3189</x:v>
      </x:c>
    </x:row>
    <x:row r="327" ht="15" hidden="0">
      <x:c r="A327" s="73" t="s">
        <x:v>4290</x:v>
      </x:c>
      <x:c r="B327" s="73" t="s">
        <x:v>3214</x:v>
      </x:c>
      <x:c r="C327" s="73" t="s">
        <x:v>1382</x:v>
      </x:c>
      <x:c r="D327" s="73" t="s">
        <x:v>4291</x:v>
      </x:c>
      <x:c r="E327" s="73" t="s">
        <x:v>3382</x:v>
      </x:c>
      <x:c r="F327" s="73" t="s">
        <x:v>4292</x:v>
      </x:c>
      <x:c r="G327" s="73" t="n">
        <x:v>16</x:v>
      </x:c>
      <x:c r="H327" s="73" t="n">
        <x:v>32</x:v>
      </x:c>
      <x:c r="I327" s="73" t="s">
        <x:v>3396</x:v>
      </x:c>
      <x:c r="J327" s="73" t="n">
        <x:v>2018</x:v>
      </x:c>
      <x:c r="K327" s="73" t="n">
        <x:v>3</x:v>
      </x:c>
      <x:c r="L327" s="73" t="n">
        <x:v>17</x:v>
      </x:c>
      <x:c r="M327" s="73" t="n">
        <x:v>14</x:v>
      </x:c>
      <x:c r="N327" s="73" t="s">
        <x:v>3189</x:v>
      </x:c>
    </x:row>
    <x:row r="328" ht="15" hidden="0">
      <x:c r="A328" s="73" t="s">
        <x:v>4293</x:v>
      </x:c>
      <x:c r="B328" s="73" t="s">
        <x:v>3209</x:v>
      </x:c>
      <x:c r="C328" s="73" t="s">
        <x:v>1386</x:v>
      </x:c>
      <x:c r="D328" s="73" t="s">
        <x:v>4294</x:v>
      </x:c>
      <x:c r="E328" s="73" t="s">
        <x:v>3390</x:v>
      </x:c>
      <x:c r="F328" s="73" t="s">
        <x:v>4295</x:v>
      </x:c>
      <x:c r="G328" s="73" t="n">
        <x:v>25</x:v>
      </x:c>
      <x:c r="H328" s="73" t="n">
        <x:v>50</x:v>
      </x:c>
      <x:c r="I328" s="73" t="s">
        <x:v>3400</x:v>
      </x:c>
      <x:c r="J328" s="73" t="n">
        <x:v>2022</x:v>
      </x:c>
      <x:c r="K328" s="73" t="n">
        <x:v>10</x:v>
      </x:c>
      <x:c r="L328" s="73" t="n">
        <x:v>28</x:v>
      </x:c>
      <x:c r="M328" s="73" t="n">
        <x:v>11</x:v>
      </x:c>
      <x:c r="N328" s="73" t="s">
        <x:v>3189</x:v>
      </x:c>
    </x:row>
    <x:row r="329" ht="15" hidden="0">
      <x:c r="A329" s="73" t="s">
        <x:v>4296</x:v>
      </x:c>
      <x:c r="B329" s="73" t="s">
        <x:v>3204</x:v>
      </x:c>
      <x:c r="C329" s="73" t="s">
        <x:v>1390</x:v>
      </x:c>
      <x:c r="D329" s="73" t="s">
        <x:v>4297</x:v>
      </x:c>
      <x:c r="E329" s="73" t="s">
        <x:v>3394</x:v>
      </x:c>
      <x:c r="F329" s="73" t="s">
        <x:v>4298</x:v>
      </x:c>
      <x:c r="G329" s="73" t="n">
        <x:v>14</x:v>
      </x:c>
      <x:c r="H329" s="73" t="n">
        <x:v>28</x:v>
      </x:c>
      <x:c r="I329" s="73" t="s">
        <x:v>3404</x:v>
      </x:c>
      <x:c r="J329" s="73" t="n">
        <x:v>2020</x:v>
      </x:c>
      <x:c r="K329" s="73" t="n">
        <x:v>11</x:v>
      </x:c>
      <x:c r="L329" s="73" t="n">
        <x:v>1</x:v>
      </x:c>
      <x:c r="M329" s="73" t="n">
        <x:v>12</x:v>
      </x:c>
      <x:c r="N329" s="73" t="s">
        <x:v>3189</x:v>
      </x:c>
    </x:row>
    <x:row r="330" ht="15" hidden="0">
      <x:c r="A330" s="73" t="s">
        <x:v>4299</x:v>
      </x:c>
      <x:c r="B330" s="73" t="s">
        <x:v>3211</x:v>
      </x:c>
      <x:c r="C330" s="73" t="s">
        <x:v>1394</x:v>
      </x:c>
      <x:c r="D330" s="73" t="s">
        <x:v>4300</x:v>
      </x:c>
      <x:c r="E330" s="73" t="s">
        <x:v>3382</x:v>
      </x:c>
      <x:c r="F330" s="73" t="s">
        <x:v>4301</x:v>
      </x:c>
      <x:c r="G330" s="73" t="n">
        <x:v>20</x:v>
      </x:c>
      <x:c r="H330" s="73" t="n">
        <x:v>40</x:v>
      </x:c>
      <x:c r="I330" s="73" t="s">
        <x:v>72</x:v>
      </x:c>
      <x:c r="J330" s="73" t="n">
        <x:v>2021</x:v>
      </x:c>
      <x:c r="K330" s="73" t="n">
        <x:v>1</x:v>
      </x:c>
      <x:c r="L330" s="73" t="n">
        <x:v>15</x:v>
      </x:c>
      <x:c r="M330" s="73" t="n">
        <x:v>22</x:v>
      </x:c>
      <x:c r="N330" s="73" t="s">
        <x:v>3189</x:v>
      </x:c>
    </x:row>
    <x:row r="331" ht="15" hidden="0">
      <x:c r="A331" s="73" t="s">
        <x:v>4268</x:v>
      </x:c>
      <x:c r="B331" s="73" t="s">
        <x:v>3210</x:v>
      </x:c>
      <x:c r="C331" s="73" t="s">
        <x:v>1397</x:v>
      </x:c>
      <x:c r="D331" s="73" t="s">
        <x:v>4239</x:v>
      </x:c>
      <x:c r="E331" s="73" t="s">
        <x:v>3390</x:v>
      </x:c>
      <x:c r="F331" s="73" t="s">
        <x:v>4270</x:v>
      </x:c>
      <x:c r="G331" s="73" t="n">
        <x:v>12</x:v>
      </x:c>
      <x:c r="H331" s="73" t="n">
        <x:v>24</x:v>
      </x:c>
      <x:c r="I331" s="73" t="s">
        <x:v>3400</x:v>
      </x:c>
      <x:c r="J331" s="73" t="n">
        <x:v>2018</x:v>
      </x:c>
      <x:c r="K331" s="73" t="n">
        <x:v>8</x:v>
      </x:c>
      <x:c r="L331" s="73" t="n">
        <x:v>18</x:v>
      </x:c>
      <x:c r="M331" s="73" t="n">
        <x:v>14</x:v>
      </x:c>
      <x:c r="N331" s="73" t="s">
        <x:v>3189</x:v>
      </x:c>
    </x:row>
    <x:row r="332" ht="15" hidden="0">
      <x:c r="A332" s="73" t="s">
        <x:v>4241</x:v>
      </x:c>
      <x:c r="B332" s="73" t="s">
        <x:v>3204</x:v>
      </x:c>
      <x:c r="C332" s="73" t="s">
        <x:v>1316</x:v>
      </x:c>
      <x:c r="D332" s="73" t="s">
        <x:v>4242</x:v>
      </x:c>
      <x:c r="E332" s="73" t="s">
        <x:v>3382</x:v>
      </x:c>
      <x:c r="F332" s="73" t="s">
        <x:v>4243</x:v>
      </x:c>
      <x:c r="G332" s="73" t="n">
        <x:v>15</x:v>
      </x:c>
      <x:c r="H332" s="73" t="n">
        <x:v>30</x:v>
      </x:c>
      <x:c r="I332" s="73" t="s">
        <x:v>3387</x:v>
      </x:c>
      <x:c r="J332" s="73" t="n">
        <x:v>2022</x:v>
      </x:c>
      <x:c r="K332" s="73" t="n">
        <x:v>1</x:v>
      </x:c>
      <x:c r="L332" s="73" t="n">
        <x:v>7</x:v>
      </x:c>
      <x:c r="M332" s="73" t="n">
        <x:v>11</x:v>
      </x:c>
      <x:c r="N332" s="73" t="s">
        <x:v>3189</x:v>
      </x:c>
    </x:row>
    <x:row r="333" ht="15" hidden="0">
      <x:c r="A333" s="73" t="s">
        <x:v>4244</x:v>
      </x:c>
      <x:c r="B333" s="73" t="s">
        <x:v>3191</x:v>
      </x:c>
      <x:c r="C333" s="73" t="s">
        <x:v>1320</x:v>
      </x:c>
      <x:c r="D333" s="73" t="s">
        <x:v>4245</x:v>
      </x:c>
      <x:c r="E333" s="73" t="s">
        <x:v>3394</x:v>
      </x:c>
      <x:c r="F333" s="73" t="s">
        <x:v>4246</x:v>
      </x:c>
      <x:c r="G333" s="73" t="n">
        <x:v>18</x:v>
      </x:c>
      <x:c r="H333" s="73" t="n">
        <x:v>36</x:v>
      </x:c>
      <x:c r="I333" s="73" t="s">
        <x:v>3400</x:v>
      </x:c>
      <x:c r="J333" s="73" t="n">
        <x:v>2019</x:v>
      </x:c>
      <x:c r="K333" s="73" t="n">
        <x:v>9</x:v>
      </x:c>
      <x:c r="L333" s="73" t="n">
        <x:v>19</x:v>
      </x:c>
      <x:c r="M333" s="73" t="n">
        <x:v>3</x:v>
      </x:c>
      <x:c r="N333" s="73" t="s">
        <x:v>3189</x:v>
      </x:c>
    </x:row>
    <x:row r="334" ht="15" hidden="0">
      <x:c r="A334" s="73" t="s">
        <x:v>4302</x:v>
      </x:c>
      <x:c r="B334" s="73" t="s">
        <x:v>3268</x:v>
      </x:c>
      <x:c r="C334" s="73" t="s">
        <x:v>1400</x:v>
      </x:c>
      <x:c r="D334" s="73" t="s">
        <x:v>3571</x:v>
      </x:c>
      <x:c r="E334" s="73" t="s">
        <x:v>3390</x:v>
      </x:c>
      <x:c r="F334" s="73" t="s">
        <x:v>4303</x:v>
      </x:c>
      <x:c r="G334" s="73" t="n">
        <x:v>28</x:v>
      </x:c>
      <x:c r="H334" s="73" t="n">
        <x:v>55</x:v>
      </x:c>
      <x:c r="I334" s="73" t="s">
        <x:v>72</x:v>
      </x:c>
      <x:c r="J334" s="73" t="n">
        <x:v>2022</x:v>
      </x:c>
      <x:c r="K334" s="73" t="n">
        <x:v>4</x:v>
      </x:c>
      <x:c r="L334" s="73" t="n">
        <x:v>3</x:v>
      </x:c>
      <x:c r="M334" s="73" t="n">
        <x:v>6</x:v>
      </x:c>
      <x:c r="N334" s="73" t="s">
        <x:v>3260</x:v>
      </x:c>
    </x:row>
    <x:row r="335" ht="15" hidden="0">
      <x:c r="A335" s="73" t="s">
        <x:v>4304</x:v>
      </x:c>
      <x:c r="B335" s="73" t="s">
        <x:v>3271</x:v>
      </x:c>
      <x:c r="C335" s="73" t="s">
        <x:v>1406</x:v>
      </x:c>
      <x:c r="D335" s="73" t="s">
        <x:v>4305</x:v>
      </x:c>
      <x:c r="E335" s="73" t="s">
        <x:v>3382</x:v>
      </x:c>
      <x:c r="F335" s="73" t="s">
        <x:v>4306</x:v>
      </x:c>
      <x:c r="G335" s="73" t="n">
        <x:v>15</x:v>
      </x:c>
      <x:c r="H335" s="73" t="n">
        <x:v>30</x:v>
      </x:c>
      <x:c r="I335" s="73" t="s">
        <x:v>3387</x:v>
      </x:c>
      <x:c r="J335" s="73" t="n">
        <x:v>2023</x:v>
      </x:c>
      <x:c r="K335" s="73" t="n">
        <x:v>10</x:v>
      </x:c>
      <x:c r="L335" s="73" t="n">
        <x:v>12</x:v>
      </x:c>
      <x:c r="M335" s="73" t="n">
        <x:v>10</x:v>
      </x:c>
      <x:c r="N335" s="73" t="s">
        <x:v>3260</x:v>
      </x:c>
    </x:row>
    <x:row r="336" ht="15" hidden="0">
      <x:c r="A336" s="73" t="s">
        <x:v>4307</x:v>
      </x:c>
      <x:c r="B336" s="73" t="s">
        <x:v>3245</x:v>
      </x:c>
      <x:c r="C336" s="73" t="s">
        <x:v>1412</x:v>
      </x:c>
      <x:c r="D336" s="73" t="s">
        <x:v>4308</x:v>
      </x:c>
      <x:c r="E336" s="73" t="s">
        <x:v>3394</x:v>
      </x:c>
      <x:c r="F336" s="73" t="s">
        <x:v>4309</x:v>
      </x:c>
      <x:c r="G336" s="73" t="n">
        <x:v>22</x:v>
      </x:c>
      <x:c r="H336" s="73" t="n">
        <x:v>45</x:v>
      </x:c>
      <x:c r="I336" s="73" t="s">
        <x:v>3396</x:v>
      </x:c>
      <x:c r="J336" s="73" t="n">
        <x:v>2019</x:v>
      </x:c>
      <x:c r="K336" s="73" t="n">
        <x:v>6</x:v>
      </x:c>
      <x:c r="L336" s="73" t="n">
        <x:v>28</x:v>
      </x:c>
      <x:c r="M336" s="73" t="n">
        <x:v>19</x:v>
      </x:c>
      <x:c r="N336" s="73" t="s">
        <x:v>3244</x:v>
      </x:c>
    </x:row>
    <x:row r="337" ht="15" hidden="0">
      <x:c r="A337" s="73" t="s">
        <x:v>4310</x:v>
      </x:c>
      <x:c r="B337" s="73" t="s">
        <x:v>3293</x:v>
      </x:c>
      <x:c r="C337" s="73" t="s">
        <x:v>1418</x:v>
      </x:c>
      <x:c r="D337" s="73" t="s">
        <x:v>4311</x:v>
      </x:c>
      <x:c r="E337" s="73" t="s">
        <x:v>3390</x:v>
      </x:c>
      <x:c r="F337" s="73" t="s">
        <x:v>4312</x:v>
      </x:c>
      <x:c r="G337" s="73" t="n">
        <x:v>40</x:v>
      </x:c>
      <x:c r="H337" s="73" t="n">
        <x:v>80</x:v>
      </x:c>
      <x:c r="I337" s="73" t="s">
        <x:v>3404</x:v>
      </x:c>
      <x:c r="J337" s="73" t="n">
        <x:v>2020</x:v>
      </x:c>
      <x:c r="K337" s="73" t="n">
        <x:v>9</x:v>
      </x:c>
      <x:c r="L337" s="73" t="n">
        <x:v>15</x:v>
      </x:c>
      <x:c r="M337" s="73" t="n">
        <x:v>14</x:v>
      </x:c>
      <x:c r="N337" s="73" t="s">
        <x:v>3260</x:v>
      </x:c>
    </x:row>
    <x:row r="338" ht="15" hidden="0">
      <x:c r="A338" s="73" t="s">
        <x:v>4313</x:v>
      </x:c>
      <x:c r="B338" s="73" t="s">
        <x:v>3284</x:v>
      </x:c>
      <x:c r="C338" s="73" t="s">
        <x:v>1424</x:v>
      </x:c>
      <x:c r="D338" s="73" t="s">
        <x:v>4314</x:v>
      </x:c>
      <x:c r="E338" s="73" t="s">
        <x:v>3382</x:v>
      </x:c>
      <x:c r="F338" s="73" t="s">
        <x:v>4315</x:v>
      </x:c>
      <x:c r="G338" s="73" t="n">
        <x:v>18</x:v>
      </x:c>
      <x:c r="H338" s="73" t="n">
        <x:v>35</x:v>
      </x:c>
      <x:c r="I338" s="73" t="s">
        <x:v>3400</x:v>
      </x:c>
      <x:c r="J338" s="73" t="n">
        <x:v>2017</x:v>
      </x:c>
      <x:c r="K338" s="73" t="n">
        <x:v>11</x:v>
      </x:c>
      <x:c r="L338" s="73" t="n">
        <x:v>8</x:v>
      </x:c>
      <x:c r="M338" s="73" t="n">
        <x:v>21</x:v>
      </x:c>
      <x:c r="N338" s="73" t="s">
        <x:v>3260</x:v>
      </x:c>
    </x:row>
    <x:row r="339" ht="15" hidden="0">
      <x:c r="A339" s="73" t="s">
        <x:v>1428</x:v>
      </x:c>
      <x:c r="B339" s="73" t="s">
        <x:v>3207</x:v>
      </x:c>
      <x:c r="C339" s="73" t="s">
        <x:v>1430</x:v>
      </x:c>
      <x:c r="D339" s="73" t="s">
        <x:v>4316</x:v>
      </x:c>
      <x:c r="E339" s="73" t="s">
        <x:v>3394</x:v>
      </x:c>
      <x:c r="F339" s="73" t="s">
        <x:v>4317</x:v>
      </x:c>
      <x:c r="G339" s="73" t="n">
        <x:v>25</x:v>
      </x:c>
      <x:c r="H339" s="73" t="n">
        <x:v>50</x:v>
      </x:c>
      <x:c r="I339" s="73" t="s">
        <x:v>72</x:v>
      </x:c>
      <x:c r="J339" s="73" t="n">
        <x:v>2021</x:v>
      </x:c>
      <x:c r="K339" s="73" t="n">
        <x:v>5</x:v>
      </x:c>
      <x:c r="L339" s="73" t="n">
        <x:v>20</x:v>
      </x:c>
      <x:c r="M339" s="73" t="n">
        <x:v>17</x:v>
      </x:c>
      <x:c r="N339" s="73" t="s">
        <x:v>3189</x:v>
      </x:c>
    </x:row>
    <x:row r="340" ht="15" hidden="0">
      <x:c r="A340" s="73" t="s">
        <x:v>4318</x:v>
      </x:c>
      <x:c r="B340" s="73" t="s">
        <x:v>3262</x:v>
      </x:c>
      <x:c r="C340" s="73" t="s">
        <x:v>1434</x:v>
      </x:c>
      <x:c r="D340" s="73" t="s">
        <x:v>3604</x:v>
      </x:c>
      <x:c r="E340" s="73" t="s">
        <x:v>3390</x:v>
      </x:c>
      <x:c r="F340" s="73" t="s">
        <x:v>4319</x:v>
      </x:c>
      <x:c r="G340" s="73" t="n">
        <x:v>30</x:v>
      </x:c>
      <x:c r="H340" s="73" t="n">
        <x:v>60</x:v>
      </x:c>
      <x:c r="I340" s="73" t="s">
        <x:v>4320</x:v>
      </x:c>
      <x:c r="J340" s="73" t="n">
        <x:v>2023</x:v>
      </x:c>
      <x:c r="K340" s="73" t="n">
        <x:v>1</x:v>
      </x:c>
      <x:c r="L340" s="73" t="n">
        <x:v>10</x:v>
      </x:c>
      <x:c r="M340" s="73" t="n">
        <x:v>12</x:v>
      </x:c>
      <x:c r="N340" s="73" t="s">
        <x:v>3260</x:v>
      </x:c>
    </x:row>
    <x:row r="341" ht="15" hidden="0">
      <x:c r="A341" s="73" t="s">
        <x:v>4321</x:v>
      </x:c>
      <x:c r="B341" s="73" t="s">
        <x:v>3264</x:v>
      </x:c>
      <x:c r="C341" s="73" t="s">
        <x:v>1439</x:v>
      </x:c>
      <x:c r="D341" s="73" t="s">
        <x:v>4322</x:v>
      </x:c>
      <x:c r="E341" s="73" t="s">
        <x:v>3382</x:v>
      </x:c>
      <x:c r="F341" s="73" t="s">
        <x:v>4323</x:v>
      </x:c>
      <x:c r="G341" s="73" t="n">
        <x:v>35</x:v>
      </x:c>
      <x:c r="H341" s="73" t="n">
        <x:v>70</x:v>
      </x:c>
      <x:c r="I341" s="73" t="s">
        <x:v>4324</x:v>
      </x:c>
      <x:c r="J341" s="73" t="n">
        <x:v>2018</x:v>
      </x:c>
      <x:c r="K341" s="73" t="n">
        <x:v>12</x:v>
      </x:c>
      <x:c r="L341" s="73" t="n">
        <x:v>5</x:v>
      </x:c>
      <x:c r="M341" s="73" t="n">
        <x:v>8</x:v>
      </x:c>
      <x:c r="N341" s="73" t="s">
        <x:v>3260</x:v>
      </x:c>
    </x:row>
    <x:row r="342" ht="15" hidden="0">
      <x:c r="A342" s="73" t="s">
        <x:v>4325</x:v>
      </x:c>
      <x:c r="B342" s="73" t="s">
        <x:v>3231</x:v>
      </x:c>
      <x:c r="C342" s="73" t="s">
        <x:v>1445</x:v>
      </x:c>
      <x:c r="D342" s="73" t="s">
        <x:v>4326</x:v>
      </x:c>
      <x:c r="E342" s="73" t="s">
        <x:v>3390</x:v>
      </x:c>
      <x:c r="F342" s="73" t="s">
        <x:v>4327</x:v>
      </x:c>
      <x:c r="G342" s="73" t="n">
        <x:v>20</x:v>
      </x:c>
      <x:c r="H342" s="73" t="n">
        <x:v>40</x:v>
      </x:c>
      <x:c r="I342" s="73" t="s">
        <x:v>4328</x:v>
      </x:c>
      <x:c r="J342" s="73" t="n">
        <x:v>2020</x:v>
      </x:c>
      <x:c r="K342" s="73" t="n">
        <x:v>3</x:v>
      </x:c>
      <x:c r="L342" s="73" t="n">
        <x:v>15</x:v>
      </x:c>
      <x:c r="M342" s="73" t="n">
        <x:v>18</x:v>
      </x:c>
      <x:c r="N342" s="73" t="s">
        <x:v>3189</x:v>
      </x:c>
    </x:row>
    <x:row r="343" ht="15" hidden="0">
      <x:c r="A343" s="73" t="s">
        <x:v>4329</x:v>
      </x:c>
      <x:c r="B343" s="73" t="s">
        <x:v>3265</x:v>
      </x:c>
      <x:c r="C343" s="73" t="s">
        <x:v>1451</x:v>
      </x:c>
      <x:c r="D343" s="73" t="s">
        <x:v>4330</x:v>
      </x:c>
      <x:c r="E343" s="73" t="s">
        <x:v>3394</x:v>
      </x:c>
      <x:c r="F343" s="73" t="s">
        <x:v>4331</x:v>
      </x:c>
      <x:c r="G343" s="73" t="n">
        <x:v>18</x:v>
      </x:c>
      <x:c r="H343" s="73" t="n">
        <x:v>35</x:v>
      </x:c>
      <x:c r="I343" s="73" t="s">
        <x:v>4332</x:v>
      </x:c>
      <x:c r="J343" s="73" t="n">
        <x:v>2016</x:v>
      </x:c>
      <x:c r="K343" s="73" t="n">
        <x:v>8</x:v>
      </x:c>
      <x:c r="L343" s="73" t="n">
        <x:v>22</x:v>
      </x:c>
      <x:c r="M343" s="73" t="n">
        <x:v>15</x:v>
      </x:c>
      <x:c r="N343" s="73" t="s">
        <x:v>3260</x:v>
      </x:c>
    </x:row>
    <x:row r="344" ht="15" hidden="0">
      <x:c r="A344" s="73" t="s">
        <x:v>4333</x:v>
      </x:c>
      <x:c r="B344" s="73" t="s">
        <x:v>3282</x:v>
      </x:c>
      <x:c r="C344" s="73" t="s">
        <x:v>1457</x:v>
      </x:c>
      <x:c r="D344" s="73" t="s">
        <x:v>4334</x:v>
      </x:c>
      <x:c r="E344" s="73" t="s">
        <x:v>3390</x:v>
      </x:c>
      <x:c r="F344" s="73" t="s">
        <x:v>4335</x:v>
      </x:c>
      <x:c r="G344" s="73" t="n">
        <x:v>25</x:v>
      </x:c>
      <x:c r="H344" s="73" t="n">
        <x:v>50</x:v>
      </x:c>
      <x:c r="I344" s="73" t="s">
        <x:v>72</x:v>
      </x:c>
      <x:c r="J344" s="73" t="n">
        <x:v>2019</x:v>
      </x:c>
      <x:c r="K344" s="73" t="n">
        <x:v>8</x:v>
      </x:c>
      <x:c r="L344" s="73" t="n">
        <x:v>20</x:v>
      </x:c>
      <x:c r="M344" s="73" t="n">
        <x:v>16</x:v>
      </x:c>
      <x:c r="N344" s="73" t="s">
        <x:v>3260</x:v>
      </x:c>
    </x:row>
    <x:row r="345" ht="15" hidden="0">
      <x:c r="A345" s="73" t="s">
        <x:v>4336</x:v>
      </x:c>
      <x:c r="B345" s="73" t="s">
        <x:v>3363</x:v>
      </x:c>
      <x:c r="C345" s="73" t="s">
        <x:v>1462</x:v>
      </x:c>
      <x:c r="D345" s="73" t="s">
        <x:v>4337</x:v>
      </x:c>
      <x:c r="E345" s="73" t="s">
        <x:v>3382</x:v>
      </x:c>
      <x:c r="F345" s="73" t="s">
        <x:v>4338</x:v>
      </x:c>
      <x:c r="G345" s="73" t="n">
        <x:v>18</x:v>
      </x:c>
      <x:c r="H345" s="73" t="n">
        <x:v>35</x:v>
      </x:c>
      <x:c r="I345" s="73" t="s">
        <x:v>3387</x:v>
      </x:c>
      <x:c r="J345" s="73" t="n">
        <x:v>2021</x:v>
      </x:c>
      <x:c r="K345" s="73" t="n">
        <x:v>12</x:v>
      </x:c>
      <x:c r="L345" s="73" t="n">
        <x:v>8</x:v>
      </x:c>
      <x:c r="M345" s="73" t="n">
        <x:v>19</x:v>
      </x:c>
      <x:c r="N345" s="73" t="s">
        <x:v>3260</x:v>
      </x:c>
    </x:row>
    <x:row r="346" ht="15" hidden="0">
      <x:c r="A346" s="73" t="s">
        <x:v>1465</x:v>
      </x:c>
      <x:c r="B346" s="73" t="s">
        <x:v>3276</x:v>
      </x:c>
      <x:c r="C346" s="73" t="s">
        <x:v>1467</x:v>
      </x:c>
      <x:c r="D346" s="73" t="s">
        <x:v>3481</x:v>
      </x:c>
      <x:c r="E346" s="73" t="s">
        <x:v>3390</x:v>
      </x:c>
      <x:c r="F346" s="73" t="s">
        <x:v>4339</x:v>
      </x:c>
      <x:c r="G346" s="73" t="n">
        <x:v>30</x:v>
      </x:c>
      <x:c r="H346" s="73" t="n">
        <x:v>60</x:v>
      </x:c>
      <x:c r="I346" s="73" t="s">
        <x:v>3396</x:v>
      </x:c>
      <x:c r="J346" s="73" t="n">
        <x:v>2020</x:v>
      </x:c>
      <x:c r="K346" s="73" t="n">
        <x:v>6</x:v>
      </x:c>
      <x:c r="L346" s="73" t="n">
        <x:v>10</x:v>
      </x:c>
      <x:c r="M346" s="73" t="n">
        <x:v>20</x:v>
      </x:c>
      <x:c r="N346" s="73" t="s">
        <x:v>3260</x:v>
      </x:c>
    </x:row>
    <x:row r="347" ht="15" hidden="0">
      <x:c r="A347" s="73" t="s">
        <x:v>4340</x:v>
      </x:c>
      <x:c r="B347" s="73" t="s">
        <x:v>3359</x:v>
      </x:c>
      <x:c r="C347" s="73" t="s">
        <x:v>1472</x:v>
      </x:c>
      <x:c r="D347" s="73" t="s">
        <x:v>4341</x:v>
      </x:c>
      <x:c r="E347" s="73" t="s">
        <x:v>3394</x:v>
      </x:c>
      <x:c r="F347" s="73" t="s">
        <x:v>4342</x:v>
      </x:c>
      <x:c r="G347" s="73" t="n">
        <x:v>40</x:v>
      </x:c>
      <x:c r="H347" s="73" t="n">
        <x:v>80</x:v>
      </x:c>
      <x:c r="I347" s="73" t="s">
        <x:v>3400</x:v>
      </x:c>
      <x:c r="J347" s="73" t="n">
        <x:v>2022</x:v>
      </x:c>
      <x:c r="K347" s="73" t="n">
        <x:v>2</x:v>
      </x:c>
      <x:c r="L347" s="73" t="n">
        <x:v>28</x:v>
      </x:c>
      <x:c r="M347" s="73" t="n">
        <x:v>7</x:v>
      </x:c>
      <x:c r="N347" s="73" t="s">
        <x:v>3260</x:v>
      </x:c>
    </x:row>
    <x:row r="348" ht="15" hidden="0">
      <x:c r="A348" s="73" t="s">
        <x:v>4343</x:v>
      </x:c>
      <x:c r="B348" s="73" t="s">
        <x:v>3264</x:v>
      </x:c>
      <x:c r="C348" s="73" t="s">
        <x:v>1476</x:v>
      </x:c>
      <x:c r="D348" s="73" t="s">
        <x:v>4344</x:v>
      </x:c>
      <x:c r="E348" s="73" t="s">
        <x:v>3382</x:v>
      </x:c>
      <x:c r="F348" s="73" t="s">
        <x:v>4345</x:v>
      </x:c>
      <x:c r="G348" s="73" t="n">
        <x:v>22</x:v>
      </x:c>
      <x:c r="H348" s="73" t="n">
        <x:v>45</x:v>
      </x:c>
      <x:c r="I348" s="73" t="s">
        <x:v>3404</x:v>
      </x:c>
      <x:c r="J348" s="73" t="n">
        <x:v>2017</x:v>
      </x:c>
      <x:c r="K348" s="73" t="n">
        <x:v>4</x:v>
      </x:c>
      <x:c r="L348" s="73" t="n">
        <x:v>15</x:v>
      </x:c>
      <x:c r="M348" s="73" t="n">
        <x:v>8</x:v>
      </x:c>
      <x:c r="N348" s="73" t="s">
        <x:v>3260</x:v>
      </x:c>
    </x:row>
    <x:row r="349" ht="15" hidden="0">
      <x:c r="A349" s="73" t="s">
        <x:v>4346</x:v>
      </x:c>
      <x:c r="B349" s="73" t="s">
        <x:v>3278</x:v>
      </x:c>
      <x:c r="C349" s="73" t="s">
        <x:v>1481</x:v>
      </x:c>
      <x:c r="D349" s="73" t="s">
        <x:v>4347</x:v>
      </x:c>
      <x:c r="E349" s="73" t="s">
        <x:v>3390</x:v>
      </x:c>
      <x:c r="F349" s="73" t="s">
        <x:v>4348</x:v>
      </x:c>
      <x:c r="G349" s="73" t="n">
        <x:v>35</x:v>
      </x:c>
      <x:c r="H349" s="73" t="n">
        <x:v>70</x:v>
      </x:c>
      <x:c r="I349" s="73" t="s">
        <x:v>72</x:v>
      </x:c>
      <x:c r="J349" s="73" t="n">
        <x:v>2018</x:v>
      </x:c>
      <x:c r="K349" s="73" t="n">
        <x:v>9</x:v>
      </x:c>
      <x:c r="L349" s="73" t="n">
        <x:v>5</x:v>
      </x:c>
      <x:c r="M349" s="73" t="n">
        <x:v>14</x:v>
      </x:c>
      <x:c r="N349" s="73" t="s">
        <x:v>3260</x:v>
      </x:c>
    </x:row>
    <x:row r="350" ht="15" hidden="0">
      <x:c r="A350" s="73" t="s">
        <x:v>4349</x:v>
      </x:c>
      <x:c r="B350" s="73" t="s">
        <x:v>3296</x:v>
      </x:c>
      <x:c r="C350" s="73" t="s">
        <x:v>1486</x:v>
      </x:c>
      <x:c r="D350" s="73" t="s">
        <x:v>4350</x:v>
      </x:c>
      <x:c r="E350" s="73" t="s">
        <x:v>3394</x:v>
      </x:c>
      <x:c r="F350" s="73" t="s">
        <x:v>4351</x:v>
      </x:c>
      <x:c r="G350" s="73" t="n">
        <x:v>15</x:v>
      </x:c>
      <x:c r="H350" s="73" t="n">
        <x:v>30</x:v>
      </x:c>
      <x:c r="I350" s="73" t="s">
        <x:v>3387</x:v>
      </x:c>
      <x:c r="J350" s="73" t="n">
        <x:v>2022</x:v>
      </x:c>
      <x:c r="K350" s="73" t="n">
        <x:v>10</x:v>
      </x:c>
      <x:c r="L350" s="73" t="n">
        <x:v>22</x:v>
      </x:c>
      <x:c r="M350" s="73" t="n">
        <x:v>12</x:v>
      </x:c>
      <x:c r="N350" s="73" t="s">
        <x:v>3260</x:v>
      </x:c>
    </x:row>
    <x:row r="351" ht="15" hidden="0">
      <x:c r="A351" s="73" t="s">
        <x:v>4352</x:v>
      </x:c>
      <x:c r="B351" s="73" t="s">
        <x:v>3250</x:v>
      </x:c>
      <x:c r="C351" s="73" t="s">
        <x:v>1491</x:v>
      </x:c>
      <x:c r="D351" s="73" t="s">
        <x:v>3648</x:v>
      </x:c>
      <x:c r="E351" s="73" t="s">
        <x:v>3382</x:v>
      </x:c>
      <x:c r="F351" s="73" t="s">
        <x:v>4353</x:v>
      </x:c>
      <x:c r="G351" s="73" t="n">
        <x:v>28</x:v>
      </x:c>
      <x:c r="H351" s="73" t="n">
        <x:v>55</x:v>
      </x:c>
      <x:c r="I351" s="73" t="s">
        <x:v>3396</x:v>
      </x:c>
      <x:c r="J351" s="73" t="n">
        <x:v>2016</x:v>
      </x:c>
      <x:c r="K351" s="73" t="n">
        <x:v>7</x:v>
      </x:c>
      <x:c r="L351" s="73" t="n">
        <x:v>2</x:v>
      </x:c>
      <x:c r="M351" s="73" t="n">
        <x:v>23</x:v>
      </x:c>
      <x:c r="N351" s="73" t="s">
        <x:v>3244</x:v>
      </x:c>
    </x:row>
    <x:row r="352" ht="15" hidden="0">
      <x:c r="A352" s="73" t="s">
        <x:v>4354</x:v>
      </x:c>
      <x:c r="B352" s="73" t="s">
        <x:v>3352</x:v>
      </x:c>
      <x:c r="C352" s="73" t="s">
        <x:v>1495</x:v>
      </x:c>
      <x:c r="D352" s="73" t="s">
        <x:v>4355</x:v>
      </x:c>
      <x:c r="E352" s="73" t="s">
        <x:v>3390</x:v>
      </x:c>
      <x:c r="F352" s="73" t="s">
        <x:v>4356</x:v>
      </x:c>
      <x:c r="G352" s="73" t="n">
        <x:v>20</x:v>
      </x:c>
      <x:c r="H352" s="73" t="n">
        <x:v>40</x:v>
      </x:c>
      <x:c r="I352" s="73" t="s">
        <x:v>3404</x:v>
      </x:c>
      <x:c r="J352" s="73" t="n">
        <x:v>2020</x:v>
      </x:c>
      <x:c r="K352" s="73" t="n">
        <x:v>11</x:v>
      </x:c>
      <x:c r="L352" s="73" t="n">
        <x:v>18</x:v>
      </x:c>
      <x:c r="M352" s="73" t="n">
        <x:v>17</x:v>
      </x:c>
      <x:c r="N352" s="73" t="s">
        <x:v>3260</x:v>
      </x:c>
    </x:row>
    <x:row r="353" ht="15" hidden="0">
      <x:c r="A353" s="73" t="s">
        <x:v>4357</x:v>
      </x:c>
      <x:c r="B353" s="73" t="s">
        <x:v>3262</x:v>
      </x:c>
      <x:c r="C353" s="73" t="s">
        <x:v>1500</x:v>
      </x:c>
      <x:c r="D353" s="73" t="s">
        <x:v>4358</x:v>
      </x:c>
      <x:c r="E353" s="73" t="s">
        <x:v>3394</x:v>
      </x:c>
      <x:c r="F353" s="73" t="s">
        <x:v>4359</x:v>
      </x:c>
      <x:c r="G353" s="73" t="n">
        <x:v>30</x:v>
      </x:c>
      <x:c r="H353" s="73" t="n">
        <x:v>60</x:v>
      </x:c>
      <x:c r="I353" s="73" t="s">
        <x:v>3400</x:v>
      </x:c>
      <x:c r="J353" s="73" t="n">
        <x:v>2023</x:v>
      </x:c>
      <x:c r="K353" s="73" t="n">
        <x:v>3</x:v>
      </x:c>
      <x:c r="L353" s="73" t="n">
        <x:v>5</x:v>
      </x:c>
      <x:c r="M353" s="73" t="n">
        <x:v>15</x:v>
      </x:c>
      <x:c r="N353" s="73" t="s">
        <x:v>3260</x:v>
      </x:c>
    </x:row>
    <x:row r="354" ht="15" hidden="0">
      <x:c r="A354" s="73" t="s">
        <x:v>4360</x:v>
      </x:c>
      <x:c r="B354" s="73" t="s">
        <x:v>3305</x:v>
      </x:c>
      <x:c r="C354" s="73" t="s">
        <x:v>1505</x:v>
      </x:c>
      <x:c r="D354" s="73" t="s">
        <x:v>3861</x:v>
      </x:c>
      <x:c r="E354" s="73" t="s">
        <x:v>3382</x:v>
      </x:c>
      <x:c r="F354" s="73" t="s">
        <x:v>4361</x:v>
      </x:c>
      <x:c r="G354" s="73" t="n">
        <x:v>25</x:v>
      </x:c>
      <x:c r="H354" s="73" t="n">
        <x:v>50</x:v>
      </x:c>
      <x:c r="I354" s="73" t="s">
        <x:v>72</x:v>
      </x:c>
      <x:c r="J354" s="73" t="n">
        <x:v>2015</x:v>
      </x:c>
      <x:c r="K354" s="73" t="n">
        <x:v>12</x:v>
      </x:c>
      <x:c r="L354" s="73" t="n">
        <x:v>1</x:v>
      </x:c>
      <x:c r="M354" s="73" t="n">
        <x:v>11</x:v>
      </x:c>
      <x:c r="N354" s="73" t="s">
        <x:v>3260</x:v>
      </x:c>
    </x:row>
    <x:row r="355" ht="15" hidden="0">
      <x:c r="A355" s="73" t="s">
        <x:v>4362</x:v>
      </x:c>
      <x:c r="B355" s="73" t="s">
        <x:v>3325</x:v>
      </x:c>
      <x:c r="C355" s="73" t="s">
        <x:v>1509</x:v>
      </x:c>
      <x:c r="D355" s="73" t="s">
        <x:v>4363</x:v>
      </x:c>
      <x:c r="E355" s="73" t="s">
        <x:v>3390</x:v>
      </x:c>
      <x:c r="F355" s="73" t="s">
        <x:v>4364</x:v>
      </x:c>
      <x:c r="G355" s="73" t="n">
        <x:v>18</x:v>
      </x:c>
      <x:c r="H355" s="73" t="n">
        <x:v>35</x:v>
      </x:c>
      <x:c r="I355" s="73" t="s">
        <x:v>3396</x:v>
      </x:c>
      <x:c r="J355" s="73" t="n">
        <x:v>2021</x:v>
      </x:c>
      <x:c r="K355" s="73" t="n">
        <x:v>9</x:v>
      </x:c>
      <x:c r="L355" s="73" t="n">
        <x:v>10</x:v>
      </x:c>
      <x:c r="M355" s="73" t="n">
        <x:v>9</x:v>
      </x:c>
      <x:c r="N355" s="73" t="s">
        <x:v>3260</x:v>
      </x:c>
    </x:row>
    <x:row r="356" ht="15" hidden="0">
      <x:c r="A356" s="73" t="s">
        <x:v>4365</x:v>
      </x:c>
      <x:c r="B356" s="73" t="s">
        <x:v>3266</x:v>
      </x:c>
      <x:c r="C356" s="73" t="s">
        <x:v>1513</x:v>
      </x:c>
      <x:c r="D356" s="73" t="s">
        <x:v>4366</x:v>
      </x:c>
      <x:c r="E356" s="73" t="s">
        <x:v>3394</x:v>
      </x:c>
      <x:c r="F356" s="73" t="s">
        <x:v>4367</x:v>
      </x:c>
      <x:c r="G356" s="73" t="n">
        <x:v>22</x:v>
      </x:c>
      <x:c r="H356" s="73" t="n">
        <x:v>45</x:v>
      </x:c>
      <x:c r="I356" s="73" t="s">
        <x:v>3387</x:v>
      </x:c>
      <x:c r="J356" s="73" t="n">
        <x:v>2018</x:v>
      </x:c>
      <x:c r="K356" s="73" t="n">
        <x:v>5</x:v>
      </x:c>
      <x:c r="L356" s="73" t="n">
        <x:v>12</x:v>
      </x:c>
      <x:c r="M356" s="73" t="n">
        <x:v>14</x:v>
      </x:c>
      <x:c r="N356" s="73" t="s">
        <x:v>3260</x:v>
      </x:c>
    </x:row>
    <x:row r="357" ht="15" hidden="0">
      <x:c r="A357" s="73" t="s">
        <x:v>4368</x:v>
      </x:c>
      <x:c r="B357" s="73" t="s">
        <x:v>3297</x:v>
      </x:c>
      <x:c r="C357" s="73" t="s">
        <x:v>1518</x:v>
      </x:c>
      <x:c r="D357" s="73" t="s">
        <x:v>4369</x:v>
      </x:c>
      <x:c r="E357" s="73" t="s">
        <x:v>3382</x:v>
      </x:c>
      <x:c r="F357" s="73" t="s">
        <x:v>4370</x:v>
      </x:c>
      <x:c r="G357" s="73" t="n">
        <x:v>40</x:v>
      </x:c>
      <x:c r="H357" s="73" t="n">
        <x:v>80</x:v>
      </x:c>
      <x:c r="I357" s="73" t="s">
        <x:v>3404</x:v>
      </x:c>
      <x:c r="J357" s="73" t="n">
        <x:v>2022</x:v>
      </x:c>
      <x:c r="K357" s="73" t="n">
        <x:v>7</x:v>
      </x:c>
      <x:c r="L357" s="73" t="n">
        <x:v>25</x:v>
      </x:c>
      <x:c r="M357" s="73" t="n">
        <x:v>10</x:v>
      </x:c>
      <x:c r="N357" s="73" t="s">
        <x:v>3260</x:v>
      </x:c>
    </x:row>
    <x:row r="358" ht="15" hidden="0">
      <x:c r="A358" s="73" t="s">
        <x:v>4371</x:v>
      </x:c>
      <x:c r="B358" s="73" t="s">
        <x:v>3249</x:v>
      </x:c>
      <x:c r="C358" s="73" t="s">
        <x:v>1523</x:v>
      </x:c>
      <x:c r="D358" s="73" t="s">
        <x:v>3769</x:v>
      </x:c>
      <x:c r="E358" s="73" t="s">
        <x:v>3390</x:v>
      </x:c>
      <x:c r="F358" s="73" t="s">
        <x:v>4372</x:v>
      </x:c>
      <x:c r="G358" s="73" t="n">
        <x:v>35</x:v>
      </x:c>
      <x:c r="H358" s="73" t="n">
        <x:v>70</x:v>
      </x:c>
      <x:c r="I358" s="73" t="s">
        <x:v>72</x:v>
      </x:c>
      <x:c r="J358" s="73" t="n">
        <x:v>2019</x:v>
      </x:c>
      <x:c r="K358" s="73" t="n">
        <x:v>3</x:v>
      </x:c>
      <x:c r="L358" s="73" t="n">
        <x:v>8</x:v>
      </x:c>
      <x:c r="M358" s="73" t="n">
        <x:v>18</x:v>
      </x:c>
      <x:c r="N358" s="73" t="s">
        <x:v>3244</x:v>
      </x:c>
    </x:row>
    <x:row r="359" ht="15" hidden="0">
      <x:c r="A359" s="73" t="s">
        <x:v>4373</x:v>
      </x:c>
      <x:c r="B359" s="73" t="s">
        <x:v>3245</x:v>
      </x:c>
      <x:c r="C359" s="73" t="s">
        <x:v>1527</x:v>
      </x:c>
      <x:c r="D359" s="73" t="s">
        <x:v>4374</x:v>
      </x:c>
      <x:c r="E359" s="73" t="s">
        <x:v>3394</x:v>
      </x:c>
      <x:c r="F359" s="73" t="s">
        <x:v>4375</x:v>
      </x:c>
      <x:c r="G359" s="73" t="n">
        <x:v>20</x:v>
      </x:c>
      <x:c r="H359" s="73" t="n">
        <x:v>40</x:v>
      </x:c>
      <x:c r="I359" s="73" t="s">
        <x:v>3400</x:v>
      </x:c>
      <x:c r="J359" s="73" t="n">
        <x:v>2017</x:v>
      </x:c>
      <x:c r="K359" s="73" t="n">
        <x:v>1</x:v>
      </x:c>
      <x:c r="L359" s="73" t="n">
        <x:v>28</x:v>
      </x:c>
      <x:c r="M359" s="73" t="n">
        <x:v>21</x:v>
      </x:c>
      <x:c r="N359" s="73" t="s">
        <x:v>3244</x:v>
      </x:c>
    </x:row>
    <x:row r="360" ht="15" hidden="0">
      <x:c r="A360" s="73" t="s">
        <x:v>4376</x:v>
      </x:c>
      <x:c r="B360" s="73" t="s">
        <x:v>3323</x:v>
      </x:c>
      <x:c r="C360" s="73" t="s">
        <x:v>1532</x:v>
      </x:c>
      <x:c r="D360" s="73" t="s">
        <x:v>4377</x:v>
      </x:c>
      <x:c r="E360" s="73" t="s">
        <x:v>3382</x:v>
      </x:c>
      <x:c r="F360" s="73" t="s">
        <x:v>4378</x:v>
      </x:c>
      <x:c r="G360" s="73" t="n">
        <x:v>28</x:v>
      </x:c>
      <x:c r="H360" s="73" t="n">
        <x:v>55</x:v>
      </x:c>
      <x:c r="I360" s="73" t="s">
        <x:v>3396</x:v>
      </x:c>
      <x:c r="J360" s="73" t="n">
        <x:v>2016</x:v>
      </x:c>
      <x:c r="K360" s="73" t="n">
        <x:v>11</x:v>
      </x:c>
      <x:c r="L360" s="73" t="n">
        <x:v>14</x:v>
      </x:c>
      <x:c r="M360" s="73" t="n">
        <x:v>13</x:v>
      </x:c>
      <x:c r="N360" s="73" t="s">
        <x:v>3260</x:v>
      </x:c>
    </x:row>
    <x:row r="361" ht="15" hidden="0">
      <x:c r="A361" s="73" t="s">
        <x:v>4379</x:v>
      </x:c>
      <x:c r="B361" s="73" t="s">
        <x:v>3332</x:v>
      </x:c>
      <x:c r="C361" s="73" t="s">
        <x:v>1537</x:v>
      </x:c>
      <x:c r="D361" s="73" t="s">
        <x:v>4380</x:v>
      </x:c>
      <x:c r="E361" s="73" t="s">
        <x:v>3390</x:v>
      </x:c>
      <x:c r="F361" s="73" t="s">
        <x:v>4381</x:v>
      </x:c>
      <x:c r="G361" s="73" t="n">
        <x:v>15</x:v>
      </x:c>
      <x:c r="H361" s="73" t="n">
        <x:v>30</x:v>
      </x:c>
      <x:c r="I361" s="73" t="s">
        <x:v>72</x:v>
      </x:c>
      <x:c r="J361" s="73" t="n">
        <x:v>2020</x:v>
      </x:c>
      <x:c r="K361" s="73" t="n">
        <x:v>4</x:v>
      </x:c>
      <x:c r="L361" s="73" t="n">
        <x:v>2</x:v>
      </x:c>
      <x:c r="M361" s="73" t="n">
        <x:v>17</x:v>
      </x:c>
      <x:c r="N361" s="73" t="s">
        <x:v>3260</x:v>
      </x:c>
    </x:row>
    <x:row r="362" ht="15" hidden="0">
      <x:c r="A362" s="73" t="s">
        <x:v>4382</x:v>
      </x:c>
      <x:c r="B362" s="73" t="s">
        <x:v>3263</x:v>
      </x:c>
      <x:c r="C362" s="73" t="s">
        <x:v>1541</x:v>
      </x:c>
      <x:c r="D362" s="73" t="s">
        <x:v>4383</x:v>
      </x:c>
      <x:c r="E362" s="73" t="s">
        <x:v>3394</x:v>
      </x:c>
      <x:c r="F362" s="73" t="s">
        <x:v>4384</x:v>
      </x:c>
      <x:c r="G362" s="73" t="n">
        <x:v>25</x:v>
      </x:c>
      <x:c r="H362" s="73" t="n">
        <x:v>50</x:v>
      </x:c>
      <x:c r="I362" s="73" t="s">
        <x:v>3387</x:v>
      </x:c>
      <x:c r="J362" s="73" t="n">
        <x:v>2023</x:v>
      </x:c>
      <x:c r="K362" s="73" t="n">
        <x:v>1</x:v>
      </x:c>
      <x:c r="L362" s="73" t="n">
        <x:v>15</x:v>
      </x:c>
      <x:c r="M362" s="73" t="n">
        <x:v>19</x:v>
      </x:c>
      <x:c r="N362" s="73" t="s">
        <x:v>3260</x:v>
      </x:c>
    </x:row>
    <x:row r="363" ht="15" hidden="0">
      <x:c r="A363" s="73" t="s">
        <x:v>4385</x:v>
      </x:c>
      <x:c r="B363" s="73" t="s">
        <x:v>3273</x:v>
      </x:c>
      <x:c r="C363" s="73" t="s">
        <x:v>1545</x:v>
      </x:c>
      <x:c r="D363" s="73" t="s">
        <x:v>4386</x:v>
      </x:c>
      <x:c r="E363" s="73" t="s">
        <x:v>3382</x:v>
      </x:c>
      <x:c r="F363" s="73" t="s">
        <x:v>4387</x:v>
      </x:c>
      <x:c r="G363" s="73" t="n">
        <x:v>30</x:v>
      </x:c>
      <x:c r="H363" s="73" t="n">
        <x:v>60</x:v>
      </x:c>
      <x:c r="I363" s="73" t="s">
        <x:v>3404</x:v>
      </x:c>
      <x:c r="J363" s="73" t="n">
        <x:v>2018</x:v>
      </x:c>
      <x:c r="K363" s="73" t="n">
        <x:v>8</x:v>
      </x:c>
      <x:c r="L363" s="73" t="n">
        <x:v>7</x:v>
      </x:c>
      <x:c r="M363" s="73" t="n">
        <x:v>12</x:v>
      </x:c>
      <x:c r="N363" s="73" t="s">
        <x:v>3260</x:v>
      </x:c>
    </x:row>
    <x:row r="364" ht="15" hidden="0">
      <x:c r="A364" s="73" t="s">
        <x:v>4388</x:v>
      </x:c>
      <x:c r="B364" s="73" t="s">
        <x:v>3248</x:v>
      </x:c>
      <x:c r="C364" s="73" t="s">
        <x:v>1550</x:v>
      </x:c>
      <x:c r="D364" s="73" t="s">
        <x:v>4389</x:v>
      </x:c>
      <x:c r="E364" s="73" t="s">
        <x:v>3390</x:v>
      </x:c>
      <x:c r="F364" s="73" t="s">
        <x:v>4390</x:v>
      </x:c>
      <x:c r="G364" s="73" t="n">
        <x:v>18</x:v>
      </x:c>
      <x:c r="H364" s="73" t="n">
        <x:v>35</x:v>
      </x:c>
      <x:c r="I364" s="73" t="s">
        <x:v>3396</x:v>
      </x:c>
      <x:c r="J364" s="73" t="n">
        <x:v>2019</x:v>
      </x:c>
      <x:c r="K364" s="73" t="n">
        <x:v>10</x:v>
      </x:c>
      <x:c r="L364" s="73" t="n">
        <x:v>18</x:v>
      </x:c>
      <x:c r="M364" s="73" t="n">
        <x:v>16</x:v>
      </x:c>
      <x:c r="N364" s="73" t="s">
        <x:v>3244</x:v>
      </x:c>
    </x:row>
    <x:row r="365" ht="15" hidden="0">
      <x:c r="A365" s="73" t="s">
        <x:v>1553</x:v>
      </x:c>
      <x:c r="B365" s="73" t="s">
        <x:v>3294</x:v>
      </x:c>
      <x:c r="C365" s="73" t="s">
        <x:v>1555</x:v>
      </x:c>
      <x:c r="D365" s="73" t="s">
        <x:v>3783</x:v>
      </x:c>
      <x:c r="E365" s="73" t="s">
        <x:v>3394</x:v>
      </x:c>
      <x:c r="F365" s="73" t="s">
        <x:v>4391</x:v>
      </x:c>
      <x:c r="G365" s="73" t="n">
        <x:v>22</x:v>
      </x:c>
      <x:c r="H365" s="73" t="n">
        <x:v>45</x:v>
      </x:c>
      <x:c r="I365" s="73" t="s">
        <x:v>3400</x:v>
      </x:c>
      <x:c r="J365" s="73" t="n">
        <x:v>2022</x:v>
      </x:c>
      <x:c r="K365" s="73" t="n">
        <x:v>6</x:v>
      </x:c>
      <x:c r="L365" s="73" t="n">
        <x:v>30</x:v>
      </x:c>
      <x:c r="M365" s="73" t="n">
        <x:v>7</x:v>
      </x:c>
      <x:c r="N365" s="73" t="s">
        <x:v>3260</x:v>
      </x:c>
    </x:row>
    <x:row r="366" ht="15" hidden="0">
      <x:c r="A366" s="73" t="s">
        <x:v>4392</x:v>
      </x:c>
      <x:c r="B366" s="73" t="s">
        <x:v>3378</x:v>
      </x:c>
      <x:c r="C366" s="73" t="s">
        <x:v>1559</x:v>
      </x:c>
      <x:c r="D366" s="73" t="s">
        <x:v>4393</x:v>
      </x:c>
      <x:c r="E366" s="73" t="s">
        <x:v>3382</x:v>
      </x:c>
      <x:c r="F366" s="73" t="s">
        <x:v>4394</x:v>
      </x:c>
      <x:c r="G366" s="73" t="n">
        <x:v>35</x:v>
      </x:c>
      <x:c r="H366" s="73" t="n">
        <x:v>70</x:v>
      </x:c>
      <x:c r="I366" s="73" t="s">
        <x:v>72</x:v>
      </x:c>
      <x:c r="J366" s="73" t="n">
        <x:v>2017</x:v>
      </x:c>
      <x:c r="K366" s="73" t="n">
        <x:v>6</x:v>
      </x:c>
      <x:c r="L366" s="73" t="n">
        <x:v>12</x:v>
      </x:c>
      <x:c r="M366" s="73" t="n">
        <x:v>18</x:v>
      </x:c>
      <x:c r="N366" s="73" t="s">
        <x:v>3260</x:v>
      </x:c>
    </x:row>
    <x:row r="367" ht="15" hidden="0">
      <x:c r="A367" s="73" t="s">
        <x:v>4395</x:v>
      </x:c>
      <x:c r="B367" s="73" t="s">
        <x:v>3362</x:v>
      </x:c>
      <x:c r="C367" s="73" t="s">
        <x:v>1564</x:v>
      </x:c>
      <x:c r="D367" s="73" t="s">
        <x:v>4396</x:v>
      </x:c>
      <x:c r="E367" s="73" t="s">
        <x:v>3390</x:v>
      </x:c>
      <x:c r="F367" s="73" t="s">
        <x:v>4397</x:v>
      </x:c>
      <x:c r="G367" s="73" t="n">
        <x:v>20</x:v>
      </x:c>
      <x:c r="H367" s="73" t="n">
        <x:v>40</x:v>
      </x:c>
      <x:c r="I367" s="73" t="s">
        <x:v>3387</x:v>
      </x:c>
      <x:c r="J367" s="73" t="n">
        <x:v>2021</x:v>
      </x:c>
      <x:c r="K367" s="73" t="n">
        <x:v>7</x:v>
      </x:c>
      <x:c r="L367" s="73" t="n">
        <x:v>5</x:v>
      </x:c>
      <x:c r="M367" s="73" t="n">
        <x:v>9</x:v>
      </x:c>
      <x:c r="N367" s="73" t="s">
        <x:v>3260</x:v>
      </x:c>
    </x:row>
    <x:row r="368" ht="15" hidden="0">
      <x:c r="A368" s="73" t="s">
        <x:v>4398</x:v>
      </x:c>
      <x:c r="B368" s="73" t="s">
        <x:v>3275</x:v>
      </x:c>
      <x:c r="C368" s="73" t="s">
        <x:v>1569</x:v>
      </x:c>
      <x:c r="D368" s="73" t="s">
        <x:v>4399</x:v>
      </x:c>
      <x:c r="E368" s="73" t="s">
        <x:v>3394</x:v>
      </x:c>
      <x:c r="F368" s="73" t="s">
        <x:v>4400</x:v>
      </x:c>
      <x:c r="G368" s="73" t="n">
        <x:v>28</x:v>
      </x:c>
      <x:c r="H368" s="73" t="n">
        <x:v>55</x:v>
      </x:c>
      <x:c r="I368" s="73" t="s">
        <x:v>3396</x:v>
      </x:c>
      <x:c r="J368" s="73" t="n">
        <x:v>2016</x:v>
      </x:c>
      <x:c r="K368" s="73" t="n">
        <x:v>4</x:v>
      </x:c>
      <x:c r="L368" s="73" t="n">
        <x:v>15</x:v>
      </x:c>
      <x:c r="M368" s="73" t="n">
        <x:v>14</x:v>
      </x:c>
      <x:c r="N368" s="73" t="s">
        <x:v>3260</x:v>
      </x:c>
    </x:row>
    <x:row r="369" ht="15" hidden="0">
      <x:c r="A369" s="73" t="s">
        <x:v>4401</x:v>
      </x:c>
      <x:c r="B369" s="73" t="s">
        <x:v>3279</x:v>
      </x:c>
      <x:c r="C369" s="73" t="s">
        <x:v>1574</x:v>
      </x:c>
      <x:c r="D369" s="73" t="s">
        <x:v>4402</x:v>
      </x:c>
      <x:c r="E369" s="73" t="s">
        <x:v>3382</x:v>
      </x:c>
      <x:c r="F369" s="73" t="s">
        <x:v>4403</x:v>
      </x:c>
      <x:c r="G369" s="73" t="n">
        <x:v>15</x:v>
      </x:c>
      <x:c r="H369" s="73" t="n">
        <x:v>30</x:v>
      </x:c>
      <x:c r="I369" s="73" t="s">
        <x:v>3404</x:v>
      </x:c>
      <x:c r="J369" s="73" t="n">
        <x:v>2020</x:v>
      </x:c>
      <x:c r="K369" s="73" t="n">
        <x:v>2</x:v>
      </x:c>
      <x:c r="L369" s="73" t="n">
        <x:v>10</x:v>
      </x:c>
      <x:c r="M369" s="73" t="n">
        <x:v>11</x:v>
      </x:c>
      <x:c r="N369" s="73" t="s">
        <x:v>3260</x:v>
      </x:c>
    </x:row>
    <x:row r="370" ht="15" hidden="0">
      <x:c r="A370" s="73" t="s">
        <x:v>4404</x:v>
      </x:c>
      <x:c r="B370" s="73" t="s">
        <x:v>3272</x:v>
      </x:c>
      <x:c r="C370" s="73" t="s">
        <x:v>1578</x:v>
      </x:c>
      <x:c r="D370" s="73" t="s">
        <x:v>3448</x:v>
      </x:c>
      <x:c r="E370" s="73" t="s">
        <x:v>3390</x:v>
      </x:c>
      <x:c r="F370" s="73" t="s">
        <x:v>4405</x:v>
      </x:c>
      <x:c r="G370" s="73" t="n">
        <x:v>40</x:v>
      </x:c>
      <x:c r="H370" s="73" t="n">
        <x:v>80</x:v>
      </x:c>
      <x:c r="I370" s="73" t="s">
        <x:v>72</x:v>
      </x:c>
      <x:c r="J370" s="73" t="n">
        <x:v>2018</x:v>
      </x:c>
      <x:c r="K370" s="73" t="n">
        <x:v>9</x:v>
      </x:c>
      <x:c r="L370" s="73" t="n">
        <x:v>22</x:v>
      </x:c>
      <x:c r="M370" s="73" t="n">
        <x:v>16</x:v>
      </x:c>
      <x:c r="N370" s="73" t="s">
        <x:v>3260</x:v>
      </x:c>
    </x:row>
    <x:row r="371" ht="15" hidden="0">
      <x:c r="A371" s="73" t="s">
        <x:v>1581</x:v>
      </x:c>
      <x:c r="B371" s="73" t="s">
        <x:v>3265</x:v>
      </x:c>
      <x:c r="C371" s="73" t="s">
        <x:v>1583</x:v>
      </x:c>
      <x:c r="D371" s="73" t="s">
        <x:v>4406</x:v>
      </x:c>
      <x:c r="E371" s="73" t="s">
        <x:v>3394</x:v>
      </x:c>
      <x:c r="F371" s="73" t="s">
        <x:v>4407</x:v>
      </x:c>
      <x:c r="G371" s="73" t="n">
        <x:v>18</x:v>
      </x:c>
      <x:c r="H371" s="73" t="n">
        <x:v>35</x:v>
      </x:c>
      <x:c r="I371" s="73" t="s">
        <x:v>3400</x:v>
      </x:c>
      <x:c r="J371" s="73" t="n">
        <x:v>2015</x:v>
      </x:c>
      <x:c r="K371" s="73" t="n">
        <x:v>11</x:v>
      </x:c>
      <x:c r="L371" s="73" t="n">
        <x:v>8</x:v>
      </x:c>
      <x:c r="M371" s="73" t="n">
        <x:v>10</x:v>
      </x:c>
      <x:c r="N371" s="73" t="s">
        <x:v>3260</x:v>
      </x:c>
    </x:row>
    <x:row r="372" ht="15" hidden="0">
      <x:c r="A372" s="73" t="s">
        <x:v>4408</x:v>
      </x:c>
      <x:c r="B372" s="73" t="s">
        <x:v>3287</x:v>
      </x:c>
      <x:c r="C372" s="73" t="s">
        <x:v>1588</x:v>
      </x:c>
      <x:c r="D372" s="73" t="s">
        <x:v>4409</x:v>
      </x:c>
      <x:c r="E372" s="73" t="s">
        <x:v>3390</x:v>
      </x:c>
      <x:c r="F372" s="73" t="s">
        <x:v>4410</x:v>
      </x:c>
      <x:c r="G372" s="73" t="n">
        <x:v>25</x:v>
      </x:c>
      <x:c r="H372" s="73" t="n">
        <x:v>50</x:v>
      </x:c>
      <x:c r="I372" s="73" t="s">
        <x:v>4324</x:v>
      </x:c>
      <x:c r="J372" s="73" t="n">
        <x:v>2022</x:v>
      </x:c>
      <x:c r="K372" s="73" t="n">
        <x:v>8</x:v>
      </x:c>
      <x:c r="L372" s="73" t="n">
        <x:v>10</x:v>
      </x:c>
      <x:c r="M372" s="73" t="n">
        <x:v>22</x:v>
      </x:c>
      <x:c r="N372" s="73" t="s">
        <x:v>3260</x:v>
      </x:c>
    </x:row>
    <x:row r="373" ht="15" hidden="0">
      <x:c r="A373" s="73" t="s">
        <x:v>4411</x:v>
      </x:c>
      <x:c r="B373" s="73" t="s">
        <x:v>3255</x:v>
      </x:c>
      <x:c r="C373" s="73" t="s">
        <x:v>1594</x:v>
      </x:c>
      <x:c r="D373" s="73" t="s">
        <x:v>4412</x:v>
      </x:c>
      <x:c r="E373" s="73" t="s">
        <x:v>3382</x:v>
      </x:c>
      <x:c r="F373" s="73" t="s">
        <x:v>4413</x:v>
      </x:c>
      <x:c r="G373" s="73" t="n">
        <x:v>18</x:v>
      </x:c>
      <x:c r="H373" s="73" t="n">
        <x:v>35</x:v>
      </x:c>
      <x:c r="I373" s="73" t="s">
        <x:v>4320</x:v>
      </x:c>
      <x:c r="J373" s="73" t="n">
        <x:v>2019</x:v>
      </x:c>
      <x:c r="K373" s="73" t="n">
        <x:v>4</x:v>
      </x:c>
      <x:c r="L373" s="73" t="n">
        <x:v>5</x:v>
      </x:c>
      <x:c r="M373" s="73" t="n">
        <x:v>17</x:v>
      </x:c>
      <x:c r="N373" s="73" t="s">
        <x:v>3244</x:v>
      </x:c>
    </x:row>
    <x:row r="374" ht="15" hidden="0">
      <x:c r="A374" s="73" t="s">
        <x:v>4414</x:v>
      </x:c>
      <x:c r="B374" s="73" t="s">
        <x:v>3364</x:v>
      </x:c>
      <x:c r="C374" s="73" t="s">
        <x:v>1600</x:v>
      </x:c>
      <x:c r="D374" s="73" t="s">
        <x:v>4415</x:v>
      </x:c>
      <x:c r="E374" s="73" t="s">
        <x:v>3394</x:v>
      </x:c>
      <x:c r="F374" s="73" t="s">
        <x:v>4416</x:v>
      </x:c>
      <x:c r="G374" s="73" t="n">
        <x:v>22</x:v>
      </x:c>
      <x:c r="H374" s="73" t="n">
        <x:v>45</x:v>
      </x:c>
      <x:c r="I374" s="73" t="s">
        <x:v>4328</x:v>
      </x:c>
      <x:c r="J374" s="73" t="n">
        <x:v>2020</x:v>
      </x:c>
      <x:c r="K374" s="73" t="n">
        <x:v>12</x:v>
      </x:c>
      <x:c r="L374" s="73" t="n">
        <x:v>15</x:v>
      </x:c>
      <x:c r="M374" s="73" t="n">
        <x:v>15</x:v>
      </x:c>
      <x:c r="N374" s="73" t="s">
        <x:v>3260</x:v>
      </x:c>
    </x:row>
    <x:row r="375" ht="15" hidden="0">
      <x:c r="A375" s="73" t="s">
        <x:v>4417</x:v>
      </x:c>
      <x:c r="B375" s="73" t="s">
        <x:v>3358</x:v>
      </x:c>
      <x:c r="C375" s="73" t="s">
        <x:v>1606</x:v>
      </x:c>
      <x:c r="D375" s="73" t="s">
        <x:v>4418</x:v>
      </x:c>
      <x:c r="E375" s="73" t="s">
        <x:v>3390</x:v>
      </x:c>
      <x:c r="F375" s="73" t="s">
        <x:v>4419</x:v>
      </x:c>
      <x:c r="G375" s="73" t="n">
        <x:v>35</x:v>
      </x:c>
      <x:c r="H375" s="73" t="n">
        <x:v>70</x:v>
      </x:c>
      <x:c r="I375" s="73" t="s">
        <x:v>3387</x:v>
      </x:c>
      <x:c r="J375" s="73" t="n">
        <x:v>2017</x:v>
      </x:c>
      <x:c r="K375" s="73" t="n">
        <x:v>10</x:v>
      </x:c>
      <x:c r="L375" s="73" t="n">
        <x:v>20</x:v>
      </x:c>
      <x:c r="M375" s="73" t="n">
        <x:v>8</x:v>
      </x:c>
      <x:c r="N375" s="73" t="s">
        <x:v>3260</x:v>
      </x:c>
    </x:row>
    <x:row r="376" ht="15" hidden="0">
      <x:c r="A376" s="73" t="s">
        <x:v>4420</x:v>
      </x:c>
      <x:c r="B376" s="73" t="s">
        <x:v>3338</x:v>
      </x:c>
      <x:c r="C376" s="73" t="s">
        <x:v>1612</x:v>
      </x:c>
      <x:c r="D376" s="73" t="s">
        <x:v>4421</x:v>
      </x:c>
      <x:c r="E376" s="73" t="s">
        <x:v>3382</x:v>
      </x:c>
      <x:c r="F376" s="73" t="s">
        <x:v>4422</x:v>
      </x:c>
      <x:c r="G376" s="73" t="n">
        <x:v>30</x:v>
      </x:c>
      <x:c r="H376" s="73" t="n">
        <x:v>60</x:v>
      </x:c>
      <x:c r="I376" s="73" t="s">
        <x:v>3400</x:v>
      </x:c>
      <x:c r="J376" s="73" t="n">
        <x:v>2021</x:v>
      </x:c>
      <x:c r="K376" s="73" t="n">
        <x:v>2</x:v>
      </x:c>
      <x:c r="L376" s="73" t="n">
        <x:v>28</x:v>
      </x:c>
      <x:c r="M376" s="73" t="n">
        <x:v>13</x:v>
      </x:c>
      <x:c r="N376" s="73" t="s">
        <x:v>3260</x:v>
      </x:c>
    </x:row>
    <x:row r="377" ht="15" hidden="0">
      <x:c r="A377" s="73" t="s">
        <x:v>4423</x:v>
      </x:c>
      <x:c r="B377" s="73" t="s">
        <x:v>3340</x:v>
      </x:c>
      <x:c r="C377" s="73" t="s">
        <x:v>1618</x:v>
      </x:c>
      <x:c r="D377" s="73" t="s">
        <x:v>4424</x:v>
      </x:c>
      <x:c r="E377" s="73" t="s">
        <x:v>3394</x:v>
      </x:c>
      <x:c r="F377" s="73" t="s">
        <x:v>4425</x:v>
      </x:c>
      <x:c r="G377" s="73" t="n">
        <x:v>28</x:v>
      </x:c>
      <x:c r="H377" s="73" t="n">
        <x:v>55</x:v>
      </x:c>
      <x:c r="I377" s="73" t="s">
        <x:v>3396</x:v>
      </x:c>
      <x:c r="J377" s="73" t="n">
        <x:v>2018</x:v>
      </x:c>
      <x:c r="K377" s="73" t="n">
        <x:v>6</x:v>
      </x:c>
      <x:c r="L377" s="73" t="n">
        <x:v>12</x:v>
      </x:c>
      <x:c r="M377" s="73" t="n">
        <x:v>20</x:v>
      </x:c>
      <x:c r="N377" s="73" t="s">
        <x:v>3260</x:v>
      </x:c>
    </x:row>
    <x:row r="378" ht="15" hidden="0">
      <x:c r="A378" s="73" t="s">
        <x:v>4426</x:v>
      </x:c>
      <x:c r="B378" s="73" t="s">
        <x:v>3318</x:v>
      </x:c>
      <x:c r="C378" s="73" t="s">
        <x:v>1624</x:v>
      </x:c>
      <x:c r="D378" s="73" t="s">
        <x:v>4427</x:v>
      </x:c>
      <x:c r="E378" s="73" t="s">
        <x:v>3390</x:v>
      </x:c>
      <x:c r="F378" s="73" t="s">
        <x:v>4428</x:v>
      </x:c>
      <x:c r="G378" s="73" t="n">
        <x:v>20</x:v>
      </x:c>
      <x:c r="H378" s="73" t="n">
        <x:v>40</x:v>
      </x:c>
      <x:c r="I378" s="73" t="s">
        <x:v>72</x:v>
      </x:c>
      <x:c r="J378" s="73" t="n">
        <x:v>2016</x:v>
      </x:c>
      <x:c r="K378" s="73" t="n">
        <x:v>3</x:v>
      </x:c>
      <x:c r="L378" s="73" t="n">
        <x:v>8</x:v>
      </x:c>
      <x:c r="M378" s="73" t="n">
        <x:v>14</x:v>
      </x:c>
      <x:c r="N378" s="73" t="s">
        <x:v>3260</x:v>
      </x:c>
    </x:row>
    <x:row r="379" ht="15" hidden="0">
      <x:c r="A379" s="73" t="s">
        <x:v>4429</x:v>
      </x:c>
      <x:c r="B379" s="73" t="s">
        <x:v>3257</x:v>
      </x:c>
      <x:c r="C379" s="73" t="s">
        <x:v>1630</x:v>
      </x:c>
      <x:c r="D379" s="73" t="s">
        <x:v>4430</x:v>
      </x:c>
      <x:c r="E379" s="73" t="s">
        <x:v>3382</x:v>
      </x:c>
      <x:c r="F379" s="73" t="s">
        <x:v>4431</x:v>
      </x:c>
      <x:c r="G379" s="73" t="n">
        <x:v>18</x:v>
      </x:c>
      <x:c r="H379" s="73" t="n">
        <x:v>35</x:v>
      </x:c>
      <x:c r="I379" s="73" t="s">
        <x:v>4332</x:v>
      </x:c>
      <x:c r="J379" s="73" t="n">
        <x:v>2023</x:v>
      </x:c>
      <x:c r="K379" s="73" t="n">
        <x:v>4</x:v>
      </x:c>
      <x:c r="L379" s="73" t="n">
        <x:v>18</x:v>
      </x:c>
      <x:c r="M379" s="73" t="n">
        <x:v>17</x:v>
      </x:c>
      <x:c r="N379" s="73" t="s">
        <x:v>3244</x:v>
      </x:c>
    </x:row>
    <x:row r="380" ht="15" hidden="0">
      <x:c r="A380" s="73" t="s">
        <x:v>4432</x:v>
      </x:c>
      <x:c r="B380" s="73" t="s">
        <x:v>3293</x:v>
      </x:c>
      <x:c r="C380" s="73" t="s">
        <x:v>1636</x:v>
      </x:c>
      <x:c r="D380" s="73" t="s">
        <x:v>4433</x:v>
      </x:c>
      <x:c r="E380" s="73" t="s">
        <x:v>3394</x:v>
      </x:c>
      <x:c r="F380" s="73" t="s">
        <x:v>4434</x:v>
      </x:c>
      <x:c r="G380" s="73" t="n">
        <x:v>22</x:v>
      </x:c>
      <x:c r="H380" s="73" t="n">
        <x:v>45</x:v>
      </x:c>
      <x:c r="I380" s="73" t="s">
        <x:v>4435</x:v>
      </x:c>
      <x:c r="J380" s="73" t="n">
        <x:v>2020</x:v>
      </x:c>
      <x:c r="K380" s="73" t="n">
        <x:v>7</x:v>
      </x:c>
      <x:c r="L380" s="73" t="n">
        <x:v>25</x:v>
      </x:c>
      <x:c r="M380" s="73" t="n">
        <x:v>12</x:v>
      </x:c>
      <x:c r="N380" s="73" t="s">
        <x:v>3260</x:v>
      </x:c>
    </x:row>
    <x:row r="381" ht="15" hidden="0">
      <x:c r="A381" s="73" t="s">
        <x:v>4436</x:v>
      </x:c>
      <x:c r="B381" s="73" t="s">
        <x:v>3302</x:v>
      </x:c>
      <x:c r="C381" s="73" t="s">
        <x:v>1642</x:v>
      </x:c>
      <x:c r="D381" s="73" t="s">
        <x:v>4437</x:v>
      </x:c>
      <x:c r="E381" s="73" t="s">
        <x:v>3390</x:v>
      </x:c>
      <x:c r="F381" s="73" t="s">
        <x:v>4438</x:v>
      </x:c>
      <x:c r="G381" s="73" t="n">
        <x:v>35</x:v>
      </x:c>
      <x:c r="H381" s="73" t="n">
        <x:v>70</x:v>
      </x:c>
      <x:c r="I381" s="73" t="s">
        <x:v>4439</x:v>
      </x:c>
      <x:c r="J381" s="73" t="n">
        <x:v>2019</x:v>
      </x:c>
      <x:c r="K381" s="73" t="n">
        <x:v>11</x:v>
      </x:c>
      <x:c r="L381" s="73" t="n">
        <x:v>30</x:v>
      </x:c>
      <x:c r="M381" s="73" t="n">
        <x:v>19</x:v>
      </x:c>
      <x:c r="N381" s="73" t="s">
        <x:v>3260</x:v>
      </x:c>
    </x:row>
    <x:row r="382" ht="15" hidden="0">
      <x:c r="A382" s="73" t="s">
        <x:v>4440</x:v>
      </x:c>
      <x:c r="B382" s="73" t="s">
        <x:v>3299</x:v>
      </x:c>
      <x:c r="C382" s="73" t="s">
        <x:v>1648</x:v>
      </x:c>
      <x:c r="D382" s="73" t="s">
        <x:v>4441</x:v>
      </x:c>
      <x:c r="E382" s="73" t="s">
        <x:v>3382</x:v>
      </x:c>
      <x:c r="F382" s="73" t="s">
        <x:v>4442</x:v>
      </x:c>
      <x:c r="G382" s="73" t="n">
        <x:v>15</x:v>
      </x:c>
      <x:c r="H382" s="73" t="n">
        <x:v>30</x:v>
      </x:c>
      <x:c r="I382" s="73" t="s">
        <x:v>4443</x:v>
      </x:c>
      <x:c r="J382" s="73" t="n">
        <x:v>2015</x:v>
      </x:c>
      <x:c r="K382" s="73" t="n">
        <x:v>9</x:v>
      </x:c>
      <x:c r="L382" s="73" t="n">
        <x:v>1</x:v>
      </x:c>
      <x:c r="M382" s="73" t="n">
        <x:v>16</x:v>
      </x:c>
      <x:c r="N382" s="73" t="s">
        <x:v>3260</x:v>
      </x:c>
    </x:row>
    <x:row r="383" ht="15" hidden="0">
      <x:c r="A383" s="73" t="s">
        <x:v>4444</x:v>
      </x:c>
      <x:c r="B383" s="73" t="s">
        <x:v>3314</x:v>
      </x:c>
      <x:c r="C383" s="73" t="s">
        <x:v>1654</x:v>
      </x:c>
      <x:c r="D383" s="73" t="s">
        <x:v>4445</x:v>
      </x:c>
      <x:c r="E383" s="73" t="s">
        <x:v>3394</x:v>
      </x:c>
      <x:c r="F383" s="73" t="s">
        <x:v>4446</x:v>
      </x:c>
      <x:c r="G383" s="73" t="n">
        <x:v>25</x:v>
      </x:c>
      <x:c r="H383" s="73" t="n">
        <x:v>50</x:v>
      </x:c>
      <x:c r="I383" s="73" t="s">
        <x:v>4447</x:v>
      </x:c>
      <x:c r="J383" s="73" t="n">
        <x:v>2022</x:v>
      </x:c>
      <x:c r="K383" s="73" t="n">
        <x:v>5</x:v>
      </x:c>
      <x:c r="L383" s="73" t="n">
        <x:v>5</x:v>
      </x:c>
      <x:c r="M383" s="73" t="n">
        <x:v>10</x:v>
      </x:c>
      <x:c r="N383" s="73" t="s">
        <x:v>3260</x:v>
      </x:c>
    </x:row>
    <x:row r="384" ht="15" hidden="0">
      <x:c r="A384" s="73" t="s">
        <x:v>4448</x:v>
      </x:c>
      <x:c r="B384" s="73" t="s">
        <x:v>3306</x:v>
      </x:c>
      <x:c r="C384" s="73" t="s">
        <x:v>1660</x:v>
      </x:c>
      <x:c r="D384" s="73" t="s">
        <x:v>4449</x:v>
      </x:c>
      <x:c r="E384" s="73" t="s">
        <x:v>3390</x:v>
      </x:c>
      <x:c r="F384" s="73" t="s">
        <x:v>4450</x:v>
      </x:c>
      <x:c r="G384" s="73" t="n">
        <x:v>40</x:v>
      </x:c>
      <x:c r="H384" s="73" t="n">
        <x:v>80</x:v>
      </x:c>
      <x:c r="I384" s="73" t="s">
        <x:v>4451</x:v>
      </x:c>
      <x:c r="J384" s="73" t="n">
        <x:v>2018</x:v>
      </x:c>
      <x:c r="K384" s="73" t="n">
        <x:v>7</x:v>
      </x:c>
      <x:c r="L384" s="73" t="n">
        <x:v>8</x:v>
      </x:c>
      <x:c r="M384" s="73" t="n">
        <x:v>23</x:v>
      </x:c>
      <x:c r="N384" s="73" t="s">
        <x:v>3260</x:v>
      </x:c>
    </x:row>
    <x:row r="385" ht="15" hidden="0">
      <x:c r="A385" s="73" t="s">
        <x:v>4452</x:v>
      </x:c>
      <x:c r="B385" s="73" t="s">
        <x:v>3315</x:v>
      </x:c>
      <x:c r="C385" s="73" t="s">
        <x:v>1666</x:v>
      </x:c>
      <x:c r="D385" s="73" t="s">
        <x:v>4453</x:v>
      </x:c>
      <x:c r="E385" s="73" t="s">
        <x:v>3382</x:v>
      </x:c>
      <x:c r="F385" s="73" t="s">
        <x:v>4454</x:v>
      </x:c>
      <x:c r="G385" s="73" t="n">
        <x:v>18</x:v>
      </x:c>
      <x:c r="H385" s="73" t="n">
        <x:v>35</x:v>
      </x:c>
      <x:c r="I385" s="73" t="s">
        <x:v>4455</x:v>
      </x:c>
      <x:c r="J385" s="73" t="n">
        <x:v>2021</x:v>
      </x:c>
      <x:c r="K385" s="73" t="n">
        <x:v>9</x:v>
      </x:c>
      <x:c r="L385" s="73" t="n">
        <x:v>20</x:v>
      </x:c>
      <x:c r="M385" s="73" t="n">
        <x:v>14</x:v>
      </x:c>
      <x:c r="N385" s="73" t="s">
        <x:v>3260</x:v>
      </x:c>
    </x:row>
    <x:row r="386" ht="15" hidden="0">
      <x:c r="A386" s="73" t="s">
        <x:v>4456</x:v>
      </x:c>
      <x:c r="B386" s="73" t="s">
        <x:v>3276</x:v>
      </x:c>
      <x:c r="C386" s="73" t="s">
        <x:v>1672</x:v>
      </x:c>
      <x:c r="D386" s="73" t="s">
        <x:v>4053</x:v>
      </x:c>
      <x:c r="E386" s="73" t="s">
        <x:v>3394</x:v>
      </x:c>
      <x:c r="F386" s="73" t="s">
        <x:v>4457</x:v>
      </x:c>
      <x:c r="G386" s="73" t="n">
        <x:v>28</x:v>
      </x:c>
      <x:c r="H386" s="73" t="n">
        <x:v>55</x:v>
      </x:c>
      <x:c r="I386" s="73" t="s">
        <x:v>4458</x:v>
      </x:c>
      <x:c r="J386" s="73" t="n">
        <x:v>2016</x:v>
      </x:c>
      <x:c r="K386" s="73" t="n">
        <x:v>11</x:v>
      </x:c>
      <x:c r="L386" s="73" t="n">
        <x:v>15</x:v>
      </x:c>
      <x:c r="M386" s="73" t="n">
        <x:v>11</x:v>
      </x:c>
      <x:c r="N386" s="73" t="s">
        <x:v>3260</x:v>
      </x:c>
    </x:row>
    <x:row r="387" ht="15" hidden="0">
      <x:c r="A387" s="73" t="s">
        <x:v>4459</x:v>
      </x:c>
      <x:c r="B387" s="73" t="s">
        <x:v>3310</x:v>
      </x:c>
      <x:c r="C387" s="73" t="s">
        <x:v>1678</x:v>
      </x:c>
      <x:c r="D387" s="73" t="s">
        <x:v>3775</x:v>
      </x:c>
      <x:c r="E387" s="73" t="s">
        <x:v>3390</x:v>
      </x:c>
      <x:c r="F387" s="73" t="s">
        <x:v>4460</x:v>
      </x:c>
      <x:c r="G387" s="73" t="n">
        <x:v>30</x:v>
      </x:c>
      <x:c r="H387" s="73" t="n">
        <x:v>60</x:v>
      </x:c>
      <x:c r="I387" s="73" t="s">
        <x:v>4461</x:v>
      </x:c>
      <x:c r="J387" s="73" t="n">
        <x:v>2020</x:v>
      </x:c>
      <x:c r="K387" s="73" t="n">
        <x:v>1</x:v>
      </x:c>
      <x:c r="L387" s="73" t="n">
        <x:v>12</x:v>
      </x:c>
      <x:c r="M387" s="73" t="n">
        <x:v>18</x:v>
      </x:c>
      <x:c r="N387" s="73" t="s">
        <x:v>3260</x:v>
      </x:c>
    </x:row>
    <x:row r="388" ht="15" hidden="0">
      <x:c r="A388" s="73" t="s">
        <x:v>4462</x:v>
      </x:c>
      <x:c r="B388" s="73" t="s">
        <x:v>3264</x:v>
      </x:c>
      <x:c r="C388" s="73" t="s">
        <x:v>1683</x:v>
      </x:c>
      <x:c r="D388" s="73" t="s">
        <x:v>4463</x:v>
      </x:c>
      <x:c r="E388" s="73" t="s">
        <x:v>3394</x:v>
      </x:c>
      <x:c r="F388" s="73" t="s">
        <x:v>4464</x:v>
      </x:c>
      <x:c r="G388" s="73" t="n">
        <x:v>22</x:v>
      </x:c>
      <x:c r="H388" s="73" t="n">
        <x:v>45</x:v>
      </x:c>
      <x:c r="I388" s="73" t="s">
        <x:v>4465</x:v>
      </x:c>
      <x:c r="J388" s="73" t="n">
        <x:v>2017</x:v>
      </x:c>
      <x:c r="K388" s="73" t="n">
        <x:v>12</x:v>
      </x:c>
      <x:c r="L388" s="73" t="n">
        <x:v>28</x:v>
      </x:c>
      <x:c r="M388" s="73" t="n">
        <x:v>19</x:v>
      </x:c>
      <x:c r="N388" s="73" t="s">
        <x:v>3260</x:v>
      </x:c>
    </x:row>
    <x:row r="389" ht="15" hidden="0">
      <x:c r="A389" s="73" t="s">
        <x:v>4466</x:v>
      </x:c>
      <x:c r="B389" s="73" t="s">
        <x:v>3295</x:v>
      </x:c>
      <x:c r="C389" s="73" t="s">
        <x:v>1689</x:v>
      </x:c>
      <x:c r="D389" s="73" t="s">
        <x:v>4467</x:v>
      </x:c>
      <x:c r="E389" s="73" t="s">
        <x:v>3382</x:v>
      </x:c>
      <x:c r="F389" s="73" t="s">
        <x:v>4468</x:v>
      </x:c>
      <x:c r="G389" s="73" t="n">
        <x:v>35</x:v>
      </x:c>
      <x:c r="H389" s="73" t="n">
        <x:v>70</x:v>
      </x:c>
      <x:c r="I389" s="73" t="s">
        <x:v>4469</x:v>
      </x:c>
      <x:c r="J389" s="73" t="n">
        <x:v>2019</x:v>
      </x:c>
      <x:c r="K389" s="73" t="n">
        <x:v>3</x:v>
      </x:c>
      <x:c r="L389" s="73" t="n">
        <x:v>2</x:v>
      </x:c>
      <x:c r="M389" s="73" t="n">
        <x:v>20</x:v>
      </x:c>
      <x:c r="N389" s="73" t="s">
        <x:v>3260</x:v>
      </x:c>
    </x:row>
    <x:row r="390" ht="15" hidden="0">
      <x:c r="A390" s="73" t="s">
        <x:v>4470</x:v>
      </x:c>
      <x:c r="B390" s="73" t="s">
        <x:v>3274</x:v>
      </x:c>
      <x:c r="C390" s="73" t="s">
        <x:v>1695</x:v>
      </x:c>
      <x:c r="D390" s="73" t="s">
        <x:v>4471</x:v>
      </x:c>
      <x:c r="E390" s="73" t="s">
        <x:v>3390</x:v>
      </x:c>
      <x:c r="F390" s="73" t="s">
        <x:v>4472</x:v>
      </x:c>
      <x:c r="G390" s="73" t="n">
        <x:v>20</x:v>
      </x:c>
      <x:c r="H390" s="73" t="n">
        <x:v>40</x:v>
      </x:c>
      <x:c r="I390" s="73" t="s">
        <x:v>4473</x:v>
      </x:c>
      <x:c r="J390" s="73" t="n">
        <x:v>2022</x:v>
      </x:c>
      <x:c r="K390" s="73" t="n">
        <x:v>6</x:v>
      </x:c>
      <x:c r="L390" s="73" t="n">
        <x:v>8</x:v>
      </x:c>
      <x:c r="M390" s="73" t="n">
        <x:v>15</x:v>
      </x:c>
      <x:c r="N390" s="73" t="s">
        <x:v>3260</x:v>
      </x:c>
    </x:row>
    <x:row r="391" ht="15" hidden="0">
      <x:c r="A391" s="73" t="s">
        <x:v>4474</x:v>
      </x:c>
      <x:c r="B391" s="73" t="s">
        <x:v>3268</x:v>
      </x:c>
      <x:c r="C391" s="73" t="s">
        <x:v>1701</x:v>
      </x:c>
      <x:c r="D391" s="73" t="s">
        <x:v>4475</x:v>
      </x:c>
      <x:c r="E391" s="73" t="s">
        <x:v>3394</x:v>
      </x:c>
      <x:c r="F391" s="73" t="s">
        <x:v>4476</x:v>
      </x:c>
      <x:c r="G391" s="73" t="n">
        <x:v>18</x:v>
      </x:c>
      <x:c r="H391" s="73" t="n">
        <x:v>35</x:v>
      </x:c>
      <x:c r="I391" s="73" t="s">
        <x:v>4477</x:v>
      </x:c>
      <x:c r="J391" s="73" t="n">
        <x:v>2018</x:v>
      </x:c>
      <x:c r="K391" s="73" t="n">
        <x:v>8</x:v>
      </x:c>
      <x:c r="L391" s="73" t="n">
        <x:v>18</x:v>
      </x:c>
      <x:c r="M391" s="73" t="n">
        <x:v>14</x:v>
      </x:c>
      <x:c r="N391" s="73" t="s">
        <x:v>3260</x:v>
      </x:c>
    </x:row>
    <x:row r="392" ht="15" hidden="0">
      <x:c r="A392" s="73" t="s">
        <x:v>4478</x:v>
      </x:c>
      <x:c r="B392" s="73" t="s">
        <x:v>3287</x:v>
      </x:c>
      <x:c r="C392" s="73" t="s">
        <x:v>1588</x:v>
      </x:c>
      <x:c r="D392" s="73" t="s">
        <x:v>4409</x:v>
      </x:c>
      <x:c r="E392" s="73" t="s">
        <x:v>3390</x:v>
      </x:c>
      <x:c r="F392" s="73" t="s">
        <x:v>4479</x:v>
      </x:c>
      <x:c r="G392" s="73" t="n">
        <x:v>25</x:v>
      </x:c>
      <x:c r="H392" s="73" t="n">
        <x:v>50</x:v>
      </x:c>
      <x:c r="I392" s="73" t="s">
        <x:v>4324</x:v>
      </x:c>
      <x:c r="J392" s="73" t="n">
        <x:v>2022</x:v>
      </x:c>
      <x:c r="K392" s="73" t="n">
        <x:v>8</x:v>
      </x:c>
      <x:c r="L392" s="73" t="n">
        <x:v>10</x:v>
      </x:c>
      <x:c r="M392" s="73" t="n">
        <x:v>22</x:v>
      </x:c>
      <x:c r="N392" s="73" t="s">
        <x:v>3260</x:v>
      </x:c>
    </x:row>
    <x:row r="393" ht="15" hidden="0">
      <x:c r="A393" s="73" t="s">
        <x:v>4480</x:v>
      </x:c>
      <x:c r="B393" s="73" t="s">
        <x:v>3356</x:v>
      </x:c>
      <x:c r="C393" s="73" t="s">
        <x:v>1594</x:v>
      </x:c>
      <x:c r="D393" s="73" t="s">
        <x:v>3496</x:v>
      </x:c>
      <x:c r="E393" s="73" t="s">
        <x:v>3382</x:v>
      </x:c>
      <x:c r="F393" s="73" t="s">
        <x:v>4481</x:v>
      </x:c>
      <x:c r="G393" s="73" t="n">
        <x:v>18</x:v>
      </x:c>
      <x:c r="H393" s="73" t="n">
        <x:v>35</x:v>
      </x:c>
      <x:c r="I393" s="73" t="s">
        <x:v>4320</x:v>
      </x:c>
      <x:c r="J393" s="73" t="n">
        <x:v>2019</x:v>
      </x:c>
      <x:c r="K393" s="73" t="n">
        <x:v>4</x:v>
      </x:c>
      <x:c r="L393" s="73" t="n">
        <x:v>5</x:v>
      </x:c>
      <x:c r="M393" s="73" t="n">
        <x:v>17</x:v>
      </x:c>
      <x:c r="N393" s="73" t="s">
        <x:v>3260</x:v>
      </x:c>
    </x:row>
    <x:row r="394" ht="15" hidden="0">
      <x:c r="A394" s="73" t="s">
        <x:v>4482</x:v>
      </x:c>
      <x:c r="B394" s="73" t="s">
        <x:v>3343</x:v>
      </x:c>
      <x:c r="C394" s="73" t="s">
        <x:v>1600</x:v>
      </x:c>
      <x:c r="D394" s="73" t="s">
        <x:v>4483</x:v>
      </x:c>
      <x:c r="E394" s="73" t="s">
        <x:v>3394</x:v>
      </x:c>
      <x:c r="F394" s="73" t="s">
        <x:v>4484</x:v>
      </x:c>
      <x:c r="G394" s="73" t="n">
        <x:v>22</x:v>
      </x:c>
      <x:c r="H394" s="73" t="n">
        <x:v>45</x:v>
      </x:c>
      <x:c r="I394" s="73" t="s">
        <x:v>4328</x:v>
      </x:c>
      <x:c r="J394" s="73" t="n">
        <x:v>2020</x:v>
      </x:c>
      <x:c r="K394" s="73" t="n">
        <x:v>12</x:v>
      </x:c>
      <x:c r="L394" s="73" t="n">
        <x:v>15</x:v>
      </x:c>
      <x:c r="M394" s="73" t="n">
        <x:v>15</x:v>
      </x:c>
      <x:c r="N394" s="73" t="s">
        <x:v>3260</x:v>
      </x:c>
    </x:row>
    <x:row r="395" ht="15" hidden="0">
      <x:c r="A395" s="73" t="s">
        <x:v>4485</x:v>
      </x:c>
      <x:c r="B395" s="73" t="s">
        <x:v>3254</x:v>
      </x:c>
      <x:c r="C395" s="73" t="s">
        <x:v>1606</x:v>
      </x:c>
      <x:c r="D395" s="73" t="s">
        <x:v>4486</x:v>
      </x:c>
      <x:c r="E395" s="73" t="s">
        <x:v>3390</x:v>
      </x:c>
      <x:c r="F395" s="73" t="s">
        <x:v>4487</x:v>
      </x:c>
      <x:c r="G395" s="73" t="n">
        <x:v>35</x:v>
      </x:c>
      <x:c r="H395" s="73" t="n">
        <x:v>70</x:v>
      </x:c>
      <x:c r="I395" s="73" t="s">
        <x:v>3387</x:v>
      </x:c>
      <x:c r="J395" s="73" t="n">
        <x:v>2017</x:v>
      </x:c>
      <x:c r="K395" s="73" t="n">
        <x:v>10</x:v>
      </x:c>
      <x:c r="L395" s="73" t="n">
        <x:v>20</x:v>
      </x:c>
      <x:c r="M395" s="73" t="n">
        <x:v>8</x:v>
      </x:c>
      <x:c r="N395" s="73" t="s">
        <x:v>3244</x:v>
      </x:c>
    </x:row>
    <x:row r="396" ht="15" hidden="0">
      <x:c r="A396" s="73" t="s">
        <x:v>4488</x:v>
      </x:c>
      <x:c r="B396" s="73" t="s">
        <x:v>3344</x:v>
      </x:c>
      <x:c r="C396" s="73" t="s">
        <x:v>1612</x:v>
      </x:c>
      <x:c r="D396" s="73" t="s">
        <x:v>4489</x:v>
      </x:c>
      <x:c r="E396" s="73" t="s">
        <x:v>3382</x:v>
      </x:c>
      <x:c r="F396" s="73" t="s">
        <x:v>4490</x:v>
      </x:c>
      <x:c r="G396" s="73" t="n">
        <x:v>30</x:v>
      </x:c>
      <x:c r="H396" s="73" t="n">
        <x:v>60</x:v>
      </x:c>
      <x:c r="I396" s="73" t="s">
        <x:v>3400</x:v>
      </x:c>
      <x:c r="J396" s="73" t="n">
        <x:v>2021</x:v>
      </x:c>
      <x:c r="K396" s="73" t="n">
        <x:v>2</x:v>
      </x:c>
      <x:c r="L396" s="73" t="n">
        <x:v>28</x:v>
      </x:c>
      <x:c r="M396" s="73" t="n">
        <x:v>13</x:v>
      </x:c>
      <x:c r="N396" s="73" t="s">
        <x:v>3260</x:v>
      </x:c>
    </x:row>
    <x:row r="397" ht="15" hidden="0">
      <x:c r="A397" s="73" t="s">
        <x:v>4491</x:v>
      </x:c>
      <x:c r="B397" s="73" t="s">
        <x:v>3337</x:v>
      </x:c>
      <x:c r="C397" s="73" t="s">
        <x:v>1618</x:v>
      </x:c>
      <x:c r="D397" s="73" t="s">
        <x:v>4492</x:v>
      </x:c>
      <x:c r="E397" s="73" t="s">
        <x:v>3394</x:v>
      </x:c>
      <x:c r="F397" s="73" t="s">
        <x:v>4493</x:v>
      </x:c>
      <x:c r="G397" s="73" t="n">
        <x:v>28</x:v>
      </x:c>
      <x:c r="H397" s="73" t="n">
        <x:v>55</x:v>
      </x:c>
      <x:c r="I397" s="73" t="s">
        <x:v>3396</x:v>
      </x:c>
      <x:c r="J397" s="73" t="n">
        <x:v>2018</x:v>
      </x:c>
      <x:c r="K397" s="73" t="n">
        <x:v>6</x:v>
      </x:c>
      <x:c r="L397" s="73" t="n">
        <x:v>12</x:v>
      </x:c>
      <x:c r="M397" s="73" t="n">
        <x:v>20</x:v>
      </x:c>
      <x:c r="N397" s="73" t="s">
        <x:v>3260</x:v>
      </x:c>
    </x:row>
    <x:row r="398" ht="15" hidden="0">
      <x:c r="A398" s="73" t="s">
        <x:v>4494</x:v>
      </x:c>
      <x:c r="B398" s="73" t="s">
        <x:v>3318</x:v>
      </x:c>
      <x:c r="C398" s="73" t="s">
        <x:v>1624</x:v>
      </x:c>
      <x:c r="D398" s="73" t="s">
        <x:v>4495</x:v>
      </x:c>
      <x:c r="E398" s="73" t="s">
        <x:v>3390</x:v>
      </x:c>
      <x:c r="F398" s="73" t="s">
        <x:v>4496</x:v>
      </x:c>
      <x:c r="G398" s="73" t="n">
        <x:v>20</x:v>
      </x:c>
      <x:c r="H398" s="73" t="n">
        <x:v>40</x:v>
      </x:c>
      <x:c r="I398" s="73" t="s">
        <x:v>72</x:v>
      </x:c>
      <x:c r="J398" s="73" t="n">
        <x:v>2016</x:v>
      </x:c>
      <x:c r="K398" s="73" t="n">
        <x:v>3</x:v>
      </x:c>
      <x:c r="L398" s="73" t="n">
        <x:v>8</x:v>
      </x:c>
      <x:c r="M398" s="73" t="n">
        <x:v>14</x:v>
      </x:c>
      <x:c r="N398" s="73" t="s">
        <x:v>3260</x:v>
      </x:c>
    </x:row>
    <x:row r="399" ht="15" hidden="0">
      <x:c r="A399" s="73" t="s">
        <x:v>4497</x:v>
      </x:c>
      <x:c r="B399" s="73" t="s">
        <x:v>3249</x:v>
      </x:c>
      <x:c r="C399" s="73" t="s">
        <x:v>1630</x:v>
      </x:c>
      <x:c r="D399" s="73" t="s">
        <x:v>4430</x:v>
      </x:c>
      <x:c r="E399" s="73" t="s">
        <x:v>3382</x:v>
      </x:c>
      <x:c r="F399" s="73" t="s">
        <x:v>4498</x:v>
      </x:c>
      <x:c r="G399" s="73" t="n">
        <x:v>18</x:v>
      </x:c>
      <x:c r="H399" s="73" t="n">
        <x:v>35</x:v>
      </x:c>
      <x:c r="I399" s="73" t="s">
        <x:v>4332</x:v>
      </x:c>
      <x:c r="J399" s="73" t="n">
        <x:v>2023</x:v>
      </x:c>
      <x:c r="K399" s="73" t="n">
        <x:v>4</x:v>
      </x:c>
      <x:c r="L399" s="73" t="n">
        <x:v>18</x:v>
      </x:c>
      <x:c r="M399" s="73" t="n">
        <x:v>17</x:v>
      </x:c>
      <x:c r="N399" s="73" t="s">
        <x:v>3244</x:v>
      </x:c>
    </x:row>
    <x:row r="400" ht="15" hidden="0">
      <x:c r="A400" s="73" t="s">
        <x:v>4499</x:v>
      </x:c>
      <x:c r="B400" s="73" t="s">
        <x:v>3321</x:v>
      </x:c>
      <x:c r="C400" s="73" t="s">
        <x:v>1636</x:v>
      </x:c>
      <x:c r="D400" s="73" t="s">
        <x:v>4500</x:v>
      </x:c>
      <x:c r="E400" s="73" t="s">
        <x:v>3394</x:v>
      </x:c>
      <x:c r="F400" s="73" t="s">
        <x:v>4501</x:v>
      </x:c>
      <x:c r="G400" s="73" t="n">
        <x:v>22</x:v>
      </x:c>
      <x:c r="H400" s="73" t="n">
        <x:v>45</x:v>
      </x:c>
      <x:c r="I400" s="73" t="s">
        <x:v>4435</x:v>
      </x:c>
      <x:c r="J400" s="73" t="n">
        <x:v>2020</x:v>
      </x:c>
      <x:c r="K400" s="73" t="n">
        <x:v>7</x:v>
      </x:c>
      <x:c r="L400" s="73" t="n">
        <x:v>25</x:v>
      </x:c>
      <x:c r="M400" s="73" t="n">
        <x:v>12</x:v>
      </x:c>
      <x:c r="N400" s="73" t="s">
        <x:v>3260</x:v>
      </x:c>
    </x:row>
    <x:row r="401" ht="15" hidden="0">
      <x:c r="A401" s="73" t="s">
        <x:v>4502</x:v>
      </x:c>
      <x:c r="B401" s="73" t="s">
        <x:v>3302</x:v>
      </x:c>
      <x:c r="C401" s="73" t="s">
        <x:v>1642</x:v>
      </x:c>
      <x:c r="D401" s="73" t="s">
        <x:v>4437</x:v>
      </x:c>
      <x:c r="E401" s="73" t="s">
        <x:v>3390</x:v>
      </x:c>
      <x:c r="F401" s="73" t="s">
        <x:v>4438</x:v>
      </x:c>
      <x:c r="G401" s="73" t="n">
        <x:v>35</x:v>
      </x:c>
      <x:c r="H401" s="73" t="n">
        <x:v>70</x:v>
      </x:c>
      <x:c r="I401" s="73" t="s">
        <x:v>4439</x:v>
      </x:c>
      <x:c r="J401" s="73" t="n">
        <x:v>2019</x:v>
      </x:c>
      <x:c r="K401" s="73" t="n">
        <x:v>11</x:v>
      </x:c>
      <x:c r="L401" s="73" t="n">
        <x:v>30</x:v>
      </x:c>
      <x:c r="M401" s="73" t="n">
        <x:v>19</x:v>
      </x:c>
      <x:c r="N401" s="73" t="s">
        <x:v>3260</x:v>
      </x:c>
    </x:row>
    <x:row r="402" ht="15" hidden="0">
      <x:c r="A402" s="73" t="s">
        <x:v>4503</x:v>
      </x:c>
      <x:c r="B402" s="73" t="s">
        <x:v>3324</x:v>
      </x:c>
      <x:c r="C402" s="73" t="s">
        <x:v>1648</x:v>
      </x:c>
      <x:c r="D402" s="73" t="s">
        <x:v>4441</x:v>
      </x:c>
      <x:c r="E402" s="73" t="s">
        <x:v>3382</x:v>
      </x:c>
      <x:c r="F402" s="73" t="s">
        <x:v>4504</x:v>
      </x:c>
      <x:c r="G402" s="73" t="n">
        <x:v>15</x:v>
      </x:c>
      <x:c r="H402" s="73" t="n">
        <x:v>30</x:v>
      </x:c>
      <x:c r="I402" s="73" t="s">
        <x:v>4443</x:v>
      </x:c>
      <x:c r="J402" s="73" t="n">
        <x:v>2015</x:v>
      </x:c>
      <x:c r="K402" s="73" t="n">
        <x:v>9</x:v>
      </x:c>
      <x:c r="L402" s="73" t="n">
        <x:v>1</x:v>
      </x:c>
      <x:c r="M402" s="73" t="n">
        <x:v>16</x:v>
      </x:c>
      <x:c r="N402" s="73" t="s">
        <x:v>3260</x:v>
      </x:c>
    </x:row>
    <x:row r="403" ht="15" hidden="0">
      <x:c r="A403" s="73" t="s">
        <x:v>4505</x:v>
      </x:c>
      <x:c r="B403" s="73" t="s">
        <x:v>3314</x:v>
      </x:c>
      <x:c r="C403" s="73" t="s">
        <x:v>1654</x:v>
      </x:c>
      <x:c r="D403" s="73" t="s">
        <x:v>4445</x:v>
      </x:c>
      <x:c r="E403" s="73" t="s">
        <x:v>3394</x:v>
      </x:c>
      <x:c r="F403" s="73" t="s">
        <x:v>4446</x:v>
      </x:c>
      <x:c r="G403" s="73" t="n">
        <x:v>25</x:v>
      </x:c>
      <x:c r="H403" s="73" t="n">
        <x:v>50</x:v>
      </x:c>
      <x:c r="I403" s="73" t="s">
        <x:v>4447</x:v>
      </x:c>
      <x:c r="J403" s="73" t="n">
        <x:v>2022</x:v>
      </x:c>
      <x:c r="K403" s="73" t="n">
        <x:v>5</x:v>
      </x:c>
      <x:c r="L403" s="73" t="n">
        <x:v>5</x:v>
      </x:c>
      <x:c r="M403" s="73" t="n">
        <x:v>10</x:v>
      </x:c>
      <x:c r="N403" s="73" t="s">
        <x:v>3260</x:v>
      </x:c>
    </x:row>
    <x:row r="404" ht="15" hidden="0">
      <x:c r="A404" s="73" t="s">
        <x:v>4506</x:v>
      </x:c>
      <x:c r="B404" s="73" t="s">
        <x:v>3306</x:v>
      </x:c>
      <x:c r="C404" s="73" t="s">
        <x:v>1660</x:v>
      </x:c>
      <x:c r="D404" s="73" t="s">
        <x:v>4449</x:v>
      </x:c>
      <x:c r="E404" s="73" t="s">
        <x:v>3390</x:v>
      </x:c>
      <x:c r="F404" s="73" t="s">
        <x:v>4450</x:v>
      </x:c>
      <x:c r="G404" s="73" t="n">
        <x:v>40</x:v>
      </x:c>
      <x:c r="H404" s="73" t="n">
        <x:v>80</x:v>
      </x:c>
      <x:c r="I404" s="73" t="s">
        <x:v>4451</x:v>
      </x:c>
      <x:c r="J404" s="73" t="n">
        <x:v>2018</x:v>
      </x:c>
      <x:c r="K404" s="73" t="n">
        <x:v>7</x:v>
      </x:c>
      <x:c r="L404" s="73" t="n">
        <x:v>8</x:v>
      </x:c>
      <x:c r="M404" s="73" t="n">
        <x:v>23</x:v>
      </x:c>
      <x:c r="N404" s="73" t="s">
        <x:v>3260</x:v>
      </x:c>
    </x:row>
    <x:row r="405" ht="15" hidden="0">
      <x:c r="A405" s="73" t="s">
        <x:v>4452</x:v>
      </x:c>
      <x:c r="B405" s="73" t="s">
        <x:v>3315</x:v>
      </x:c>
      <x:c r="C405" s="73" t="s">
        <x:v>1666</x:v>
      </x:c>
      <x:c r="D405" s="73" t="s">
        <x:v>4453</x:v>
      </x:c>
      <x:c r="E405" s="73" t="s">
        <x:v>3382</x:v>
      </x:c>
      <x:c r="F405" s="73" t="s">
        <x:v>4454</x:v>
      </x:c>
      <x:c r="G405" s="73" t="n">
        <x:v>18</x:v>
      </x:c>
      <x:c r="H405" s="73" t="n">
        <x:v>35</x:v>
      </x:c>
      <x:c r="I405" s="73" t="s">
        <x:v>4455</x:v>
      </x:c>
      <x:c r="J405" s="73" t="n">
        <x:v>2021</x:v>
      </x:c>
      <x:c r="K405" s="73" t="n">
        <x:v>9</x:v>
      </x:c>
      <x:c r="L405" s="73" t="n">
        <x:v>20</x:v>
      </x:c>
      <x:c r="M405" s="73" t="n">
        <x:v>14</x:v>
      </x:c>
      <x:c r="N405" s="73" t="s">
        <x:v>3260</x:v>
      </x:c>
    </x:row>
    <x:row r="406" ht="15" hidden="0">
      <x:c r="A406" s="73" t="s">
        <x:v>4456</x:v>
      </x:c>
      <x:c r="B406" s="73" t="s">
        <x:v>3276</x:v>
      </x:c>
      <x:c r="C406" s="73" t="s">
        <x:v>1672</x:v>
      </x:c>
      <x:c r="D406" s="73" t="s">
        <x:v>4053</x:v>
      </x:c>
      <x:c r="E406" s="73" t="s">
        <x:v>3394</x:v>
      </x:c>
      <x:c r="F406" s="73" t="s">
        <x:v>4457</x:v>
      </x:c>
      <x:c r="G406" s="73" t="n">
        <x:v>28</x:v>
      </x:c>
      <x:c r="H406" s="73" t="n">
        <x:v>55</x:v>
      </x:c>
      <x:c r="I406" s="73" t="s">
        <x:v>4458</x:v>
      </x:c>
      <x:c r="J406" s="73" t="n">
        <x:v>2016</x:v>
      </x:c>
      <x:c r="K406" s="73" t="n">
        <x:v>11</x:v>
      </x:c>
      <x:c r="L406" s="73" t="n">
        <x:v>15</x:v>
      </x:c>
      <x:c r="M406" s="73" t="n">
        <x:v>11</x:v>
      </x:c>
      <x:c r="N406" s="73" t="s">
        <x:v>3260</x:v>
      </x:c>
    </x:row>
    <x:row r="407" ht="15" hidden="0">
      <x:c r="A407" s="73" t="s">
        <x:v>4459</x:v>
      </x:c>
      <x:c r="B407" s="73" t="s">
        <x:v>3310</x:v>
      </x:c>
      <x:c r="C407" s="73" t="s">
        <x:v>1678</x:v>
      </x:c>
      <x:c r="D407" s="73" t="s">
        <x:v>3775</x:v>
      </x:c>
      <x:c r="E407" s="73" t="s">
        <x:v>3390</x:v>
      </x:c>
      <x:c r="F407" s="73" t="s">
        <x:v>4460</x:v>
      </x:c>
      <x:c r="G407" s="73" t="n">
        <x:v>30</x:v>
      </x:c>
      <x:c r="H407" s="73" t="n">
        <x:v>60</x:v>
      </x:c>
      <x:c r="I407" s="73" t="s">
        <x:v>4461</x:v>
      </x:c>
      <x:c r="J407" s="73" t="n">
        <x:v>2020</x:v>
      </x:c>
      <x:c r="K407" s="73" t="n">
        <x:v>1</x:v>
      </x:c>
      <x:c r="L407" s="73" t="n">
        <x:v>12</x:v>
      </x:c>
      <x:c r="M407" s="73" t="n">
        <x:v>18</x:v>
      </x:c>
      <x:c r="N407" s="73" t="s">
        <x:v>3260</x:v>
      </x:c>
    </x:row>
    <x:row r="408" ht="15" hidden="0">
      <x:c r="A408" s="73" t="s">
        <x:v>4462</x:v>
      </x:c>
      <x:c r="B408" s="73" t="s">
        <x:v>3264</x:v>
      </x:c>
      <x:c r="C408" s="73" t="s">
        <x:v>1683</x:v>
      </x:c>
      <x:c r="D408" s="73" t="s">
        <x:v>4463</x:v>
      </x:c>
      <x:c r="E408" s="73" t="s">
        <x:v>3394</x:v>
      </x:c>
      <x:c r="F408" s="73" t="s">
        <x:v>4464</x:v>
      </x:c>
      <x:c r="G408" s="73" t="n">
        <x:v>22</x:v>
      </x:c>
      <x:c r="H408" s="73" t="n">
        <x:v>45</x:v>
      </x:c>
      <x:c r="I408" s="73" t="s">
        <x:v>4465</x:v>
      </x:c>
      <x:c r="J408" s="73" t="n">
        <x:v>2017</x:v>
      </x:c>
      <x:c r="K408" s="73" t="n">
        <x:v>12</x:v>
      </x:c>
      <x:c r="L408" s="73" t="n">
        <x:v>28</x:v>
      </x:c>
      <x:c r="M408" s="73" t="n">
        <x:v>19</x:v>
      </x:c>
      <x:c r="N408" s="73" t="s">
        <x:v>3260</x:v>
      </x:c>
    </x:row>
    <x:row r="409" ht="15" hidden="0">
      <x:c r="A409" s="73" t="s">
        <x:v>4507</x:v>
      </x:c>
      <x:c r="B409" s="73" t="s">
        <x:v>3336</x:v>
      </x:c>
      <x:c r="C409" s="73" t="s">
        <x:v>1689</x:v>
      </x:c>
      <x:c r="D409" s="73" t="s">
        <x:v>4467</x:v>
      </x:c>
      <x:c r="E409" s="73" t="s">
        <x:v>3382</x:v>
      </x:c>
      <x:c r="F409" s="73" t="s">
        <x:v>4508</x:v>
      </x:c>
      <x:c r="G409" s="73" t="n">
        <x:v>35</x:v>
      </x:c>
      <x:c r="H409" s="73" t="n">
        <x:v>70</x:v>
      </x:c>
      <x:c r="I409" s="73" t="s">
        <x:v>4469</x:v>
      </x:c>
      <x:c r="J409" s="73" t="n">
        <x:v>2019</x:v>
      </x:c>
      <x:c r="K409" s="73" t="n">
        <x:v>3</x:v>
      </x:c>
      <x:c r="L409" s="73" t="n">
        <x:v>2</x:v>
      </x:c>
      <x:c r="M409" s="73" t="n">
        <x:v>20</x:v>
      </x:c>
      <x:c r="N409" s="73" t="s">
        <x:v>3260</x:v>
      </x:c>
    </x:row>
    <x:row r="410" ht="15" hidden="0">
      <x:c r="A410" s="73" t="s">
        <x:v>4509</x:v>
      </x:c>
      <x:c r="B410" s="73" t="s">
        <x:v>3274</x:v>
      </x:c>
      <x:c r="C410" s="73" t="s">
        <x:v>1695</x:v>
      </x:c>
      <x:c r="D410" s="73" t="s">
        <x:v>4471</x:v>
      </x:c>
      <x:c r="E410" s="73" t="s">
        <x:v>3390</x:v>
      </x:c>
      <x:c r="F410" s="73" t="s">
        <x:v>4510</x:v>
      </x:c>
      <x:c r="G410" s="73" t="n">
        <x:v>20</x:v>
      </x:c>
      <x:c r="H410" s="73" t="n">
        <x:v>40</x:v>
      </x:c>
      <x:c r="I410" s="73" t="s">
        <x:v>4473</x:v>
      </x:c>
      <x:c r="J410" s="73" t="n">
        <x:v>2022</x:v>
      </x:c>
      <x:c r="K410" s="73" t="n">
        <x:v>6</x:v>
      </x:c>
      <x:c r="L410" s="73" t="n">
        <x:v>8</x:v>
      </x:c>
      <x:c r="M410" s="73" t="n">
        <x:v>15</x:v>
      </x:c>
      <x:c r="N410" s="73" t="s">
        <x:v>3260</x:v>
      </x:c>
    </x:row>
    <x:row r="411" ht="15" hidden="0">
      <x:c r="A411" s="73" t="s">
        <x:v>4511</x:v>
      </x:c>
      <x:c r="B411" s="73" t="s">
        <x:v>3268</x:v>
      </x:c>
      <x:c r="C411" s="73" t="s">
        <x:v>1701</x:v>
      </x:c>
      <x:c r="D411" s="73" t="s">
        <x:v>4475</x:v>
      </x:c>
      <x:c r="E411" s="73" t="s">
        <x:v>3394</x:v>
      </x:c>
      <x:c r="F411" s="73" t="s">
        <x:v>4476</x:v>
      </x:c>
      <x:c r="G411" s="73" t="n">
        <x:v>18</x:v>
      </x:c>
      <x:c r="H411" s="73" t="n">
        <x:v>35</x:v>
      </x:c>
      <x:c r="I411" s="73" t="s">
        <x:v>4477</x:v>
      </x:c>
      <x:c r="J411" s="73" t="n">
        <x:v>2018</x:v>
      </x:c>
      <x:c r="K411" s="73" t="n">
        <x:v>8</x:v>
      </x:c>
      <x:c r="L411" s="73" t="n">
        <x:v>18</x:v>
      </x:c>
      <x:c r="M411" s="73" t="n">
        <x:v>14</x:v>
      </x:c>
      <x:c r="N411" s="73" t="s">
        <x:v>3260</x:v>
      </x:c>
    </x:row>
    <x:row r="412" ht="15" hidden="0">
      <x:c r="A412" s="73" t="s">
        <x:v>4512</x:v>
      </x:c>
      <x:c r="B412" s="73" t="s">
        <x:v>3265</x:v>
      </x:c>
      <x:c r="C412" s="73" t="s">
        <x:v>1583</x:v>
      </x:c>
      <x:c r="D412" s="73" t="s">
        <x:v>4406</x:v>
      </x:c>
      <x:c r="E412" s="73" t="s">
        <x:v>3390</x:v>
      </x:c>
      <x:c r="F412" s="73" t="s">
        <x:v>4407</x:v>
      </x:c>
      <x:c r="G412" s="73" t="n">
        <x:v>18</x:v>
      </x:c>
      <x:c r="H412" s="73" t="n">
        <x:v>35</x:v>
      </x:c>
      <x:c r="I412" s="73" t="s">
        <x:v>3400</x:v>
      </x:c>
      <x:c r="J412" s="73" t="n">
        <x:v>2015</x:v>
      </x:c>
      <x:c r="K412" s="73" t="n">
        <x:v>11</x:v>
      </x:c>
      <x:c r="L412" s="73" t="n">
        <x:v>8</x:v>
      </x:c>
      <x:c r="M412" s="73" t="n">
        <x:v>10</x:v>
      </x:c>
      <x:c r="N412" s="73" t="s">
        <x:v>3260</x:v>
      </x:c>
    </x:row>
    <x:row r="413" ht="15" hidden="0">
      <x:c r="A413" s="73" t="s">
        <x:v>4513</x:v>
      </x:c>
      <x:c r="B413" s="73" t="s">
        <x:v>3262</x:v>
      </x:c>
      <x:c r="C413" s="73" t="s">
        <x:v>1757</x:v>
      </x:c>
      <x:c r="D413" s="73" t="s">
        <x:v>4514</x:v>
      </x:c>
      <x:c r="E413" s="73" t="s">
        <x:v>3382</x:v>
      </x:c>
      <x:c r="F413" s="73" t="s">
        <x:v>4515</x:v>
      </x:c>
      <x:c r="G413" s="73" t="n">
        <x:v>22</x:v>
      </x:c>
      <x:c r="H413" s="73" t="n">
        <x:v>45</x:v>
      </x:c>
      <x:c r="I413" s="73" t="s">
        <x:v>3387</x:v>
      </x:c>
      <x:c r="J413" s="73" t="n">
        <x:v>2020</x:v>
      </x:c>
      <x:c r="K413" s="73" t="n">
        <x:v>12</x:v>
      </x:c>
      <x:c r="L413" s="73" t="n">
        <x:v>2</x:v>
      </x:c>
      <x:c r="M413" s="73" t="n">
        <x:v>17</x:v>
      </x:c>
      <x:c r="N413" s="73" t="s">
        <x:v>3260</x:v>
      </x:c>
    </x:row>
    <x:row r="414" ht="15" hidden="0">
      <x:c r="A414" s="73" t="s">
        <x:v>4516</x:v>
      </x:c>
      <x:c r="B414" s="73" t="s">
        <x:v>3263</x:v>
      </x:c>
      <x:c r="C414" s="73" t="s">
        <x:v>1762</x:v>
      </x:c>
      <x:c r="D414" s="73" t="s">
        <x:v>4517</x:v>
      </x:c>
      <x:c r="E414" s="73" t="s">
        <x:v>3390</x:v>
      </x:c>
      <x:c r="F414" s="73" t="s">
        <x:v>4518</x:v>
      </x:c>
      <x:c r="G414" s="73" t="n">
        <x:v>28</x:v>
      </x:c>
      <x:c r="H414" s="73" t="n">
        <x:v>55</x:v>
      </x:c>
      <x:c r="I414" s="73" t="s">
        <x:v>4320</x:v>
      </x:c>
      <x:c r="J414" s="73" t="n">
        <x:v>2017</x:v>
      </x:c>
      <x:c r="K414" s="73" t="n">
        <x:v>6</x:v>
      </x:c>
      <x:c r="L414" s="73" t="n">
        <x:v>10</x:v>
      </x:c>
      <x:c r="M414" s="73" t="n">
        <x:v>12</x:v>
      </x:c>
      <x:c r="N414" s="73" t="s">
        <x:v>3260</x:v>
      </x:c>
    </x:row>
    <x:row r="415" ht="15" hidden="0">
      <x:c r="A415" s="73" t="s">
        <x:v>4519</x:v>
      </x:c>
      <x:c r="B415" s="73" t="s">
        <x:v>3316</x:v>
      </x:c>
      <x:c r="C415" s="73" t="s">
        <x:v>1768</x:v>
      </x:c>
      <x:c r="D415" s="73" t="s">
        <x:v>4520</x:v>
      </x:c>
      <x:c r="E415" s="73" t="s">
        <x:v>3394</x:v>
      </x:c>
      <x:c r="F415" s="73" t="s">
        <x:v>4521</x:v>
      </x:c>
      <x:c r="G415" s="73" t="n">
        <x:v>35</x:v>
      </x:c>
      <x:c r="H415" s="73" t="n">
        <x:v>70</x:v>
      </x:c>
      <x:c r="I415" s="73" t="s">
        <x:v>72</x:v>
      </x:c>
      <x:c r="J415" s="73" t="n">
        <x:v>2021</x:v>
      </x:c>
      <x:c r="K415" s="73" t="n">
        <x:v>4</x:v>
      </x:c>
      <x:c r="L415" s="73" t="n">
        <x:v>15</x:v>
      </x:c>
      <x:c r="M415" s="73" t="n">
        <x:v>14</x:v>
      </x:c>
      <x:c r="N415" s="73" t="s">
        <x:v>3260</x:v>
      </x:c>
    </x:row>
    <x:row r="416" ht="15" hidden="0">
      <x:c r="A416" s="73" t="s">
        <x:v>4522</x:v>
      </x:c>
      <x:c r="B416" s="73" t="s">
        <x:v>3350</x:v>
      </x:c>
      <x:c r="C416" s="73" t="s">
        <x:v>1773</x:v>
      </x:c>
      <x:c r="D416" s="73" t="s">
        <x:v>3448</x:v>
      </x:c>
      <x:c r="E416" s="73" t="s">
        <x:v>3382</x:v>
      </x:c>
      <x:c r="F416" s="73" t="s">
        <x:v>4523</x:v>
      </x:c>
      <x:c r="G416" s="73" t="n">
        <x:v>20</x:v>
      </x:c>
      <x:c r="H416" s="73" t="n">
        <x:v>40</x:v>
      </x:c>
      <x:c r="I416" s="73" t="s">
        <x:v>3396</x:v>
      </x:c>
      <x:c r="J416" s="73" t="n">
        <x:v>2019</x:v>
      </x:c>
      <x:c r="K416" s="73" t="n">
        <x:v>9</x:v>
      </x:c>
      <x:c r="L416" s="73" t="n">
        <x:v>28</x:v>
      </x:c>
      <x:c r="M416" s="73" t="n">
        <x:v>19</x:v>
      </x:c>
      <x:c r="N416" s="73" t="s">
        <x:v>3260</x:v>
      </x:c>
    </x:row>
    <x:row r="417" ht="15" hidden="0">
      <x:c r="A417" s="73" t="s">
        <x:v>4524</x:v>
      </x:c>
      <x:c r="B417" s="73" t="s">
        <x:v>3245</x:v>
      </x:c>
      <x:c r="C417" s="73" t="s">
        <x:v>1779</x:v>
      </x:c>
      <x:c r="D417" s="73" t="s">
        <x:v>4525</x:v>
      </x:c>
      <x:c r="E417" s="73" t="s">
        <x:v>3390</x:v>
      </x:c>
      <x:c r="F417" s="73" t="s">
        <x:v>4526</x:v>
      </x:c>
      <x:c r="G417" s="73" t="n">
        <x:v>25</x:v>
      </x:c>
      <x:c r="H417" s="73" t="n">
        <x:v>50</x:v>
      </x:c>
      <x:c r="I417" s="73" t="s">
        <x:v>3404</x:v>
      </x:c>
      <x:c r="J417" s="73" t="n">
        <x:v>2016</x:v>
      </x:c>
      <x:c r="K417" s="73" t="n">
        <x:v>12</x:v>
      </x:c>
      <x:c r="L417" s="73" t="n">
        <x:v>5</x:v>
      </x:c>
      <x:c r="M417" s="73" t="n">
        <x:v>21</x:v>
      </x:c>
      <x:c r="N417" s="73" t="s">
        <x:v>3244</x:v>
      </x:c>
    </x:row>
    <x:row r="418" ht="15" hidden="0">
      <x:c r="A418" s="73" t="s">
        <x:v>4527</x:v>
      </x:c>
      <x:c r="B418" s="73" t="s">
        <x:v>3371</x:v>
      </x:c>
      <x:c r="C418" s="73" t="s">
        <x:v>1785</x:v>
      </x:c>
      <x:c r="D418" s="73" t="s">
        <x:v>4528</x:v>
      </x:c>
      <x:c r="E418" s="73" t="s">
        <x:v>3394</x:v>
      </x:c>
      <x:c r="F418" s="73" t="s">
        <x:v>4529</x:v>
      </x:c>
      <x:c r="G418" s="73" t="n">
        <x:v>30</x:v>
      </x:c>
      <x:c r="H418" s="73" t="n">
        <x:v>60</x:v>
      </x:c>
      <x:c r="I418" s="73" t="s">
        <x:v>3400</x:v>
      </x:c>
      <x:c r="J418" s="73" t="n">
        <x:v>2018</x:v>
      </x:c>
      <x:c r="K418" s="73" t="n">
        <x:v>2</x:v>
      </x:c>
      <x:c r="L418" s="73" t="n">
        <x:v>10</x:v>
      </x:c>
      <x:c r="M418" s="73" t="n">
        <x:v>23</x:v>
      </x:c>
      <x:c r="N418" s="73" t="s">
        <x:v>3260</x:v>
      </x:c>
    </x:row>
    <x:row r="419" ht="15" hidden="0">
      <x:c r="A419" s="73" t="s">
        <x:v>4530</x:v>
      </x:c>
      <x:c r="B419" s="73" t="s">
        <x:v>3264</x:v>
      </x:c>
      <x:c r="C419" s="73" t="s">
        <x:v>1791</x:v>
      </x:c>
      <x:c r="D419" s="73" t="s">
        <x:v>4531</x:v>
      </x:c>
      <x:c r="E419" s="73" t="s">
        <x:v>3382</x:v>
      </x:c>
      <x:c r="F419" s="73" t="s">
        <x:v>4532</x:v>
      </x:c>
      <x:c r="G419" s="73" t="n">
        <x:v>18</x:v>
      </x:c>
      <x:c r="H419" s="73" t="n">
        <x:v>35</x:v>
      </x:c>
      <x:c r="I419" s="73" t="s">
        <x:v>4328</x:v>
      </x:c>
      <x:c r="J419" s="73" t="n">
        <x:v>2023</x:v>
      </x:c>
      <x:c r="K419" s="73" t="n">
        <x:v>2</x:v>
      </x:c>
      <x:c r="L419" s="73" t="n">
        <x:v>15</x:v>
      </x:c>
      <x:c r="M419" s="73" t="n">
        <x:v>8</x:v>
      </x:c>
      <x:c r="N419" s="73" t="s">
        <x:v>3260</x:v>
      </x:c>
    </x:row>
    <x:row r="420" ht="15" hidden="0">
      <x:c r="A420" s="73" t="s">
        <x:v>4533</x:v>
      </x:c>
      <x:c r="B420" s="73" t="s">
        <x:v>3355</x:v>
      </x:c>
      <x:c r="C420" s="73" t="s">
        <x:v>1797</x:v>
      </x:c>
      <x:c r="D420" s="73" t="s">
        <x:v>4534</x:v>
      </x:c>
      <x:c r="E420" s="73" t="s">
        <x:v>3390</x:v>
      </x:c>
      <x:c r="F420" s="73" t="s">
        <x:v>4535</x:v>
      </x:c>
      <x:c r="G420" s="73" t="n">
        <x:v>22</x:v>
      </x:c>
      <x:c r="H420" s="73" t="n">
        <x:v>45</x:v>
      </x:c>
      <x:c r="I420" s="73" t="s">
        <x:v>4324</x:v>
      </x:c>
      <x:c r="J420" s="73" t="n">
        <x:v>2015</x:v>
      </x:c>
      <x:c r="K420" s="73" t="n">
        <x:v>8</x:v>
      </x:c>
      <x:c r="L420" s="73" t="n">
        <x:v>22</x:v>
      </x:c>
      <x:c r="M420" s="73" t="n">
        <x:v>15</x:v>
      </x:c>
      <x:c r="N420" s="73" t="s">
        <x:v>3260</x:v>
      </x:c>
    </x:row>
    <x:row r="421" ht="15" hidden="0">
      <x:c r="A421" s="73" t="s">
        <x:v>4536</x:v>
      </x:c>
      <x:c r="B421" s="73" t="s">
        <x:v>3266</x:v>
      </x:c>
      <x:c r="C421" s="73" t="s">
        <x:v>1803</x:v>
      </x:c>
      <x:c r="D421" s="73" t="s">
        <x:v>4537</x:v>
      </x:c>
      <x:c r="E421" s="73" t="s">
        <x:v>3394</x:v>
      </x:c>
      <x:c r="F421" s="73" t="s">
        <x:v>4538</x:v>
      </x:c>
      <x:c r="G421" s="73" t="n">
        <x:v>28</x:v>
      </x:c>
      <x:c r="H421" s="73" t="n">
        <x:v>55</x:v>
      </x:c>
      <x:c r="I421" s="73" t="s">
        <x:v>4435</x:v>
      </x:c>
      <x:c r="J421" s="73" t="n">
        <x:v>2020</x:v>
      </x:c>
      <x:c r="K421" s="73" t="n">
        <x:v>11</x:v>
      </x:c>
      <x:c r="L421" s="73" t="n">
        <x:v>20</x:v>
      </x:c>
      <x:c r="M421" s="73" t="n">
        <x:v>18</x:v>
      </x:c>
      <x:c r="N421" s="73" t="s">
        <x:v>3260</x:v>
      </x:c>
    </x:row>
    <x:row r="422" ht="15" hidden="0">
      <x:c r="A422" s="73" t="s">
        <x:v>4539</x:v>
      </x:c>
      <x:c r="B422" s="73" t="s">
        <x:v>3213</x:v>
      </x:c>
      <x:c r="C422" s="73" t="s">
        <x:v>1809</x:v>
      </x:c>
      <x:c r="D422" s="73" t="s">
        <x:v>4540</x:v>
      </x:c>
      <x:c r="E422" s="73" t="s">
        <x:v>3390</x:v>
      </x:c>
      <x:c r="F422" s="73" t="s">
        <x:v>4541</x:v>
      </x:c>
      <x:c r="G422" s="73" t="n">
        <x:v>15</x:v>
      </x:c>
      <x:c r="H422" s="73" t="n">
        <x:v>30</x:v>
      </x:c>
      <x:c r="I422" s="73" t="s">
        <x:v>72</x:v>
      </x:c>
      <x:c r="J422" s="73" t="n">
        <x:v>2019</x:v>
      </x:c>
      <x:c r="K422" s="73" t="n">
        <x:v>8</x:v>
      </x:c>
      <x:c r="L422" s="73" t="n">
        <x:v>5</x:v>
      </x:c>
      <x:c r="M422" s="73" t="n">
        <x:v>21</x:v>
      </x:c>
      <x:c r="N422" s="73" t="s">
        <x:v>3189</x:v>
      </x:c>
    </x:row>
    <x:row r="423" ht="15" hidden="0">
      <x:c r="A423" s="73" t="s">
        <x:v>4542</x:v>
      </x:c>
      <x:c r="B423" s="73" t="s">
        <x:v>3191</x:v>
      </x:c>
      <x:c r="C423" s="73" t="s">
        <x:v>1814</x:v>
      </x:c>
      <x:c r="D423" s="73" t="s">
        <x:v>4543</x:v>
      </x:c>
      <x:c r="E423" s="73" t="s">
        <x:v>3382</x:v>
      </x:c>
      <x:c r="F423" s="73" t="s">
        <x:v>4544</x:v>
      </x:c>
      <x:c r="G423" s="73" t="n">
        <x:v>18</x:v>
      </x:c>
      <x:c r="H423" s="73" t="n">
        <x:v>35</x:v>
      </x:c>
      <x:c r="I423" s="73" t="s">
        <x:v>3387</x:v>
      </x:c>
      <x:c r="J423" s="73" t="n">
        <x:v>2021</x:v>
      </x:c>
      <x:c r="K423" s="73" t="n">
        <x:v>2</x:v>
      </x:c>
      <x:c r="L423" s="73" t="n">
        <x:v>12</x:v>
      </x:c>
      <x:c r="M423" s="73" t="n">
        <x:v>16</x:v>
      </x:c>
      <x:c r="N423" s="73" t="s">
        <x:v>3189</x:v>
      </x:c>
    </x:row>
    <x:row r="424" ht="15" hidden="0">
      <x:c r="A424" s="73" t="s">
        <x:v>4545</x:v>
      </x:c>
      <x:c r="B424" s="73" t="s">
        <x:v>3190</x:v>
      </x:c>
      <x:c r="C424" s="73" t="s">
        <x:v>1819</x:v>
      </x:c>
      <x:c r="D424" s="73" t="s">
        <x:v>4546</x:v>
      </x:c>
      <x:c r="E424" s="73" t="s">
        <x:v>3394</x:v>
      </x:c>
      <x:c r="F424" s="73" t="s">
        <x:v>4547</x:v>
      </x:c>
      <x:c r="G424" s="73" t="n">
        <x:v>22</x:v>
      </x:c>
      <x:c r="H424" s="73" t="n">
        <x:v>45</x:v>
      </x:c>
      <x:c r="I424" s="73" t="s">
        <x:v>3396</x:v>
      </x:c>
      <x:c r="J424" s="73" t="n">
        <x:v>2020</x:v>
      </x:c>
      <x:c r="K424" s="73" t="n">
        <x:v>11</x:v>
      </x:c>
      <x:c r="L424" s="73" t="n">
        <x:v>28</x:v>
      </x:c>
      <x:c r="M424" s="73" t="n">
        <x:v>14</x:v>
      </x:c>
      <x:c r="N424" s="73" t="s">
        <x:v>3189</x:v>
      </x:c>
    </x:row>
    <x:row r="425" ht="15" hidden="0">
      <x:c r="A425" s="73" t="s">
        <x:v>4548</x:v>
      </x:c>
      <x:c r="B425" s="73" t="s">
        <x:v>3188</x:v>
      </x:c>
      <x:c r="C425" s="73" t="s">
        <x:v>1824</x:v>
      </x:c>
      <x:c r="D425" s="73" t="s">
        <x:v>4549</x:v>
      </x:c>
      <x:c r="E425" s="73" t="s">
        <x:v>3390</x:v>
      </x:c>
      <x:c r="F425" s="73" t="s">
        <x:v>4550</x:v>
      </x:c>
      <x:c r="G425" s="73" t="n">
        <x:v>28</x:v>
      </x:c>
      <x:c r="H425" s="73" t="n">
        <x:v>55</x:v>
      </x:c>
      <x:c r="I425" s="73" t="s">
        <x:v>3400</x:v>
      </x:c>
      <x:c r="J425" s="73" t="n">
        <x:v>2016</x:v>
      </x:c>
      <x:c r="K425" s="73" t="n">
        <x:v>5</x:v>
      </x:c>
      <x:c r="L425" s="73" t="n">
        <x:v>15</x:v>
      </x:c>
      <x:c r="M425" s="73" t="n">
        <x:v>22</x:v>
      </x:c>
      <x:c r="N425" s="73" t="s">
        <x:v>3189</x:v>
      </x:c>
    </x:row>
    <x:row r="426" ht="15" hidden="0">
      <x:c r="A426" s="73" t="s">
        <x:v>4551</x:v>
      </x:c>
      <x:c r="B426" s="73" t="s">
        <x:v>3201</x:v>
      </x:c>
      <x:c r="C426" s="73" t="s">
        <x:v>1830</x:v>
      </x:c>
      <x:c r="D426" s="73" t="s">
        <x:v>3923</x:v>
      </x:c>
      <x:c r="E426" s="73" t="s">
        <x:v>3382</x:v>
      </x:c>
      <x:c r="F426" s="73" t="s">
        <x:v>4552</x:v>
      </x:c>
      <x:c r="G426" s="73" t="n">
        <x:v>22</x:v>
      </x:c>
      <x:c r="H426" s="73" t="n">
        <x:v>45</x:v>
      </x:c>
      <x:c r="I426" s="73" t="s">
        <x:v>4435</x:v>
      </x:c>
      <x:c r="J426" s="73" t="n">
        <x:v>2018</x:v>
      </x:c>
      <x:c r="K426" s="73" t="n">
        <x:v>9</x:v>
      </x:c>
      <x:c r="L426" s="73" t="n">
        <x:v>10</x:v>
      </x:c>
      <x:c r="M426" s="73" t="n">
        <x:v>13</x:v>
      </x:c>
      <x:c r="N426" s="73" t="s">
        <x:v>3189</x:v>
      </x:c>
    </x:row>
    <x:row r="427" ht="15" hidden="0">
      <x:c r="A427" s="73" t="s">
        <x:v>4553</x:v>
      </x:c>
      <x:c r="B427" s="73" t="s">
        <x:v>3242</x:v>
      </x:c>
      <x:c r="C427" s="73" t="s">
        <x:v>1835</x:v>
      </x:c>
      <x:c r="D427" s="73" t="s">
        <x:v>4554</x:v>
      </x:c>
      <x:c r="E427" s="73" t="s">
        <x:v>3394</x:v>
      </x:c>
      <x:c r="F427" s="73" t="s">
        <x:v>4555</x:v>
      </x:c>
      <x:c r="G427" s="73" t="n">
        <x:v>25</x:v>
      </x:c>
      <x:c r="H427" s="73" t="n">
        <x:v>50</x:v>
      </x:c>
      <x:c r="I427" s="73" t="s">
        <x:v>4324</x:v>
      </x:c>
      <x:c r="J427" s="73" t="n">
        <x:v>2022</x:v>
      </x:c>
      <x:c r="K427" s="73" t="n">
        <x:v>3</x:v>
      </x:c>
      <x:c r="L427" s="73" t="n">
        <x:v>20</x:v>
      </x:c>
      <x:c r="M427" s="73" t="n">
        <x:v>19</x:v>
      </x:c>
      <x:c r="N427" s="73" t="s">
        <x:v>3189</x:v>
      </x:c>
    </x:row>
    <x:row r="428" ht="15" hidden="0">
      <x:c r="A428" s="73" t="s">
        <x:v>4556</x:v>
      </x:c>
      <x:c r="B428" s="73" t="s">
        <x:v>3234</x:v>
      </x:c>
      <x:c r="C428" s="73" t="s">
        <x:v>1840</x:v>
      </x:c>
      <x:c r="D428" s="73" t="s">
        <x:v>4557</x:v>
      </x:c>
      <x:c r="E428" s="73" t="s">
        <x:v>3390</x:v>
      </x:c>
      <x:c r="F428" s="73" t="s">
        <x:v>4558</x:v>
      </x:c>
      <x:c r="G428" s="73" t="n">
        <x:v>30</x:v>
      </x:c>
      <x:c r="H428" s="73" t="n">
        <x:v>60</x:v>
      </x:c>
      <x:c r="I428" s="73" t="s">
        <x:v>3404</x:v>
      </x:c>
      <x:c r="J428" s="73" t="n">
        <x:v>2017</x:v>
      </x:c>
      <x:c r="K428" s="73" t="n">
        <x:v>7</x:v>
      </x:c>
      <x:c r="L428" s="73" t="n">
        <x:v>18</x:v>
      </x:c>
      <x:c r="M428" s="73" t="n">
        <x:v>17</x:v>
      </x:c>
      <x:c r="N428" s="73" t="s">
        <x:v>3189</x:v>
      </x:c>
    </x:row>
    <x:row r="429" ht="15" hidden="0">
      <x:c r="A429" s="73" t="s">
        <x:v>4559</x:v>
      </x:c>
      <x:c r="B429" s="73" t="s">
        <x:v>3200</x:v>
      </x:c>
      <x:c r="C429" s="73" t="s">
        <x:v>1845</x:v>
      </x:c>
      <x:c r="D429" s="73" t="s">
        <x:v>4560</x:v>
      </x:c>
      <x:c r="E429" s="73" t="s">
        <x:v>3382</x:v>
      </x:c>
      <x:c r="F429" s="73" t="s">
        <x:v>4561</x:v>
      </x:c>
      <x:c r="G429" s="73" t="n">
        <x:v>18</x:v>
      </x:c>
      <x:c r="H429" s="73" t="n">
        <x:v>35</x:v>
      </x:c>
      <x:c r="I429" s="73" t="s">
        <x:v>4320</x:v>
      </x:c>
      <x:c r="J429" s="73" t="n">
        <x:v>2018</x:v>
      </x:c>
      <x:c r="K429" s="73" t="n">
        <x:v>12</x:v>
      </x:c>
      <x:c r="L429" s="73" t="n">
        <x:v>15</x:v>
      </x:c>
      <x:c r="M429" s="73" t="n">
        <x:v>10</x:v>
      </x:c>
      <x:c r="N429" s="73" t="s">
        <x:v>3189</x:v>
      </x:c>
    </x:row>
    <x:row r="430" ht="15" hidden="0">
      <x:c r="A430" s="73" t="s">
        <x:v>4562</x:v>
      </x:c>
      <x:c r="B430" s="73" t="s">
        <x:v>3190</x:v>
      </x:c>
      <x:c r="C430" s="73" t="s">
        <x:v>1850</x:v>
      </x:c>
      <x:c r="D430" s="73" t="s">
        <x:v>4563</x:v>
      </x:c>
      <x:c r="E430" s="73" t="s">
        <x:v>3394</x:v>
      </x:c>
      <x:c r="F430" s="73" t="s">
        <x:v>4564</x:v>
      </x:c>
      <x:c r="G430" s="73" t="n">
        <x:v>28</x:v>
      </x:c>
      <x:c r="H430" s="73" t="n">
        <x:v>55</x:v>
      </x:c>
      <x:c r="I430" s="73" t="s">
        <x:v>4443</x:v>
      </x:c>
      <x:c r="J430" s="73" t="n">
        <x:v>2015</x:v>
      </x:c>
      <x:c r="K430" s="73" t="n">
        <x:v>6</x:v>
      </x:c>
      <x:c r="L430" s="73" t="n">
        <x:v>28</x:v>
      </x:c>
      <x:c r="M430" s="73" t="n">
        <x:v>21</x:v>
      </x:c>
      <x:c r="N430" s="73" t="s">
        <x:v>3189</x:v>
      </x:c>
    </x:row>
    <x:row r="431" ht="15" hidden="0">
      <x:c r="A431" s="73" t="s">
        <x:v>4565</x:v>
      </x:c>
      <x:c r="B431" s="73" t="s">
        <x:v>3227</x:v>
      </x:c>
      <x:c r="C431" s="73" t="s">
        <x:v>1856</x:v>
      </x:c>
      <x:c r="D431" s="73" t="s">
        <x:v>4566</x:v>
      </x:c>
      <x:c r="E431" s="73" t="s">
        <x:v>3390</x:v>
      </x:c>
      <x:c r="F431" s="73" t="s">
        <x:v>4567</x:v>
      </x:c>
      <x:c r="G431" s="73" t="n">
        <x:v>35</x:v>
      </x:c>
      <x:c r="H431" s="73" t="n">
        <x:v>70</x:v>
      </x:c>
      <x:c r="I431" s="73" t="s">
        <x:v>4328</x:v>
      </x:c>
      <x:c r="J431" s="73" t="n">
        <x:v>2020</x:v>
      </x:c>
      <x:c r="K431" s="73" t="n">
        <x:v>4</x:v>
      </x:c>
      <x:c r="L431" s="73" t="n">
        <x:v>2</x:v>
      </x:c>
      <x:c r="M431" s="73" t="n">
        <x:v>14</x:v>
      </x:c>
      <x:c r="N431" s="73" t="s">
        <x:v>3189</x:v>
      </x:c>
    </x:row>
    <x:row r="432" ht="15" hidden="0">
      <x:c r="A432" s="73" t="s">
        <x:v>4568</x:v>
      </x:c>
      <x:c r="B432" s="73" t="s">
        <x:v>3222</x:v>
      </x:c>
      <x:c r="C432" s="73" t="s">
        <x:v>1862</x:v>
      </x:c>
      <x:c r="D432" s="73" t="s">
        <x:v>4569</x:v>
      </x:c>
      <x:c r="E432" s="73" t="s">
        <x:v>3382</x:v>
      </x:c>
      <x:c r="F432" s="73" t="s">
        <x:v>4570</x:v>
      </x:c>
      <x:c r="G432" s="73" t="n">
        <x:v>20</x:v>
      </x:c>
      <x:c r="H432" s="73" t="n">
        <x:v>40</x:v>
      </x:c>
      <x:c r="I432" s="73" t="s">
        <x:v>4455</x:v>
      </x:c>
      <x:c r="J432" s="73" t="n">
        <x:v>2019</x:v>
      </x:c>
      <x:c r="K432" s="73" t="n">
        <x:v>10</x:v>
      </x:c>
      <x:c r="L432" s="73" t="n">
        <x:v>8</x:v>
      </x:c>
      <x:c r="M432" s="73" t="n">
        <x:v>18</x:v>
      </x:c>
      <x:c r="N432" s="73" t="s">
        <x:v>3189</x:v>
      </x:c>
    </x:row>
    <x:row r="433" ht="15" hidden="0">
      <x:c r="A433" s="73" t="s">
        <x:v>4571</x:v>
      </x:c>
      <x:c r="B433" s="73" t="s">
        <x:v>3354</x:v>
      </x:c>
      <x:c r="C433" s="73" t="s">
        <x:v>1868</x:v>
      </x:c>
      <x:c r="D433" s="73" t="s">
        <x:v>4572</x:v>
      </x:c>
      <x:c r="E433" s="73" t="s">
        <x:v>3394</x:v>
      </x:c>
      <x:c r="F433" s="73" t="s">
        <x:v>4573</x:v>
      </x:c>
      <x:c r="G433" s="73" t="n">
        <x:v>22</x:v>
      </x:c>
      <x:c r="H433" s="73" t="n">
        <x:v>45</x:v>
      </x:c>
      <x:c r="I433" s="73" t="s">
        <x:v>4447</x:v>
      </x:c>
      <x:c r="J433" s="73" t="n">
        <x:v>2016</x:v>
      </x:c>
      <x:c r="K433" s="73" t="n">
        <x:v>11</x:v>
      </x:c>
      <x:c r="L433" s="73" t="n">
        <x:v>22</x:v>
      </x:c>
      <x:c r="M433" s="73" t="n">
        <x:v>9</x:v>
      </x:c>
      <x:c r="N433" s="73" t="s">
        <x:v>3260</x:v>
      </x:c>
    </x:row>
    <x:row r="434" ht="15" hidden="0">
      <x:c r="A434" s="73" t="s">
        <x:v>4574</x:v>
      </x:c>
      <x:c r="B434" s="73" t="s">
        <x:v>3188</x:v>
      </x:c>
      <x:c r="C434" s="73" t="s">
        <x:v>1873</x:v>
      </x:c>
      <x:c r="D434" s="73" t="s">
        <x:v>4575</x:v>
      </x:c>
      <x:c r="E434" s="73" t="s">
        <x:v>3390</x:v>
      </x:c>
      <x:c r="F434" s="73" t="s">
        <x:v>4576</x:v>
      </x:c>
      <x:c r="G434" s="73" t="n">
        <x:v>40</x:v>
      </x:c>
      <x:c r="H434" s="73" t="n">
        <x:v>80</x:v>
      </x:c>
      <x:c r="I434" s="73" t="s">
        <x:v>4451</x:v>
      </x:c>
      <x:c r="J434" s="73" t="n">
        <x:v>2022</x:v>
      </x:c>
      <x:c r="K434" s="73" t="n">
        <x:v>8</x:v>
      </x:c>
      <x:c r="L434" s="73" t="n">
        <x:v>18</x:v>
      </x:c>
      <x:c r="M434" s="73" t="n">
        <x:v>22</x:v>
      </x:c>
      <x:c r="N434" s="73" t="s">
        <x:v>3189</x:v>
      </x:c>
    </x:row>
    <x:row r="435" ht="15" hidden="0">
      <x:c r="A435" s="73" t="s">
        <x:v>4577</x:v>
      </x:c>
      <x:c r="B435" s="73" t="s">
        <x:v>3198</x:v>
      </x:c>
      <x:c r="C435" s="73" t="s">
        <x:v>1879</x:v>
      </x:c>
      <x:c r="D435" s="73" t="s">
        <x:v>4578</x:v>
      </x:c>
      <x:c r="E435" s="73" t="s">
        <x:v>3382</x:v>
      </x:c>
      <x:c r="F435" s="73" t="s">
        <x:v>4579</x:v>
      </x:c>
      <x:c r="G435" s="73" t="n">
        <x:v>18</x:v>
      </x:c>
      <x:c r="H435" s="73" t="n">
        <x:v>35</x:v>
      </x:c>
      <x:c r="I435" s="73" t="s">
        <x:v>3396</x:v>
      </x:c>
      <x:c r="J435" s="73" t="n">
        <x:v>2017</x:v>
      </x:c>
      <x:c r="K435" s="73" t="n">
        <x:v>3</x:v>
      </x:c>
      <x:c r="L435" s="73" t="n">
        <x:v>12</x:v>
      </x:c>
      <x:c r="M435" s="73" t="n">
        <x:v>23</x:v>
      </x:c>
      <x:c r="N435" s="73" t="s">
        <x:v>3189</x:v>
      </x:c>
    </x:row>
    <x:row r="436" ht="15" hidden="0">
      <x:c r="A436" s="73" t="s">
        <x:v>4580</x:v>
      </x:c>
      <x:c r="B436" s="73" t="s">
        <x:v>3202</x:v>
      </x:c>
      <x:c r="C436" s="73" t="s">
        <x:v>1883</x:v>
      </x:c>
      <x:c r="D436" s="73" t="s">
        <x:v>4581</x:v>
      </x:c>
      <x:c r="E436" s="73" t="s">
        <x:v>3394</x:v>
      </x:c>
      <x:c r="F436" s="73" t="s">
        <x:v>4582</x:v>
      </x:c>
      <x:c r="G436" s="73" t="n">
        <x:v>25</x:v>
      </x:c>
      <x:c r="H436" s="73" t="n">
        <x:v>50</x:v>
      </x:c>
      <x:c r="I436" s="73" t="s">
        <x:v>3400</x:v>
      </x:c>
      <x:c r="J436" s="73" t="n">
        <x:v>2015</x:v>
      </x:c>
      <x:c r="K436" s="73" t="n">
        <x:v>12</x:v>
      </x:c>
      <x:c r="L436" s="73" t="n">
        <x:v>15</x:v>
      </x:c>
      <x:c r="M436" s="73" t="n">
        <x:v>16</x:v>
      </x:c>
      <x:c r="N436" s="73" t="s">
        <x:v>3189</x:v>
      </x:c>
    </x:row>
    <x:row r="437" ht="15" hidden="0">
      <x:c r="A437" s="73" t="s">
        <x:v>4583</x:v>
      </x:c>
      <x:c r="B437" s="73" t="s">
        <x:v>3235</x:v>
      </x:c>
      <x:c r="C437" s="73" t="s">
        <x:v>1888</x:v>
      </x:c>
      <x:c r="D437" s="73" t="s">
        <x:v>4584</x:v>
      </x:c>
      <x:c r="E437" s="73" t="s">
        <x:v>3390</x:v>
      </x:c>
      <x:c r="F437" s="73" t="s">
        <x:v>4585</x:v>
      </x:c>
      <x:c r="G437" s="73" t="n">
        <x:v>35</x:v>
      </x:c>
      <x:c r="H437" s="73" t="n">
        <x:v>70</x:v>
      </x:c>
      <x:c r="I437" s="73" t="s">
        <x:v>3387</x:v>
      </x:c>
      <x:c r="J437" s="73" t="n">
        <x:v>2021</x:v>
      </x:c>
      <x:c r="K437" s="73" t="n">
        <x:v>9</x:v>
      </x:c>
      <x:c r="L437" s="73" t="n">
        <x:v>5</x:v>
      </x:c>
      <x:c r="M437" s="73" t="n">
        <x:v>13</x:v>
      </x:c>
      <x:c r="N437" s="73" t="s">
        <x:v>3189</x:v>
      </x:c>
    </x:row>
    <x:row r="438" ht="15" hidden="0">
      <x:c r="A438" s="73" t="s">
        <x:v>4586</x:v>
      </x:c>
      <x:c r="B438" s="73" t="s">
        <x:v>3230</x:v>
      </x:c>
      <x:c r="C438" s="73" t="s">
        <x:v>1893</x:v>
      </x:c>
      <x:c r="D438" s="73" t="s">
        <x:v>4587</x:v>
      </x:c>
      <x:c r="E438" s="73" t="s">
        <x:v>3382</x:v>
      </x:c>
      <x:c r="F438" s="73" t="s">
        <x:v>4588</x:v>
      </x:c>
      <x:c r="G438" s="73" t="n">
        <x:v>18</x:v>
      </x:c>
      <x:c r="H438" s="73" t="n">
        <x:v>35</x:v>
      </x:c>
      <x:c r="I438" s="73" t="s">
        <x:v>4435</x:v>
      </x:c>
      <x:c r="J438" s="73" t="n">
        <x:v>2018</x:v>
      </x:c>
      <x:c r="K438" s="73" t="n">
        <x:v>5</x:v>
      </x:c>
      <x:c r="L438" s="73" t="n">
        <x:v>22</x:v>
      </x:c>
      <x:c r="M438" s="73" t="n">
        <x:v>20</x:v>
      </x:c>
      <x:c r="N438" s="73" t="s">
        <x:v>3189</x:v>
      </x:c>
    </x:row>
    <x:row r="439" ht="15" hidden="0">
      <x:c r="A439" s="73" t="s">
        <x:v>4589</x:v>
      </x:c>
      <x:c r="B439" s="73" t="s">
        <x:v>3232</x:v>
      </x:c>
      <x:c r="C439" s="73" t="s">
        <x:v>1899</x:v>
      </x:c>
      <x:c r="D439" s="73" t="s">
        <x:v>4590</x:v>
      </x:c>
      <x:c r="E439" s="73" t="s">
        <x:v>3394</x:v>
      </x:c>
      <x:c r="F439" s="73" t="s">
        <x:v>4591</x:v>
      </x:c>
      <x:c r="G439" s="73" t="n">
        <x:v>28</x:v>
      </x:c>
      <x:c r="H439" s="73" t="n">
        <x:v>55</x:v>
      </x:c>
      <x:c r="I439" s="73" t="s">
        <x:v>72</x:v>
      </x:c>
      <x:c r="J439" s="73" t="n">
        <x:v>2016</x:v>
      </x:c>
      <x:c r="K439" s="73" t="n">
        <x:v>7</x:v>
      </x:c>
      <x:c r="L439" s="73" t="n">
        <x:v>10</x:v>
      </x:c>
      <x:c r="M439" s="73" t="n">
        <x:v>18</x:v>
      </x:c>
      <x:c r="N439" s="73" t="s">
        <x:v>3189</x:v>
      </x:c>
    </x:row>
    <x:row r="440" ht="15" hidden="0">
      <x:c r="A440" s="73" t="s">
        <x:v>4592</x:v>
      </x:c>
      <x:c r="B440" s="73" t="s">
        <x:v>3233</x:v>
      </x:c>
      <x:c r="C440" s="73" t="s">
        <x:v>1905</x:v>
      </x:c>
      <x:c r="D440" s="73" t="s">
        <x:v>4593</x:v>
      </x:c>
      <x:c r="E440" s="73" t="s">
        <x:v>3390</x:v>
      </x:c>
      <x:c r="F440" s="73" t="s">
        <x:v>4594</x:v>
      </x:c>
      <x:c r="G440" s="73" t="n">
        <x:v>22</x:v>
      </x:c>
      <x:c r="H440" s="73" t="n">
        <x:v>45</x:v>
      </x:c>
      <x:c r="I440" s="73" t="s">
        <x:v>4320</x:v>
      </x:c>
      <x:c r="J440" s="73" t="n">
        <x:v>2019</x:v>
      </x:c>
      <x:c r="K440" s="73" t="n">
        <x:v>4</x:v>
      </x:c>
      <x:c r="L440" s="73" t="n">
        <x:v>30</x:v>
      </x:c>
      <x:c r="M440" s="73" t="n">
        <x:v>14</x:v>
      </x:c>
      <x:c r="N440" s="73" t="s">
        <x:v>3189</x:v>
      </x:c>
    </x:row>
    <x:row r="441" ht="15" hidden="0">
      <x:c r="A441" s="73" t="s">
        <x:v>4595</x:v>
      </x:c>
      <x:c r="B441" s="73" t="s">
        <x:v>3240</x:v>
      </x:c>
      <x:c r="C441" s="73" t="s">
        <x:v>1911</x:v>
      </x:c>
      <x:c r="D441" s="73" t="s">
        <x:v>4596</x:v>
      </x:c>
      <x:c r="E441" s="73" t="s">
        <x:v>3382</x:v>
      </x:c>
      <x:c r="F441" s="73" t="s">
        <x:v>4597</x:v>
      </x:c>
      <x:c r="G441" s="73" t="n">
        <x:v>20</x:v>
      </x:c>
      <x:c r="H441" s="73" t="n">
        <x:v>40</x:v>
      </x:c>
      <x:c r="I441" s="73" t="s">
        <x:v>4324</x:v>
      </x:c>
      <x:c r="J441" s="73" t="n">
        <x:v>2022</x:v>
      </x:c>
      <x:c r="K441" s="73" t="n">
        <x:v>1</x:v>
      </x:c>
      <x:c r="L441" s="73" t="n">
        <x:v>8</x:v>
      </x:c>
      <x:c r="M441" s="73" t="n">
        <x:v>11</x:v>
      </x:c>
      <x:c r="N441" s="73" t="s">
        <x:v>3189</x:v>
      </x:c>
    </x:row>
    <x:row r="442" ht="15" hidden="0">
      <x:c r="A442" s="73" t="s">
        <x:v>4598</x:v>
      </x:c>
      <x:c r="B442" s="73" t="s">
        <x:v>3206</x:v>
      </x:c>
      <x:c r="C442" s="73" t="s">
        <x:v>1917</x:v>
      </x:c>
      <x:c r="D442" s="73" t="s">
        <x:v>4599</x:v>
      </x:c>
      <x:c r="E442" s="73" t="s">
        <x:v>3382</x:v>
      </x:c>
      <x:c r="F442" s="73" t="s">
        <x:v>4600</x:v>
      </x:c>
      <x:c r="G442" s="73" t="n">
        <x:v>20</x:v>
      </x:c>
      <x:c r="H442" s="73" t="n">
        <x:v>40</x:v>
      </x:c>
      <x:c r="I442" s="73" t="s">
        <x:v>3400</x:v>
      </x:c>
      <x:c r="J442" s="73" t="n">
        <x:v>2017</x:v>
      </x:c>
      <x:c r="K442" s="73" t="n">
        <x:v>9</x:v>
      </x:c>
      <x:c r="L442" s="73" t="n">
        <x:v>10</x:v>
      </x:c>
      <x:c r="M442" s="73" t="n">
        <x:v>19</x:v>
      </x:c>
      <x:c r="N442" s="73" t="s">
        <x:v>3189</x:v>
      </x:c>
    </x:row>
    <x:row r="443" ht="15" hidden="0">
      <x:c r="A443" s="73" t="s">
        <x:v>4601</x:v>
      </x:c>
      <x:c r="B443" s="73" t="s">
        <x:v>3200</x:v>
      </x:c>
      <x:c r="C443" s="73" t="s">
        <x:v>1922</x:v>
      </x:c>
      <x:c r="D443" s="73" t="s">
        <x:v>4602</x:v>
      </x:c>
      <x:c r="E443" s="73" t="s">
        <x:v>3390</x:v>
      </x:c>
      <x:c r="F443" s="73" t="s">
        <x:v>4603</x:v>
      </x:c>
      <x:c r="G443" s="73" t="n">
        <x:v>25</x:v>
      </x:c>
      <x:c r="H443" s="73" t="n">
        <x:v>50</x:v>
      </x:c>
      <x:c r="I443" s="73" t="s">
        <x:v>3387</x:v>
      </x:c>
      <x:c r="J443" s="73" t="n">
        <x:v>2022</x:v>
      </x:c>
      <x:c r="K443" s="73" t="n">
        <x:v>4</x:v>
      </x:c>
      <x:c r="L443" s="73" t="n">
        <x:v>18</x:v>
      </x:c>
      <x:c r="M443" s="73" t="n">
        <x:v>11</x:v>
      </x:c>
      <x:c r="N443" s="73" t="s">
        <x:v>3189</x:v>
      </x:c>
    </x:row>
    <x:row r="444" ht="15" hidden="0">
      <x:c r="A444" s="73" t="s">
        <x:v>4604</x:v>
      </x:c>
      <x:c r="B444" s="73" t="s">
        <x:v>3190</x:v>
      </x:c>
      <x:c r="C444" s="73" t="s">
        <x:v>1927</x:v>
      </x:c>
      <x:c r="D444" s="73" t="s">
        <x:v>4605</x:v>
      </x:c>
      <x:c r="E444" s="73" t="s">
        <x:v>3394</x:v>
      </x:c>
      <x:c r="F444" s="73" t="s">
        <x:v>4606</x:v>
      </x:c>
      <x:c r="G444" s="73" t="n">
        <x:v>18</x:v>
      </x:c>
      <x:c r="H444" s="73" t="n">
        <x:v>35</x:v>
      </x:c>
      <x:c r="I444" s="73" t="s">
        <x:v>72</x:v>
      </x:c>
      <x:c r="J444" s="73" t="n">
        <x:v>2018</x:v>
      </x:c>
      <x:c r="K444" s="73" t="n">
        <x:v>12</x:v>
      </x:c>
      <x:c r="L444" s="73" t="n">
        <x:v>5</x:v>
      </x:c>
      <x:c r="M444" s="73" t="n">
        <x:v>21</x:v>
      </x:c>
      <x:c r="N444" s="73" t="s">
        <x:v>3189</x:v>
      </x:c>
    </x:row>
    <x:row r="445" ht="15" hidden="0">
      <x:c r="A445" s="73" t="s">
        <x:v>4607</x:v>
      </x:c>
      <x:c r="B445" s="73" t="s">
        <x:v>3191</x:v>
      </x:c>
      <x:c r="C445" s="73" t="s">
        <x:v>1931</x:v>
      </x:c>
      <x:c r="D445" s="73" t="s">
        <x:v>4608</x:v>
      </x:c>
      <x:c r="E445" s="73" t="s">
        <x:v>3382</x:v>
      </x:c>
      <x:c r="F445" s="73" t="s">
        <x:v>4609</x:v>
      </x:c>
      <x:c r="G445" s="73" t="n">
        <x:v>22</x:v>
      </x:c>
      <x:c r="H445" s="73" t="n">
        <x:v>45</x:v>
      </x:c>
      <x:c r="I445" s="73" t="s">
        <x:v>3396</x:v>
      </x:c>
      <x:c r="J445" s="73" t="n">
        <x:v>2016</x:v>
      </x:c>
      <x:c r="K445" s="73" t="n">
        <x:v>6</x:v>
      </x:c>
      <x:c r="L445" s="73" t="n">
        <x:v>28</x:v>
      </x:c>
      <x:c r="M445" s="73" t="n">
        <x:v>14</x:v>
      </x:c>
      <x:c r="N445" s="73" t="s">
        <x:v>3189</x:v>
      </x:c>
    </x:row>
    <x:row r="446" ht="15" hidden="0">
      <x:c r="A446" s="73" t="s">
        <x:v>4610</x:v>
      </x:c>
      <x:c r="B446" s="73" t="s">
        <x:v>3202</x:v>
      </x:c>
      <x:c r="C446" s="73" t="s">
        <x:v>1935</x:v>
      </x:c>
      <x:c r="D446" s="73" t="s">
        <x:v>4611</x:v>
      </x:c>
      <x:c r="E446" s="73" t="s">
        <x:v>3390</x:v>
      </x:c>
      <x:c r="F446" s="73" t="s">
        <x:v>4612</x:v>
      </x:c>
      <x:c r="G446" s="73" t="n">
        <x:v>15</x:v>
      </x:c>
      <x:c r="H446" s="73" t="n">
        <x:v>30</x:v>
      </x:c>
      <x:c r="I446" s="73" t="s">
        <x:v>4435</x:v>
      </x:c>
      <x:c r="J446" s="73" t="n">
        <x:v>2019</x:v>
      </x:c>
      <x:c r="K446" s="73" t="n">
        <x:v>10</x:v>
      </x:c>
      <x:c r="L446" s="73" t="n">
        <x:v>22</x:v>
      </x:c>
      <x:c r="M446" s="73" t="n">
        <x:v>17</x:v>
      </x:c>
      <x:c r="N446" s="73" t="s">
        <x:v>3189</x:v>
      </x:c>
    </x:row>
    <x:row r="447" ht="15" hidden="0">
      <x:c r="A447" s="73" t="s">
        <x:v>4613</x:v>
      </x:c>
      <x:c r="B447" s="73" t="s">
        <x:v>3206</x:v>
      </x:c>
      <x:c r="C447" s="73" t="s">
        <x:v>1940</x:v>
      </x:c>
      <x:c r="D447" s="73" t="s">
        <x:v>4614</x:v>
      </x:c>
      <x:c r="E447" s="73" t="s">
        <x:v>3394</x:v>
      </x:c>
      <x:c r="F447" s="73" t="s">
        <x:v>4615</x:v>
      </x:c>
      <x:c r="G447" s="73" t="n">
        <x:v>28</x:v>
      </x:c>
      <x:c r="H447" s="73" t="n">
        <x:v>55</x:v>
      </x:c>
      <x:c r="I447" s="73" t="s">
        <x:v>4324</x:v>
      </x:c>
      <x:c r="J447" s="73" t="n">
        <x:v>2021</x:v>
      </x:c>
      <x:c r="K447" s="73" t="n">
        <x:v>3</x:v>
      </x:c>
      <x:c r="L447" s="73" t="n">
        <x:v>15</x:v>
      </x:c>
      <x:c r="M447" s="73" t="n">
        <x:v>22</x:v>
      </x:c>
      <x:c r="N447" s="73" t="s">
        <x:v>3189</x:v>
      </x:c>
    </x:row>
    <x:row r="448" ht="15" hidden="0">
      <x:c r="A448" s="73" t="s">
        <x:v>4616</x:v>
      </x:c>
      <x:c r="B448" s="73" t="s">
        <x:v>3213</x:v>
      </x:c>
      <x:c r="C448" s="73" t="s">
        <x:v>1946</x:v>
      </x:c>
      <x:c r="D448" s="73" t="s">
        <x:v>4617</x:v>
      </x:c>
      <x:c r="E448" s="73" t="s">
        <x:v>3382</x:v>
      </x:c>
      <x:c r="F448" s="73" t="s">
        <x:v>4618</x:v>
      </x:c>
      <x:c r="G448" s="73" t="n">
        <x:v>22</x:v>
      </x:c>
      <x:c r="H448" s="73" t="n">
        <x:v>45</x:v>
      </x:c>
      <x:c r="I448" s="73" t="s">
        <x:v>4320</x:v>
      </x:c>
      <x:c r="J448" s="73" t="n">
        <x:v>2017</x:v>
      </x:c>
      <x:c r="K448" s="73" t="n">
        <x:v>8</x:v>
      </x:c>
      <x:c r="L448" s="73" t="n">
        <x:v>10</x:v>
      </x:c>
      <x:c r="M448" s="73" t="n">
        <x:v>19</x:v>
      </x:c>
      <x:c r="N448" s="73" t="s">
        <x:v>3189</x:v>
      </x:c>
    </x:row>
    <x:row r="449" ht="15" hidden="0">
      <x:c r="A449" s="73" t="s">
        <x:v>4619</x:v>
      </x:c>
      <x:c r="B449" s="73" t="s">
        <x:v>3190</x:v>
      </x:c>
      <x:c r="C449" s="73" t="s">
        <x:v>1951</x:v>
      </x:c>
      <x:c r="D449" s="73" t="s">
        <x:v>4620</x:v>
      </x:c>
      <x:c r="E449" s="73" t="s">
        <x:v>3390</x:v>
      </x:c>
      <x:c r="F449" s="73" t="s">
        <x:v>4621</x:v>
      </x:c>
      <x:c r="G449" s="73" t="n">
        <x:v>30</x:v>
      </x:c>
      <x:c r="H449" s="73" t="n">
        <x:v>60</x:v>
      </x:c>
      <x:c r="I449" s="73" t="s">
        <x:v>3404</x:v>
      </x:c>
      <x:c r="J449" s="73" t="n">
        <x:v>2023</x:v>
      </x:c>
      <x:c r="K449" s="73" t="n">
        <x:v>1</x:v>
      </x:c>
      <x:c r="L449" s="73" t="n">
        <x:v>28</x:v>
      </x:c>
      <x:c r="M449" s="73" t="n">
        <x:v>14</x:v>
      </x:c>
      <x:c r="N449" s="73" t="s">
        <x:v>3189</x:v>
      </x:c>
    </x:row>
    <x:row r="450" ht="15" hidden="0">
      <x:c r="A450" s="73" t="s">
        <x:v>4622</x:v>
      </x:c>
      <x:c r="B450" s="73" t="s">
        <x:v>3201</x:v>
      </x:c>
      <x:c r="C450" s="73" t="s">
        <x:v>1956</x:v>
      </x:c>
      <x:c r="D450" s="73" t="s">
        <x:v>4623</x:v>
      </x:c>
      <x:c r="E450" s="73" t="s">
        <x:v>3394</x:v>
      </x:c>
      <x:c r="F450" s="73" t="s">
        <x:v>4624</x:v>
      </x:c>
      <x:c r="G450" s="73" t="n">
        <x:v>25</x:v>
      </x:c>
      <x:c r="H450" s="73" t="n">
        <x:v>50</x:v>
      </x:c>
      <x:c r="I450" s="73" t="s">
        <x:v>4443</x:v>
      </x:c>
      <x:c r="J450" s="73" t="n">
        <x:v>2016</x:v>
      </x:c>
      <x:c r="K450" s="73" t="n">
        <x:v>12</x:v>
      </x:c>
      <x:c r="L450" s="73" t="n">
        <x:v>12</x:v>
      </x:c>
      <x:c r="M450" s="73" t="n">
        <x:v>10</x:v>
      </x:c>
      <x:c r="N450" s="73" t="s">
        <x:v>3189</x:v>
      </x:c>
    </x:row>
    <x:row r="451" ht="15" hidden="0">
      <x:c r="A451" s="73" t="s">
        <x:v>4625</x:v>
      </x:c>
      <x:c r="B451" s="73" t="s">
        <x:v>3316</x:v>
      </x:c>
      <x:c r="C451" s="73" t="s">
        <x:v>1962</x:v>
      </x:c>
      <x:c r="D451" s="73" t="s">
        <x:v>4626</x:v>
      </x:c>
      <x:c r="E451" s="73" t="s">
        <x:v>3382</x:v>
      </x:c>
      <x:c r="F451" s="73" t="s">
        <x:v>4627</x:v>
      </x:c>
      <x:c r="G451" s="73" t="n">
        <x:v>35</x:v>
      </x:c>
      <x:c r="H451" s="73" t="n">
        <x:v>70</x:v>
      </x:c>
      <x:c r="I451" s="73" t="s">
        <x:v>4328</x:v>
      </x:c>
      <x:c r="J451" s="73" t="n">
        <x:v>2020</x:v>
      </x:c>
      <x:c r="K451" s="73" t="n">
        <x:v>7</x:v>
      </x:c>
      <x:c r="L451" s="73" t="n">
        <x:v>18</x:v>
      </x:c>
      <x:c r="M451" s="73" t="n">
        <x:v>15</x:v>
      </x:c>
      <x:c r="N451" s="73" t="s">
        <x:v>3260</x:v>
      </x:c>
    </x:row>
    <x:row r="452" ht="15" hidden="0">
      <x:c r="A452" s="73" t="s">
        <x:v>4628</x:v>
      </x:c>
      <x:c r="B452" s="73" t="s">
        <x:v>3227</x:v>
      </x:c>
      <x:c r="C452" s="73" t="s">
        <x:v>1967</x:v>
      </x:c>
      <x:c r="D452" s="73" t="s">
        <x:v>4629</x:v>
      </x:c>
      <x:c r="E452" s="73" t="s">
        <x:v>3390</x:v>
      </x:c>
      <x:c r="F452" s="73" t="s">
        <x:v>4630</x:v>
      </x:c>
      <x:c r="G452" s="73" t="n">
        <x:v>30</x:v>
      </x:c>
      <x:c r="H452" s="73" t="n">
        <x:v>60</x:v>
      </x:c>
      <x:c r="I452" s="73" t="s">
        <x:v>4451</x:v>
      </x:c>
      <x:c r="J452" s="73" t="n">
        <x:v>2022</x:v>
      </x:c>
      <x:c r="K452" s="73" t="n">
        <x:v>5</x:v>
      </x:c>
      <x:c r="L452" s="73" t="n">
        <x:v>20</x:v>
      </x:c>
      <x:c r="M452" s="73" t="n">
        <x:v>20</x:v>
      </x:c>
      <x:c r="N452" s="73" t="s">
        <x:v>3189</x:v>
      </x:c>
    </x:row>
    <x:row r="453" ht="15" hidden="0">
      <x:c r="A453" s="73" t="s">
        <x:v>4631</x:v>
      </x:c>
      <x:c r="B453" s="73" t="s">
        <x:v>3200</x:v>
      </x:c>
      <x:c r="C453" s="73" t="s">
        <x:v>1971</x:v>
      </x:c>
      <x:c r="D453" s="73" t="s">
        <x:v>4632</x:v>
      </x:c>
      <x:c r="E453" s="73" t="s">
        <x:v>3382</x:v>
      </x:c>
      <x:c r="F453" s="73" t="s">
        <x:v>4633</x:v>
      </x:c>
      <x:c r="G453" s="73" t="n">
        <x:v>18</x:v>
      </x:c>
      <x:c r="H453" s="73" t="n">
        <x:v>35</x:v>
      </x:c>
      <x:c r="I453" s="73" t="s">
        <x:v>4455</x:v>
      </x:c>
      <x:c r="J453" s="73" t="n">
        <x:v>2019</x:v>
      </x:c>
      <x:c r="K453" s="73" t="n">
        <x:v>11</x:v>
      </x:c>
      <x:c r="L453" s="73" t="n">
        <x:v>8</x:v>
      </x:c>
      <x:c r="M453" s="73" t="n">
        <x:v>14</x:v>
      </x:c>
      <x:c r="N453" s="73" t="s">
        <x:v>3189</x:v>
      </x:c>
    </x:row>
    <x:row r="454" ht="15" hidden="0">
      <x:c r="A454" s="73" t="s">
        <x:v>4634</x:v>
      </x:c>
      <x:c r="B454" s="73" t="s">
        <x:v>3188</x:v>
      </x:c>
      <x:c r="C454" s="73" t="s">
        <x:v>1976</x:v>
      </x:c>
      <x:c r="D454" s="73" t="s">
        <x:v>4635</x:v>
      </x:c>
      <x:c r="E454" s="73" t="s">
        <x:v>3394</x:v>
      </x:c>
      <x:c r="F454" s="73" t="s">
        <x:v>4636</x:v>
      </x:c>
      <x:c r="G454" s="73" t="n">
        <x:v>28</x:v>
      </x:c>
      <x:c r="H454" s="73" t="n">
        <x:v>55</x:v>
      </x:c>
      <x:c r="I454" s="73" t="s">
        <x:v>3400</x:v>
      </x:c>
      <x:c r="J454" s="73" t="n">
        <x:v>2017</x:v>
      </x:c>
      <x:c r="K454" s="73" t="n">
        <x:v>3</x:v>
      </x:c>
      <x:c r="L454" s="73" t="n">
        <x:v>28</x:v>
      </x:c>
      <x:c r="M454" s="73" t="n">
        <x:v>22</x:v>
      </x:c>
      <x:c r="N454" s="73" t="s">
        <x:v>3189</x:v>
      </x:c>
    </x:row>
    <x:row r="455" ht="15" hidden="0">
      <x:c r="A455" s="73" t="s">
        <x:v>4637</x:v>
      </x:c>
      <x:c r="B455" s="73" t="s">
        <x:v>3230</x:v>
      </x:c>
      <x:c r="C455" s="73" t="s">
        <x:v>1981</x:v>
      </x:c>
      <x:c r="D455" s="73" t="s">
        <x:v>4638</x:v>
      </x:c>
      <x:c r="E455" s="73" t="s">
        <x:v>3390</x:v>
      </x:c>
      <x:c r="F455" s="73" t="s">
        <x:v>4639</x:v>
      </x:c>
      <x:c r="G455" s="73" t="n">
        <x:v>22</x:v>
      </x:c>
      <x:c r="H455" s="73" t="n">
        <x:v>45</x:v>
      </x:c>
      <x:c r="I455" s="73" t="s">
        <x:v>3387</x:v>
      </x:c>
      <x:c r="J455" s="73" t="n">
        <x:v>2020</x:v>
      </x:c>
      <x:c r="K455" s="73" t="n">
        <x:v>9</x:v>
      </x:c>
      <x:c r="L455" s="73" t="n">
        <x:v>15</x:v>
      </x:c>
      <x:c r="M455" s="73" t="n">
        <x:v>18</x:v>
      </x:c>
      <x:c r="N455" s="73" t="s">
        <x:v>3189</x:v>
      </x:c>
    </x:row>
    <x:row r="456" ht="15" hidden="0">
      <x:c r="A456" s="73" t="s">
        <x:v>4640</x:v>
      </x:c>
      <x:c r="B456" s="73" t="s">
        <x:v>3206</x:v>
      </x:c>
      <x:c r="C456" s="73" t="s">
        <x:v>1985</x:v>
      </x:c>
      <x:c r="D456" s="73" t="s">
        <x:v>4641</x:v>
      </x:c>
      <x:c r="E456" s="73" t="s">
        <x:v>3382</x:v>
      </x:c>
      <x:c r="F456" s="73" t="s">
        <x:v>4642</x:v>
      </x:c>
      <x:c r="G456" s="73" t="n">
        <x:v>20</x:v>
      </x:c>
      <x:c r="H456" s="73" t="n">
        <x:v>40</x:v>
      </x:c>
      <x:c r="I456" s="73" t="s">
        <x:v>3396</x:v>
      </x:c>
      <x:c r="J456" s="73" t="n">
        <x:v>2018</x:v>
      </x:c>
      <x:c r="K456" s="73" t="n">
        <x:v>6</x:v>
      </x:c>
      <x:c r="L456" s="73" t="n">
        <x:v>10</x:v>
      </x:c>
      <x:c r="M456" s="73" t="n">
        <x:v>13</x:v>
      </x:c>
      <x:c r="N456" s="73" t="s">
        <x:v>3189</x:v>
      </x:c>
    </x:row>
    <x:row r="457" ht="15" hidden="0">
      <x:c r="A457" s="73" t="s">
        <x:v>4643</x:v>
      </x:c>
      <x:c r="B457" s="73" t="s">
        <x:v>3190</x:v>
      </x:c>
      <x:c r="C457" s="73" t="s">
        <x:v>1989</x:v>
      </x:c>
      <x:c r="D457" s="73" t="s">
        <x:v>4644</x:v>
      </x:c>
      <x:c r="E457" s="73" t="s">
        <x:v>3394</x:v>
      </x:c>
      <x:c r="F457" s="73" t="s">
        <x:v>4645</x:v>
      </x:c>
      <x:c r="G457" s="73" t="n">
        <x:v>25</x:v>
      </x:c>
      <x:c r="H457" s="73" t="n">
        <x:v>50</x:v>
      </x:c>
      <x:c r="I457" s="73" t="s">
        <x:v>72</x:v>
      </x:c>
      <x:c r="J457" s="73" t="n">
        <x:v>2016</x:v>
      </x:c>
      <x:c r="K457" s="73" t="n">
        <x:v>12</x:v>
      </x:c>
      <x:c r="L457" s="73" t="n">
        <x:v>22</x:v>
      </x:c>
      <x:c r="M457" s="73" t="n">
        <x:v>21</x:v>
      </x:c>
      <x:c r="N457" s="73" t="s">
        <x:v>3189</x:v>
      </x:c>
    </x:row>
    <x:row r="458" ht="15" hidden="0">
      <x:c r="A458" s="73" t="s">
        <x:v>4646</x:v>
      </x:c>
      <x:c r="B458" s="73" t="s">
        <x:v>3201</x:v>
      </x:c>
      <x:c r="C458" s="73" t="s">
        <x:v>1993</x:v>
      </x:c>
      <x:c r="D458" s="73" t="s">
        <x:v>4647</x:v>
      </x:c>
      <x:c r="E458" s="73" t="s">
        <x:v>3390</x:v>
      </x:c>
      <x:c r="F458" s="73" t="s">
        <x:v>4648</x:v>
      </x:c>
      <x:c r="G458" s="73" t="n">
        <x:v>15</x:v>
      </x:c>
      <x:c r="H458" s="73" t="n">
        <x:v>30</x:v>
      </x:c>
      <x:c r="I458" s="73" t="s">
        <x:v>4435</x:v>
      </x:c>
      <x:c r="J458" s="73" t="n">
        <x:v>2021</x:v>
      </x:c>
      <x:c r="K458" s="73" t="n">
        <x:v>1</x:v>
      </x:c>
      <x:c r="L458" s="73" t="n">
        <x:v>5</x:v>
      </x:c>
      <x:c r="M458" s="73" t="n">
        <x:v>16</x:v>
      </x:c>
      <x:c r="N458" s="73" t="s">
        <x:v>3189</x:v>
      </x:c>
    </x:row>
    <x:row r="459" ht="15" hidden="0">
      <x:c r="A459" s="73" t="s">
        <x:v>4649</x:v>
      </x:c>
      <x:c r="B459" s="73" t="s">
        <x:v>3213</x:v>
      </x:c>
      <x:c r="C459" s="73" t="s">
        <x:v>1997</x:v>
      </x:c>
      <x:c r="D459" s="73" t="s">
        <x:v>4650</x:v>
      </x:c>
      <x:c r="E459" s="73" t="s">
        <x:v>3382</x:v>
      </x:c>
      <x:c r="F459" s="73" t="s">
        <x:v>4651</x:v>
      </x:c>
      <x:c r="G459" s="73" t="n">
        <x:v>22</x:v>
      </x:c>
      <x:c r="H459" s="73" t="n">
        <x:v>45</x:v>
      </x:c>
      <x:c r="I459" s="73" t="s">
        <x:v>4324</x:v>
      </x:c>
      <x:c r="J459" s="73" t="n">
        <x:v>2019</x:v>
      </x:c>
      <x:c r="K459" s="73" t="n">
        <x:v>4</x:v>
      </x:c>
      <x:c r="L459" s="73" t="n">
        <x:v>18</x:v>
      </x:c>
      <x:c r="M459" s="73" t="n">
        <x:v>11</x:v>
      </x:c>
      <x:c r="N459" s="73" t="s">
        <x:v>3189</x:v>
      </x:c>
    </x:row>
    <x:row r="460" ht="15" hidden="0">
      <x:c r="A460" s="73" t="s">
        <x:v>4652</x:v>
      </x:c>
      <x:c r="B460" s="73" t="s">
        <x:v>3188</x:v>
      </x:c>
      <x:c r="C460" s="73" t="s">
        <x:v>2001</x:v>
      </x:c>
      <x:c r="D460" s="73" t="s">
        <x:v>4653</x:v>
      </x:c>
      <x:c r="E460" s="73" t="s">
        <x:v>3394</x:v>
      </x:c>
      <x:c r="F460" s="73" t="s">
        <x:v>4654</x:v>
      </x:c>
      <x:c r="G460" s="73" t="n">
        <x:v>18</x:v>
      </x:c>
      <x:c r="H460" s="73" t="n">
        <x:v>35</x:v>
      </x:c>
      <x:c r="I460" s="73" t="s">
        <x:v>3404</x:v>
      </x:c>
      <x:c r="J460" s="73" t="n">
        <x:v>2017</x:v>
      </x:c>
      <x:c r="K460" s="73" t="n">
        <x:v>8</x:v>
      </x:c>
      <x:c r="L460" s="73" t="n">
        <x:v>28</x:v>
      </x:c>
      <x:c r="M460" s="73" t="n">
        <x:v>19</x:v>
      </x:c>
      <x:c r="N460" s="73" t="s">
        <x:v>3189</x:v>
      </x:c>
    </x:row>
    <x:row r="461" ht="15" hidden="0">
      <x:c r="A461" s="73" t="s">
        <x:v>4655</x:v>
      </x:c>
      <x:c r="B461" s="73" t="s">
        <x:v>3228</x:v>
      </x:c>
      <x:c r="C461" s="73" t="s">
        <x:v>2006</x:v>
      </x:c>
      <x:c r="D461" s="73" t="s">
        <x:v>4656</x:v>
      </x:c>
      <x:c r="E461" s="73" t="s">
        <x:v>3390</x:v>
      </x:c>
      <x:c r="F461" s="73" t="s">
        <x:v>4657</x:v>
      </x:c>
      <x:c r="G461" s="73" t="n">
        <x:v>28</x:v>
      </x:c>
      <x:c r="H461" s="73" t="n">
        <x:v>55</x:v>
      </x:c>
      <x:c r="I461" s="73" t="s">
        <x:v>4320</x:v>
      </x:c>
      <x:c r="J461" s="73" t="n">
        <x:v>2023</x:v>
      </x:c>
      <x:c r="K461" s="73" t="n">
        <x:v>2</x:v>
      </x:c>
      <x:c r="L461" s="73" t="n">
        <x:v>10</x:v>
      </x:c>
      <x:c r="M461" s="73" t="n">
        <x:v>14</x:v>
      </x:c>
      <x:c r="N461" s="73" t="s">
        <x:v>3189</x:v>
      </x:c>
    </x:row>
    <x:row r="462" ht="15" hidden="0">
      <x:c r="A462" s="73" t="s">
        <x:v>4658</x:v>
      </x:c>
      <x:c r="B462" s="73" t="s">
        <x:v>3236</x:v>
      </x:c>
      <x:c r="C462" s="73" t="s">
        <x:v>2011</x:v>
      </x:c>
      <x:c r="D462" s="73" t="s">
        <x:v>4659</x:v>
      </x:c>
      <x:c r="E462" s="73" t="s">
        <x:v>3390</x:v>
      </x:c>
      <x:c r="F462" s="73" t="s">
        <x:v>4660</x:v>
      </x:c>
      <x:c r="G462" s="73" t="n">
        <x:v>30</x:v>
      </x:c>
      <x:c r="H462" s="73" t="n">
        <x:v>60</x:v>
      </x:c>
      <x:c r="I462" s="73" t="s">
        <x:v>4328</x:v>
      </x:c>
      <x:c r="J462" s="73" t="n">
        <x:v>2022</x:v>
      </x:c>
      <x:c r="K462" s="73" t="n">
        <x:v>7</x:v>
      </x:c>
      <x:c r="L462" s="73" t="n">
        <x:v>10</x:v>
      </x:c>
      <x:c r="M462" s="73" t="n">
        <x:v>22</x:v>
      </x:c>
      <x:c r="N462" s="73" t="s">
        <x:v>3189</x:v>
      </x:c>
    </x:row>
    <x:row r="463" ht="15" hidden="0">
      <x:c r="A463" s="73" t="s">
        <x:v>4661</x:v>
      </x:c>
      <x:c r="B463" s="73" t="s">
        <x:v>3245</x:v>
      </x:c>
      <x:c r="C463" s="73" t="s">
        <x:v>2015</x:v>
      </x:c>
      <x:c r="D463" s="73" t="s">
        <x:v>4662</x:v>
      </x:c>
      <x:c r="E463" s="73" t="s">
        <x:v>3382</x:v>
      </x:c>
      <x:c r="F463" s="73" t="s">
        <x:v>4663</x:v>
      </x:c>
      <x:c r="G463" s="73" t="n">
        <x:v>18</x:v>
      </x:c>
      <x:c r="H463" s="73" t="n">
        <x:v>35</x:v>
      </x:c>
      <x:c r="I463" s="73" t="s">
        <x:v>4443</x:v>
      </x:c>
      <x:c r="J463" s="73" t="n">
        <x:v>2019</x:v>
      </x:c>
      <x:c r="K463" s="73" t="n">
        <x:v>5</x:v>
      </x:c>
      <x:c r="L463" s="73" t="n">
        <x:v>15</x:v>
      </x:c>
      <x:c r="M463" s="73" t="n">
        <x:v>21</x:v>
      </x:c>
      <x:c r="N463" s="73" t="s">
        <x:v>3244</x:v>
      </x:c>
    </x:row>
    <x:row r="464" ht="15" hidden="0">
      <x:c r="A464" s="73" t="s">
        <x:v>4664</x:v>
      </x:c>
      <x:c r="B464" s="73" t="s">
        <x:v>3190</x:v>
      </x:c>
      <x:c r="C464" s="73" t="s">
        <x:v>2019</x:v>
      </x:c>
      <x:c r="D464" s="73" t="s">
        <x:v>4665</x:v>
      </x:c>
      <x:c r="E464" s="73" t="s">
        <x:v>3394</x:v>
      </x:c>
      <x:c r="F464" s="73" t="s">
        <x:v>4666</x:v>
      </x:c>
      <x:c r="G464" s="73" t="n">
        <x:v>22</x:v>
      </x:c>
      <x:c r="H464" s="73" t="n">
        <x:v>45</x:v>
      </x:c>
      <x:c r="I464" s="73" t="s">
        <x:v>4435</x:v>
      </x:c>
      <x:c r="J464" s="73" t="n">
        <x:v>2018</x:v>
      </x:c>
      <x:c r="K464" s="73" t="n">
        <x:v>11</x:v>
      </x:c>
      <x:c r="L464" s="73" t="n">
        <x:v>28</x:v>
      </x:c>
      <x:c r="M464" s="73" t="n">
        <x:v>14</x:v>
      </x:c>
      <x:c r="N464" s="73" t="s">
        <x:v>3189</x:v>
      </x:c>
    </x:row>
    <x:row r="465" ht="15" hidden="0">
      <x:c r="A465" s="73" t="s">
        <x:v>4667</x:v>
      </x:c>
      <x:c r="B465" s="73" t="s">
        <x:v>3201</x:v>
      </x:c>
      <x:c r="C465" s="73" t="s">
        <x:v>2023</x:v>
      </x:c>
      <x:c r="D465" s="73" t="s">
        <x:v>4668</x:v>
      </x:c>
      <x:c r="E465" s="73" t="s">
        <x:v>3390</x:v>
      </x:c>
      <x:c r="F465" s="73" t="s">
        <x:v>4669</x:v>
      </x:c>
      <x:c r="G465" s="73" t="n">
        <x:v>25</x:v>
      </x:c>
      <x:c r="H465" s="73" t="n">
        <x:v>50</x:v>
      </x:c>
      <x:c r="I465" s="73" t="s">
        <x:v>3387</x:v>
      </x:c>
      <x:c r="J465" s="73" t="n">
        <x:v>2021</x:v>
      </x:c>
      <x:c r="K465" s="73" t="n">
        <x:v>3</x:v>
      </x:c>
      <x:c r="L465" s="73" t="n">
        <x:v>2</x:v>
      </x:c>
      <x:c r="M465" s="73" t="n">
        <x:v>17</x:v>
      </x:c>
      <x:c r="N465" s="73" t="s">
        <x:v>3189</x:v>
      </x:c>
    </x:row>
    <x:row r="466" ht="15" hidden="0">
      <x:c r="A466" s="73" t="s">
        <x:v>4670</x:v>
      </x:c>
      <x:c r="B466" s="73" t="s">
        <x:v>3188</x:v>
      </x:c>
      <x:c r="C466" s="73" t="s">
        <x:v>2027</x:v>
      </x:c>
      <x:c r="D466" s="73" t="s">
        <x:v>4671</x:v>
      </x:c>
      <x:c r="E466" s="73" t="s">
        <x:v>3382</x:v>
      </x:c>
      <x:c r="F466" s="73" t="s">
        <x:v>4672</x:v>
      </x:c>
      <x:c r="G466" s="73" t="n">
        <x:v>20</x:v>
      </x:c>
      <x:c r="H466" s="73" t="n">
        <x:v>40</x:v>
      </x:c>
      <x:c r="I466" s="73" t="s">
        <x:v>72</x:v>
      </x:c>
      <x:c r="J466" s="73" t="n">
        <x:v>2016</x:v>
      </x:c>
      <x:c r="K466" s="73" t="n">
        <x:v>10</x:v>
      </x:c>
      <x:c r="L466" s="73" t="n">
        <x:v>18</x:v>
      </x:c>
      <x:c r="M466" s="73" t="n">
        <x:v>19</x:v>
      </x:c>
      <x:c r="N466" s="73" t="s">
        <x:v>3189</x:v>
      </x:c>
    </x:row>
    <x:row r="467" ht="15" hidden="0">
      <x:c r="A467" s="73" t="s">
        <x:v>4673</x:v>
      </x:c>
      <x:c r="B467" s="73" t="s">
        <x:v>3206</x:v>
      </x:c>
      <x:c r="C467" s="73" t="s">
        <x:v>2031</x:v>
      </x:c>
      <x:c r="D467" s="73" t="s">
        <x:v>4674</x:v>
      </x:c>
      <x:c r="E467" s="73" t="s">
        <x:v>3394</x:v>
      </x:c>
      <x:c r="F467" s="73" t="s">
        <x:v>4675</x:v>
      </x:c>
      <x:c r="G467" s="73" t="n">
        <x:v>28</x:v>
      </x:c>
      <x:c r="H467" s="73" t="n">
        <x:v>55</x:v>
      </x:c>
      <x:c r="I467" s="73" t="s">
        <x:v>4320</x:v>
      </x:c>
      <x:c r="J467" s="73" t="n">
        <x:v>2020</x:v>
      </x:c>
      <x:c r="K467" s="73" t="n">
        <x:v>8</x:v>
      </x:c>
      <x:c r="L467" s="73" t="n">
        <x:v>15</x:v>
      </x:c>
      <x:c r="M467" s="73" t="n">
        <x:v>12</x:v>
      </x:c>
      <x:c r="N467" s="73" t="s">
        <x:v>3189</x:v>
      </x:c>
    </x:row>
    <x:row r="468" ht="15" hidden="0">
      <x:c r="A468" s="73" t="s">
        <x:v>4676</x:v>
      </x:c>
      <x:c r="B468" s="73" t="s">
        <x:v>3200</x:v>
      </x:c>
      <x:c r="C468" s="73" t="s">
        <x:v>2035</x:v>
      </x:c>
      <x:c r="D468" s="73" t="s">
        <x:v>4677</x:v>
      </x:c>
      <x:c r="E468" s="73" t="s">
        <x:v>3390</x:v>
      </x:c>
      <x:c r="F468" s="73" t="s">
        <x:v>4678</x:v>
      </x:c>
      <x:c r="G468" s="73" t="n">
        <x:v>18</x:v>
      </x:c>
      <x:c r="H468" s="73" t="n">
        <x:v>35</x:v>
      </x:c>
      <x:c r="I468" s="73" t="s">
        <x:v>3396</x:v>
      </x:c>
      <x:c r="J468" s="73" t="n">
        <x:v>2017</x:v>
      </x:c>
      <x:c r="K468" s="73" t="n">
        <x:v>4</x:v>
      </x:c>
      <x:c r="L468" s="73" t="n">
        <x:v>28</x:v>
      </x:c>
      <x:c r="M468" s="73" t="n">
        <x:v>16</x:v>
      </x:c>
      <x:c r="N468" s="73" t="s">
        <x:v>3189</x:v>
      </x:c>
    </x:row>
    <x:row r="469" ht="15" hidden="0">
      <x:c r="A469" s="73" t="s">
        <x:v>4679</x:v>
      </x:c>
      <x:c r="B469" s="73" t="s">
        <x:v>3228</x:v>
      </x:c>
      <x:c r="C469" s="73" t="s">
        <x:v>2039</x:v>
      </x:c>
      <x:c r="D469" s="73" t="s">
        <x:v>4680</x:v>
      </x:c>
      <x:c r="E469" s="73" t="s">
        <x:v>3382</x:v>
      </x:c>
      <x:c r="F469" s="73" t="s">
        <x:v>4681</x:v>
      </x:c>
      <x:c r="G469" s="73" t="n">
        <x:v>22</x:v>
      </x:c>
      <x:c r="H469" s="73" t="n">
        <x:v>45</x:v>
      </x:c>
      <x:c r="I469" s="73" t="s">
        <x:v>3400</x:v>
      </x:c>
      <x:c r="J469" s="73" t="n">
        <x:v>2019</x:v>
      </x:c>
      <x:c r="K469" s="73" t="n">
        <x:v>9</x:v>
      </x:c>
      <x:c r="L469" s="73" t="n">
        <x:v>10</x:v>
      </x:c>
      <x:c r="M469" s="73" t="n">
        <x:v>21</x:v>
      </x:c>
      <x:c r="N469" s="73" t="s">
        <x:v>3189</x:v>
      </x:c>
    </x:row>
    <x:row r="470" ht="15" hidden="0">
      <x:c r="A470" s="73" t="s">
        <x:v>4682</x:v>
      </x:c>
      <x:c r="B470" s="73" t="s">
        <x:v>3201</x:v>
      </x:c>
      <x:c r="C470" s="73" t="s">
        <x:v>2043</x:v>
      </x:c>
      <x:c r="D470" s="73" t="s">
        <x:v>4683</x:v>
      </x:c>
      <x:c r="E470" s="73" t="s">
        <x:v>3394</x:v>
      </x:c>
      <x:c r="F470" s="73" t="s">
        <x:v>4684</x:v>
      </x:c>
      <x:c r="G470" s="73" t="n">
        <x:v>15</x:v>
      </x:c>
      <x:c r="H470" s="73" t="n">
        <x:v>30</x:v>
      </x:c>
      <x:c r="I470" s="73" t="s">
        <x:v>4324</x:v>
      </x:c>
      <x:c r="J470" s="73" t="n">
        <x:v>2022</x:v>
      </x:c>
      <x:c r="K470" s="73" t="n">
        <x:v>1</x:v>
      </x:c>
      <x:c r="L470" s="73" t="n">
        <x:v>28</x:v>
      </x:c>
      <x:c r="M470" s="73" t="n">
        <x:v>13</x:v>
      </x:c>
      <x:c r="N470" s="73" t="s">
        <x:v>3189</x:v>
      </x:c>
    </x:row>
    <x:row r="471" ht="15" hidden="0">
      <x:c r="A471" s="73" t="s">
        <x:v>4685</x:v>
      </x:c>
      <x:c r="B471" s="73" t="s">
        <x:v>3241</x:v>
      </x:c>
      <x:c r="C471" s="73" t="s">
        <x:v>2048</x:v>
      </x:c>
      <x:c r="D471" s="73" t="s">
        <x:v>4686</x:v>
      </x:c>
      <x:c r="E471" s="73" t="s">
        <x:v>3390</x:v>
      </x:c>
      <x:c r="F471" s="73" t="s">
        <x:v>4687</x:v>
      </x:c>
      <x:c r="G471" s="73" t="n">
        <x:v>30</x:v>
      </x:c>
      <x:c r="H471" s="73" t="n">
        <x:v>60</x:v>
      </x:c>
      <x:c r="I471" s="73" t="s">
        <x:v>4455</x:v>
      </x:c>
      <x:c r="J471" s="73" t="n">
        <x:v>2016</x:v>
      </x:c>
      <x:c r="K471" s="73" t="n">
        <x:v>6</x:v>
      </x:c>
      <x:c r="L471" s="73" t="n">
        <x:v>15</x:v>
      </x:c>
      <x:c r="M471" s="73" t="n">
        <x:v>22</x:v>
      </x:c>
      <x:c r="N471" s="73" t="s">
        <x:v>3189</x:v>
      </x:c>
    </x:row>
    <x:row r="472" ht="15" hidden="0">
      <x:c r="A472" s="73" t="s">
        <x:v>4688</x:v>
      </x:c>
      <x:c r="B472" s="73" t="s">
        <x:v>3261</x:v>
      </x:c>
      <x:c r="C472" s="73" t="s">
        <x:v>2053</x:v>
      </x:c>
      <x:c r="D472" s="73" t="s">
        <x:v>4689</x:v>
      </x:c>
      <x:c r="E472" s="73" t="s">
        <x:v>3390</x:v>
      </x:c>
      <x:c r="F472" s="73" t="s">
        <x:v>4690</x:v>
      </x:c>
      <x:c r="G472" s="73" t="n">
        <x:v>40</x:v>
      </x:c>
      <x:c r="H472" s="73" t="n">
        <x:v>80</x:v>
      </x:c>
      <x:c r="I472" s="73" t="s">
        <x:v>72</x:v>
      </x:c>
      <x:c r="J472" s="73" t="n">
        <x:v>2021</x:v>
      </x:c>
      <x:c r="K472" s="73" t="n">
        <x:v>8</x:v>
      </x:c>
      <x:c r="L472" s="73" t="n">
        <x:v>20</x:v>
      </x:c>
      <x:c r="M472" s="73" t="n">
        <x:v>15</x:v>
      </x:c>
      <x:c r="N472" s="73" t="s">
        <x:v>3260</x:v>
      </x:c>
    </x:row>
    <x:row r="473" ht="15" hidden="0">
      <x:c r="A473" s="73" t="s">
        <x:v>4691</x:v>
      </x:c>
      <x:c r="B473" s="73" t="s">
        <x:v>3279</x:v>
      </x:c>
      <x:c r="C473" s="73" t="s">
        <x:v>2058</x:v>
      </x:c>
      <x:c r="D473" s="73" t="s">
        <x:v>4629</x:v>
      </x:c>
      <x:c r="E473" s="73" t="s">
        <x:v>3382</x:v>
      </x:c>
      <x:c r="F473" s="73" t="s">
        <x:v>4692</x:v>
      </x:c>
      <x:c r="G473" s="73" t="n">
        <x:v>35</x:v>
      </x:c>
      <x:c r="H473" s="73" t="n">
        <x:v>70</x:v>
      </x:c>
      <x:c r="I473" s="73" t="s">
        <x:v>3387</x:v>
      </x:c>
      <x:c r="J473" s="73" t="n">
        <x:v>2018</x:v>
      </x:c>
      <x:c r="K473" s="73" t="n">
        <x:v>4</x:v>
      </x:c>
      <x:c r="L473" s="73" t="n">
        <x:v>12</x:v>
      </x:c>
      <x:c r="M473" s="73" t="n">
        <x:v>18</x:v>
      </x:c>
      <x:c r="N473" s="73" t="s">
        <x:v>3260</x:v>
      </x:c>
    </x:row>
    <x:row r="474" ht="15" hidden="0">
      <x:c r="A474" s="73" t="s">
        <x:v>4693</x:v>
      </x:c>
      <x:c r="B474" s="73" t="s">
        <x:v>3263</x:v>
      </x:c>
      <x:c r="C474" s="73" t="s">
        <x:v>2061</x:v>
      </x:c>
      <x:c r="D474" s="73" t="s">
        <x:v>4694</x:v>
      </x:c>
      <x:c r="E474" s="73" t="s">
        <x:v>3394</x:v>
      </x:c>
      <x:c r="F474" s="73" t="s">
        <x:v>4695</x:v>
      </x:c>
      <x:c r="G474" s="73" t="n">
        <x:v>25</x:v>
      </x:c>
      <x:c r="H474" s="73" t="n">
        <x:v>50</x:v>
      </x:c>
      <x:c r="I474" s="73" t="s">
        <x:v>3396</x:v>
      </x:c>
      <x:c r="J474" s="73" t="n">
        <x:v>2022</x:v>
      </x:c>
      <x:c r="K474" s="73" t="n">
        <x:v>2</x:v>
      </x:c>
      <x:c r="L474" s="73" t="n">
        <x:v>15</x:v>
      </x:c>
      <x:c r="M474" s="73" t="n">
        <x:v>12</x:v>
      </x:c>
      <x:c r="N474" s="73" t="s">
        <x:v>3260</x:v>
      </x:c>
    </x:row>
    <x:row r="475" ht="15" hidden="0">
      <x:c r="A475" s="73" t="s">
        <x:v>4696</x:v>
      </x:c>
      <x:c r="B475" s="73" t="s">
        <x:v>3273</x:v>
      </x:c>
      <x:c r="C475" s="73" t="s">
        <x:v>2066</x:v>
      </x:c>
      <x:c r="D475" s="73" t="s">
        <x:v>3338</x:v>
      </x:c>
      <x:c r="E475" s="73" t="s">
        <x:v>3390</x:v>
      </x:c>
      <x:c r="F475" s="73" t="s">
        <x:v>4697</x:v>
      </x:c>
      <x:c r="G475" s="73" t="n">
        <x:v>30</x:v>
      </x:c>
      <x:c r="H475" s="73" t="n">
        <x:v>60</x:v>
      </x:c>
      <x:c r="I475" s="73" t="s">
        <x:v>3400</x:v>
      </x:c>
      <x:c r="J475" s="73" t="n">
        <x:v>2019</x:v>
      </x:c>
      <x:c r="K475" s="73" t="n">
        <x:v>10</x:v>
      </x:c>
      <x:c r="L475" s="73" t="n">
        <x:v>28</x:v>
      </x:c>
      <x:c r="M475" s="73" t="n">
        <x:v>14</x:v>
      </x:c>
      <x:c r="N475" s="73" t="s">
        <x:v>3260</x:v>
      </x:c>
    </x:row>
    <x:row r="476" ht="15" hidden="0">
      <x:c r="A476" s="73" t="s">
        <x:v>4698</x:v>
      </x:c>
      <x:c r="B476" s="73" t="s">
        <x:v>3264</x:v>
      </x:c>
      <x:c r="C476" s="73" t="s">
        <x:v>2071</x:v>
      </x:c>
      <x:c r="D476" s="73" t="s">
        <x:v>4699</x:v>
      </x:c>
      <x:c r="E476" s="73" t="s">
        <x:v>3382</x:v>
      </x:c>
      <x:c r="F476" s="73" t="s">
        <x:v>4700</x:v>
      </x:c>
      <x:c r="G476" s="73" t="n">
        <x:v>22</x:v>
      </x:c>
      <x:c r="H476" s="73" t="n">
        <x:v>45</x:v>
      </x:c>
      <x:c r="I476" s="73" t="s">
        <x:v>3404</x:v>
      </x:c>
      <x:c r="J476" s="73" t="n">
        <x:v>2017</x:v>
      </x:c>
      <x:c r="K476" s="73" t="n">
        <x:v>12</x:v>
      </x:c>
      <x:c r="L476" s="73" t="n">
        <x:v>22</x:v>
      </x:c>
      <x:c r="M476" s="73" t="n">
        <x:v>21</x:v>
      </x:c>
      <x:c r="N476" s="73" t="s">
        <x:v>3260</x:v>
      </x:c>
    </x:row>
    <x:row r="477" ht="15" hidden="0">
      <x:c r="A477" s="73" t="s">
        <x:v>4701</x:v>
      </x:c>
      <x:c r="B477" s="73" t="s">
        <x:v>3294</x:v>
      </x:c>
      <x:c r="C477" s="73" t="s">
        <x:v>2075</x:v>
      </x:c>
      <x:c r="D477" s="73" t="s">
        <x:v>4702</x:v>
      </x:c>
      <x:c r="E477" s="73" t="s">
        <x:v>3394</x:v>
      </x:c>
      <x:c r="F477" s="73" t="s">
        <x:v>4703</x:v>
      </x:c>
      <x:c r="G477" s="73" t="n">
        <x:v>28</x:v>
      </x:c>
      <x:c r="H477" s="73" t="n">
        <x:v>55</x:v>
      </x:c>
      <x:c r="I477" s="73" t="s">
        <x:v>4435</x:v>
      </x:c>
      <x:c r="J477" s="73" t="n">
        <x:v>2020</x:v>
      </x:c>
      <x:c r="K477" s="73" t="n">
        <x:v>6</x:v>
      </x:c>
      <x:c r="L477" s="73" t="n">
        <x:v>10</x:v>
      </x:c>
      <x:c r="M477" s="73" t="n">
        <x:v>17</x:v>
      </x:c>
      <x:c r="N477" s="73" t="s">
        <x:v>3260</x:v>
      </x:c>
    </x:row>
    <x:row r="478" ht="15" hidden="0">
      <x:c r="A478" s="73" t="s">
        <x:v>4704</x:v>
      </x:c>
      <x:c r="B478" s="73" t="s">
        <x:v>3365</x:v>
      </x:c>
      <x:c r="C478" s="73" t="s">
        <x:v>2080</x:v>
      </x:c>
      <x:c r="D478" s="73" t="s">
        <x:v>4705</x:v>
      </x:c>
      <x:c r="E478" s="73" t="s">
        <x:v>3390</x:v>
      </x:c>
      <x:c r="F478" s="73" t="s">
        <x:v>4706</x:v>
      </x:c>
      <x:c r="G478" s="73" t="n">
        <x:v>18</x:v>
      </x:c>
      <x:c r="H478" s="73" t="n">
        <x:v>35</x:v>
      </x:c>
      <x:c r="I478" s="73" t="s">
        <x:v>4320</x:v>
      </x:c>
      <x:c r="J478" s="73" t="n">
        <x:v>2016</x:v>
      </x:c>
      <x:c r="K478" s="73" t="n">
        <x:v>9</x:v>
      </x:c>
      <x:c r="L478" s="73" t="n">
        <x:v>18</x:v>
      </x:c>
      <x:c r="M478" s="73" t="n">
        <x:v>19</x:v>
      </x:c>
      <x:c r="N478" s="73" t="s">
        <x:v>3260</x:v>
      </x:c>
    </x:row>
    <x:row r="479" ht="15" hidden="0">
      <x:c r="A479" s="73" t="s">
        <x:v>4707</x:v>
      </x:c>
      <x:c r="B479" s="73" t="s">
        <x:v>3261</x:v>
      </x:c>
      <x:c r="C479" s="73" t="s">
        <x:v>2084</x:v>
      </x:c>
      <x:c r="D479" s="73" t="s">
        <x:v>4708</x:v>
      </x:c>
      <x:c r="E479" s="73" t="s">
        <x:v>3382</x:v>
      </x:c>
      <x:c r="F479" s="73" t="s">
        <x:v>4709</x:v>
      </x:c>
      <x:c r="G479" s="73" t="n">
        <x:v>20</x:v>
      </x:c>
      <x:c r="H479" s="73" t="n">
        <x:v>40</x:v>
      </x:c>
      <x:c r="I479" s="73" t="s">
        <x:v>4328</x:v>
      </x:c>
      <x:c r="J479" s="73" t="n">
        <x:v>2023</x:v>
      </x:c>
      <x:c r="K479" s="73" t="n">
        <x:v>3</x:v>
      </x:c>
      <x:c r="L479" s="73" t="n">
        <x:v>10</x:v>
      </x:c>
      <x:c r="M479" s="73" t="n">
        <x:v>14</x:v>
      </x:c>
      <x:c r="N479" s="73" t="s">
        <x:v>3260</x:v>
      </x:c>
    </x:row>
    <x:row r="480" ht="15" hidden="0">
      <x:c r="A480" s="73" t="s">
        <x:v>4710</x:v>
      </x:c>
      <x:c r="B480" s="73" t="s">
        <x:v>3353</x:v>
      </x:c>
      <x:c r="C480" s="73" t="s">
        <x:v>2089</x:v>
      </x:c>
      <x:c r="D480" s="73" t="s">
        <x:v>4711</x:v>
      </x:c>
      <x:c r="E480" s="73" t="s">
        <x:v>3394</x:v>
      </x:c>
      <x:c r="F480" s="73" t="s">
        <x:v>4712</x:v>
      </x:c>
      <x:c r="G480" s="73" t="n">
        <x:v>25</x:v>
      </x:c>
      <x:c r="H480" s="73" t="n">
        <x:v>50</x:v>
      </x:c>
      <x:c r="I480" s="73" t="s">
        <x:v>4324</x:v>
      </x:c>
      <x:c r="J480" s="73" t="n">
        <x:v>2019</x:v>
      </x:c>
      <x:c r="K480" s="73" t="n">
        <x:v>5</x:v>
      </x:c>
      <x:c r="L480" s="73" t="n">
        <x:v>5</x:v>
      </x:c>
      <x:c r="M480" s="73" t="n">
        <x:v>12</x:v>
      </x:c>
      <x:c r="N480" s="73" t="s">
        <x:v>3260</x:v>
      </x:c>
    </x:row>
    <x:row r="481" ht="15" hidden="0">
      <x:c r="A481" s="73" t="s">
        <x:v>4713</x:v>
      </x:c>
      <x:c r="B481" s="73" t="s">
        <x:v>3345</x:v>
      </x:c>
      <x:c r="C481" s="73" t="s">
        <x:v>2094</x:v>
      </x:c>
      <x:c r="D481" s="73" t="s">
        <x:v>4714</x:v>
      </x:c>
      <x:c r="E481" s="73" t="s">
        <x:v>3390</x:v>
      </x:c>
      <x:c r="F481" s="73" t="s">
        <x:v>4715</x:v>
      </x:c>
      <x:c r="G481" s="73" t="n">
        <x:v>30</x:v>
      </x:c>
      <x:c r="H481" s="73" t="n">
        <x:v>60</x:v>
      </x:c>
      <x:c r="I481" s="73" t="s">
        <x:v>4451</x:v>
      </x:c>
      <x:c r="J481" s="73" t="n">
        <x:v>2018</x:v>
      </x:c>
      <x:c r="K481" s="73" t="n">
        <x:v>8</x:v>
      </x:c>
      <x:c r="L481" s="73" t="n">
        <x:v>28</x:v>
      </x:c>
      <x:c r="M481" s="73" t="n">
        <x:v>16</x:v>
      </x:c>
      <x:c r="N481" s="73" t="s">
        <x:v>3260</x:v>
      </x:c>
    </x:row>
    <x:row r="482" ht="15" hidden="0">
      <x:c r="A482" s="73" t="s">
        <x:v>4716</x:v>
      </x:c>
      <x:c r="B482" s="73" t="s">
        <x:v>3304</x:v>
      </x:c>
      <x:c r="C482" s="73" t="s">
        <x:v>2099</x:v>
      </x:c>
      <x:c r="D482" s="73" t="s">
        <x:v>4717</x:v>
      </x:c>
      <x:c r="E482" s="73" t="s">
        <x:v>3382</x:v>
      </x:c>
      <x:c r="F482" s="73" t="s">
        <x:v>4718</x:v>
      </x:c>
      <x:c r="G482" s="73" t="n">
        <x:v>35</x:v>
      </x:c>
      <x:c r="H482" s="73" t="n">
        <x:v>70</x:v>
      </x:c>
      <x:c r="I482" s="73" t="s">
        <x:v>72</x:v>
      </x:c>
      <x:c r="J482" s="73" t="n">
        <x:v>2022</x:v>
      </x:c>
      <x:c r="K482" s="73" t="n">
        <x:v>11</x:v>
      </x:c>
      <x:c r="L482" s="73" t="n">
        <x:v>15</x:v>
      </x:c>
      <x:c r="M482" s="73" t="n">
        <x:v>20</x:v>
      </x:c>
      <x:c r="N482" s="73" t="s">
        <x:v>3260</x:v>
      </x:c>
    </x:row>
    <x:row r="483" ht="15" hidden="0">
      <x:c r="A483" s="73" t="s">
        <x:v>4719</x:v>
      </x:c>
      <x:c r="B483" s="73" t="s">
        <x:v>3261</x:v>
      </x:c>
      <x:c r="C483" s="73" t="s">
        <x:v>2103</x:v>
      </x:c>
      <x:c r="D483" s="73" t="s">
        <x:v>4720</x:v>
      </x:c>
      <x:c r="E483" s="73" t="s">
        <x:v>3390</x:v>
      </x:c>
      <x:c r="F483" s="73" t="s">
        <x:v>4721</x:v>
      </x:c>
      <x:c r="G483" s="73" t="n">
        <x:v>40</x:v>
      </x:c>
      <x:c r="H483" s="73" t="n">
        <x:v>80</x:v>
      </x:c>
      <x:c r="I483" s="73" t="s">
        <x:v>3387</x:v>
      </x:c>
      <x:c r="J483" s="73" t="n">
        <x:v>2019</x:v>
      </x:c>
      <x:c r="K483" s="73" t="n">
        <x:v>7</x:v>
      </x:c>
      <x:c r="L483" s="73" t="n">
        <x:v>2</x:v>
      </x:c>
      <x:c r="M483" s="73" t="n">
        <x:v>17</x:v>
      </x:c>
      <x:c r="N483" s="73" t="s">
        <x:v>3260</x:v>
      </x:c>
    </x:row>
    <x:row r="484" ht="15" hidden="0">
      <x:c r="A484" s="73" t="s">
        <x:v>4722</x:v>
      </x:c>
      <x:c r="B484" s="73" t="s">
        <x:v>3262</x:v>
      </x:c>
      <x:c r="C484" s="73" t="s">
        <x:v>2107</x:v>
      </x:c>
      <x:c r="D484" s="73" t="s">
        <x:v>4723</x:v>
      </x:c>
      <x:c r="E484" s="73" t="s">
        <x:v>3394</x:v>
      </x:c>
      <x:c r="F484" s="73" t="s">
        <x:v>4724</x:v>
      </x:c>
      <x:c r="G484" s="73" t="n">
        <x:v>30</x:v>
      </x:c>
      <x:c r="H484" s="73" t="n">
        <x:v>60</x:v>
      </x:c>
      <x:c r="I484" s="73" t="s">
        <x:v>3396</x:v>
      </x:c>
      <x:c r="J484" s="73" t="n">
        <x:v>2021</x:v>
      </x:c>
      <x:c r="K484" s="73" t="n">
        <x:v>4</x:v>
      </x:c>
      <x:c r="L484" s="73" t="n">
        <x:v>18</x:v>
      </x:c>
      <x:c r="M484" s="73" t="n">
        <x:v>14</x:v>
      </x:c>
      <x:c r="N484" s="73" t="s">
        <x:v>3260</x:v>
      </x:c>
    </x:row>
    <x:row r="485" ht="15" hidden="0">
      <x:c r="A485" s="73" t="s">
        <x:v>4725</x:v>
      </x:c>
      <x:c r="B485" s="73" t="s">
        <x:v>3248</x:v>
      </x:c>
      <x:c r="C485" s="73" t="s">
        <x:v>2112</x:v>
      </x:c>
      <x:c r="D485" s="73" t="s">
        <x:v>4726</x:v>
      </x:c>
      <x:c r="E485" s="73" t="s">
        <x:v>3382</x:v>
      </x:c>
      <x:c r="F485" s="73" t="s">
        <x:v>4727</x:v>
      </x:c>
      <x:c r="G485" s="73" t="n">
        <x:v>25</x:v>
      </x:c>
      <x:c r="H485" s="73" t="n">
        <x:v>50</x:v>
      </x:c>
      <x:c r="I485" s="73" t="s">
        <x:v>3400</x:v>
      </x:c>
      <x:c r="J485" s="73" t="n">
        <x:v>2023</x:v>
      </x:c>
      <x:c r="K485" s="73" t="n">
        <x:v>2</x:v>
      </x:c>
      <x:c r="L485" s="73" t="n">
        <x:v>5</x:v>
      </x:c>
      <x:c r="M485" s="73" t="n">
        <x:v>19</x:v>
      </x:c>
      <x:c r="N485" s="73" t="s">
        <x:v>3244</x:v>
      </x:c>
    </x:row>
    <x:row r="486" ht="15" hidden="0">
      <x:c r="A486" s="73" t="s">
        <x:v>4728</x:v>
      </x:c>
      <x:c r="B486" s="73" t="s">
        <x:v>3265</x:v>
      </x:c>
      <x:c r="C486" s="73" t="s">
        <x:v>2116</x:v>
      </x:c>
      <x:c r="D486" s="73" t="s">
        <x:v>4729</x:v>
      </x:c>
      <x:c r="E486" s="73" t="s">
        <x:v>3390</x:v>
      </x:c>
      <x:c r="F486" s="73" t="s">
        <x:v>4730</x:v>
      </x:c>
      <x:c r="G486" s="73" t="n">
        <x:v>22</x:v>
      </x:c>
      <x:c r="H486" s="73" t="n">
        <x:v>45</x:v>
      </x:c>
      <x:c r="I486" s="73" t="s">
        <x:v>3404</x:v>
      </x:c>
      <x:c r="J486" s="73" t="n">
        <x:v>2018</x:v>
      </x:c>
      <x:c r="K486" s="73" t="n">
        <x:v>9</x:v>
      </x:c>
      <x:c r="L486" s="73" t="n">
        <x:v>22</x:v>
      </x:c>
      <x:c r="M486" s="73" t="n">
        <x:v>12</x:v>
      </x:c>
      <x:c r="N486" s="73" t="s">
        <x:v>3260</x:v>
      </x:c>
    </x:row>
    <x:row r="487" ht="15" hidden="0">
      <x:c r="A487" s="73" t="s">
        <x:v>4731</x:v>
      </x:c>
      <x:c r="B487" s="73" t="s">
        <x:v>3264</x:v>
      </x:c>
      <x:c r="C487" s="73" t="s">
        <x:v>2120</x:v>
      </x:c>
      <x:c r="D487" s="73" t="s">
        <x:v>4732</x:v>
      </x:c>
      <x:c r="E487" s="73" t="s">
        <x:v>3394</x:v>
      </x:c>
      <x:c r="F487" s="73" t="s">
        <x:v>4733</x:v>
      </x:c>
      <x:c r="G487" s="73" t="n">
        <x:v>28</x:v>
      </x:c>
      <x:c r="H487" s="73" t="n">
        <x:v>55</x:v>
      </x:c>
      <x:c r="I487" s="73" t="s">
        <x:v>4435</x:v>
      </x:c>
      <x:c r="J487" s="73" t="n">
        <x:v>2016</x:v>
      </x:c>
      <x:c r="K487" s="73" t="n">
        <x:v>12</x:v>
      </x:c>
      <x:c r="L487" s="73" t="n">
        <x:v>10</x:v>
      </x:c>
      <x:c r="M487" s="73" t="n">
        <x:v>21</x:v>
      </x:c>
      <x:c r="N487" s="73" t="s">
        <x:v>3260</x:v>
      </x:c>
    </x:row>
    <x:row r="488" ht="15" hidden="0">
      <x:c r="A488" s="73" t="s">
        <x:v>4734</x:v>
      </x:c>
      <x:c r="B488" s="73" t="s">
        <x:v>3276</x:v>
      </x:c>
      <x:c r="C488" s="73" t="s">
        <x:v>2124</x:v>
      </x:c>
      <x:c r="D488" s="73" t="s">
        <x:v>4735</x:v>
      </x:c>
      <x:c r="E488" s="73" t="s">
        <x:v>3382</x:v>
      </x:c>
      <x:c r="F488" s="73" t="s">
        <x:v>4736</x:v>
      </x:c>
      <x:c r="G488" s="73" t="n">
        <x:v>18</x:v>
      </x:c>
      <x:c r="H488" s="73" t="n">
        <x:v>35</x:v>
      </x:c>
      <x:c r="I488" s="73" t="s">
        <x:v>4320</x:v>
      </x:c>
      <x:c r="J488" s="73" t="n">
        <x:v>2020</x:v>
      </x:c>
      <x:c r="K488" s="73" t="n">
        <x:v>5</x:v>
      </x:c>
      <x:c r="L488" s="73" t="n">
        <x:v>28</x:v>
      </x:c>
      <x:c r="M488" s="73" t="n">
        <x:v>16</x:v>
      </x:c>
      <x:c r="N488" s="73" t="s">
        <x:v>3260</x:v>
      </x:c>
    </x:row>
    <x:row r="489" ht="15" hidden="0">
      <x:c r="A489" s="73" t="s">
        <x:v>4737</x:v>
      </x:c>
      <x:c r="B489" s="73" t="s">
        <x:v>3372</x:v>
      </x:c>
      <x:c r="C489" s="73" t="s">
        <x:v>2129</x:v>
      </x:c>
      <x:c r="D489" s="73" t="s">
        <x:v>4738</x:v>
      </x:c>
      <x:c r="E489" s="73" t="s">
        <x:v>3390</x:v>
      </x:c>
      <x:c r="F489" s="73" t="s">
        <x:v>4739</x:v>
      </x:c>
      <x:c r="G489" s="73" t="n">
        <x:v>22</x:v>
      </x:c>
      <x:c r="H489" s="73" t="n">
        <x:v>45</x:v>
      </x:c>
      <x:c r="I489" s="73" t="s">
        <x:v>4328</x:v>
      </x:c>
      <x:c r="J489" s="73" t="n">
        <x:v>2017</x:v>
      </x:c>
      <x:c r="K489" s="73" t="n">
        <x:v>11</x:v>
      </x:c>
      <x:c r="L489" s="73" t="n">
        <x:v>15</x:v>
      </x:c>
      <x:c r="M489" s="73" t="n">
        <x:v>22</x:v>
      </x:c>
      <x:c r="N489" s="73" t="s">
        <x:v>3260</x:v>
      </x:c>
    </x:row>
    <x:row r="490" ht="15" hidden="0">
      <x:c r="A490" s="73" t="s">
        <x:v>4740</x:v>
      </x:c>
      <x:c r="B490" s="73" t="s">
        <x:v>3279</x:v>
      </x:c>
      <x:c r="C490" s="73" t="s">
        <x:v>2133</x:v>
      </x:c>
      <x:c r="D490" s="73" t="s">
        <x:v>4741</x:v>
      </x:c>
      <x:c r="E490" s="73" t="s">
        <x:v>3394</x:v>
      </x:c>
      <x:c r="F490" s="73" t="s">
        <x:v>4742</x:v>
      </x:c>
      <x:c r="G490" s="73" t="n">
        <x:v>30</x:v>
      </x:c>
      <x:c r="H490" s="73" t="n">
        <x:v>60</x:v>
      </x:c>
      <x:c r="I490" s="73" t="s">
        <x:v>4324</x:v>
      </x:c>
      <x:c r="J490" s="73" t="n">
        <x:v>2021</x:v>
      </x:c>
      <x:c r="K490" s="73" t="n">
        <x:v>8</x:v>
      </x:c>
      <x:c r="L490" s="73" t="n">
        <x:v>2</x:v>
      </x:c>
      <x:c r="M490" s="73" t="n">
        <x:v>19</x:v>
      </x:c>
      <x:c r="N490" s="73" t="s">
        <x:v>3260</x:v>
      </x:c>
    </x:row>
    <x:row r="491" ht="15" hidden="0">
      <x:c r="A491" s="73" t="s">
        <x:v>4743</x:v>
      </x:c>
      <x:c r="B491" s="73" t="s">
        <x:v>3293</x:v>
      </x:c>
      <x:c r="C491" s="73" t="s">
        <x:v>2138</x:v>
      </x:c>
      <x:c r="D491" s="73" t="s">
        <x:v>4744</x:v>
      </x:c>
      <x:c r="E491" s="73" t="s">
        <x:v>3390</x:v>
      </x:c>
      <x:c r="F491" s="73" t="s">
        <x:v>4745</x:v>
      </x:c>
      <x:c r="G491" s="73" t="n">
        <x:v>35</x:v>
      </x:c>
      <x:c r="H491" s="73" t="n">
        <x:v>70</x:v>
      </x:c>
      <x:c r="I491" s="73" t="s">
        <x:v>4451</x:v>
      </x:c>
      <x:c r="J491" s="73" t="n">
        <x:v>2019</x:v>
      </x:c>
      <x:c r="K491" s="73" t="n">
        <x:v>3</x:v>
      </x:c>
      <x:c r="L491" s="73" t="n">
        <x:v>28</x:v>
      </x:c>
      <x:c r="M491" s="73" t="n">
        <x:v>15</x:v>
      </x:c>
      <x:c r="N491" s="73" t="s">
        <x:v>3260</x:v>
      </x:c>
    </x:row>
    <x:row r="492" ht="15" hidden="0">
      <x:c r="A492" s="73" t="s">
        <x:v>4746</x:v>
      </x:c>
      <x:c r="B492" s="73" t="s">
        <x:v>3249</x:v>
      </x:c>
      <x:c r="C492" s="73" t="s">
        <x:v>2143</x:v>
      </x:c>
      <x:c r="D492" s="73" t="s">
        <x:v>4747</x:v>
      </x:c>
      <x:c r="E492" s="73" t="s">
        <x:v>3382</x:v>
      </x:c>
      <x:c r="F492" s="73" t="s">
        <x:v>4748</x:v>
      </x:c>
      <x:c r="G492" s="73" t="n">
        <x:v>28</x:v>
      </x:c>
      <x:c r="H492" s="73" t="n">
        <x:v>55</x:v>
      </x:c>
      <x:c r="I492" s="73" t="s">
        <x:v>4320</x:v>
      </x:c>
      <x:c r="J492" s="73" t="n">
        <x:v>2018</x:v>
      </x:c>
      <x:c r="K492" s="73" t="n">
        <x:v>5</x:v>
      </x:c>
      <x:c r="L492" s="73" t="n">
        <x:v>12</x:v>
      </x:c>
      <x:c r="M492" s="73" t="n">
        <x:v>17</x:v>
      </x:c>
      <x:c r="N492" s="73" t="s">
        <x:v>3244</x:v>
      </x:c>
    </x:row>
    <x:row r="493" ht="15" hidden="0">
      <x:c r="A493" s="73" t="s">
        <x:v>4749</x:v>
      </x:c>
      <x:c r="B493" s="73" t="s">
        <x:v>3287</x:v>
      </x:c>
      <x:c r="C493" s="73" t="s">
        <x:v>2148</x:v>
      </x:c>
      <x:c r="D493" s="73" t="s">
        <x:v>4750</x:v>
      </x:c>
      <x:c r="E493" s="73" t="s">
        <x:v>3390</x:v>
      </x:c>
      <x:c r="F493" s="73" t="s">
        <x:v>4751</x:v>
      </x:c>
      <x:c r="G493" s="73" t="n">
        <x:v>30</x:v>
      </x:c>
      <x:c r="H493" s="73" t="n">
        <x:v>60</x:v>
      </x:c>
      <x:c r="I493" s="73" t="s">
        <x:v>72</x:v>
      </x:c>
      <x:c r="J493" s="73" t="n">
        <x:v>2022</x:v>
      </x:c>
      <x:c r="K493" s="73" t="n">
        <x:v>9</x:v>
      </x:c>
      <x:c r="L493" s="73" t="n">
        <x:v>28</x:v>
      </x:c>
      <x:c r="M493" s="73" t="n">
        <x:v>15</x:v>
      </x:c>
      <x:c r="N493" s="73" t="s">
        <x:v>3260</x:v>
      </x:c>
    </x:row>
    <x:row r="494" ht="15" hidden="0">
      <x:c r="A494" s="73" t="s">
        <x:v>4752</x:v>
      </x:c>
      <x:c r="B494" s="73" t="s">
        <x:v>3262</x:v>
      </x:c>
      <x:c r="C494" s="73" t="s">
        <x:v>2152</x:v>
      </x:c>
      <x:c r="D494" s="73" t="s">
        <x:v>4753</x:v>
      </x:c>
      <x:c r="E494" s="73" t="s">
        <x:v>3394</x:v>
      </x:c>
      <x:c r="F494" s="73" t="s">
        <x:v>4754</x:v>
      </x:c>
      <x:c r="G494" s="73" t="n">
        <x:v>22</x:v>
      </x:c>
      <x:c r="H494" s="73" t="n">
        <x:v>45</x:v>
      </x:c>
      <x:c r="I494" s="73" t="s">
        <x:v>4443</x:v>
      </x:c>
      <x:c r="J494" s="73" t="n">
        <x:v>2019</x:v>
      </x:c>
      <x:c r="K494" s="73" t="n">
        <x:v>11</x:v>
      </x:c>
      <x:c r="L494" s="73" t="n">
        <x:v>10</x:v>
      </x:c>
      <x:c r="M494" s="73" t="n">
        <x:v>14</x:v>
      </x:c>
      <x:c r="N494" s="73" t="s">
        <x:v>3260</x:v>
      </x:c>
    </x:row>
    <x:row r="495" ht="15" hidden="0">
      <x:c r="A495" s="73" t="s">
        <x:v>4755</x:v>
      </x:c>
      <x:c r="B495" s="73" t="s">
        <x:v>3261</x:v>
      </x:c>
      <x:c r="C495" s="73" t="s">
        <x:v>2156</x:v>
      </x:c>
      <x:c r="D495" s="73" t="s">
        <x:v>4756</x:v>
      </x:c>
      <x:c r="E495" s="73" t="s">
        <x:v>3390</x:v>
      </x:c>
      <x:c r="F495" s="73" t="s">
        <x:v>4757</x:v>
      </x:c>
      <x:c r="G495" s="73" t="n">
        <x:v>35</x:v>
      </x:c>
      <x:c r="H495" s="73" t="n">
        <x:v>70</x:v>
      </x:c>
      <x:c r="I495" s="73" t="s">
        <x:v>4447</x:v>
      </x:c>
      <x:c r="J495" s="73" t="n">
        <x:v>2021</x:v>
      </x:c>
      <x:c r="K495" s="73" t="n">
        <x:v>4</x:v>
      </x:c>
      <x:c r="L495" s="73" t="n">
        <x:v>2</x:v>
      </x:c>
      <x:c r="M495" s="73" t="n">
        <x:v>18</x:v>
      </x:c>
      <x:c r="N495" s="73" t="s">
        <x:v>3260</x:v>
      </x:c>
    </x:row>
    <x:row r="496" ht="15" hidden="0">
      <x:c r="A496" s="73" t="s">
        <x:v>4758</x:v>
      </x:c>
      <x:c r="B496" s="73" t="s">
        <x:v>3312</x:v>
      </x:c>
      <x:c r="C496" s="73" t="s">
        <x:v>2162</x:v>
      </x:c>
      <x:c r="D496" s="73" t="s">
        <x:v>4759</x:v>
      </x:c>
      <x:c r="E496" s="73" t="s">
        <x:v>3382</x:v>
      </x:c>
      <x:c r="F496" s="73" t="s">
        <x:v>4760</x:v>
      </x:c>
      <x:c r="G496" s="73" t="n">
        <x:v>18</x:v>
      </x:c>
      <x:c r="H496" s="73" t="n">
        <x:v>35</x:v>
      </x:c>
      <x:c r="I496" s="73" t="s">
        <x:v>4328</x:v>
      </x:c>
      <x:c r="J496" s="73" t="n">
        <x:v>2017</x:v>
      </x:c>
      <x:c r="K496" s="73" t="n">
        <x:v>8</x:v>
      </x:c>
      <x:c r="L496" s="73" t="n">
        <x:v>22</x:v>
      </x:c>
      <x:c r="M496" s="73" t="n">
        <x:v>21</x:v>
      </x:c>
      <x:c r="N496" s="73" t="s">
        <x:v>3260</x:v>
      </x:c>
    </x:row>
    <x:row r="497" ht="15" hidden="0">
      <x:c r="A497" s="73" t="s">
        <x:v>4761</x:v>
      </x:c>
      <x:c r="B497" s="73" t="s">
        <x:v>3268</x:v>
      </x:c>
      <x:c r="C497" s="73" t="s">
        <x:v>2167</x:v>
      </x:c>
      <x:c r="D497" s="73" t="s">
        <x:v>4762</x:v>
      </x:c>
      <x:c r="E497" s="73" t="s">
        <x:v>3390</x:v>
      </x:c>
      <x:c r="F497" s="73" t="s">
        <x:v>4763</x:v>
      </x:c>
      <x:c r="G497" s="73" t="n">
        <x:v>25</x:v>
      </x:c>
      <x:c r="H497" s="73" t="n">
        <x:v>50</x:v>
      </x:c>
      <x:c r="I497" s="73" t="s">
        <x:v>72</x:v>
      </x:c>
      <x:c r="J497" s="73" t="n">
        <x:v>2020</x:v>
      </x:c>
      <x:c r="K497" s="73" t="n">
        <x:v>6</x:v>
      </x:c>
      <x:c r="L497" s="73" t="n">
        <x:v>15</x:v>
      </x:c>
      <x:c r="M497" s="73" t="n">
        <x:v>16</x:v>
      </x:c>
      <x:c r="N497" s="73" t="s">
        <x:v>3260</x:v>
      </x:c>
    </x:row>
    <x:row r="498" ht="15" hidden="0">
      <x:c r="A498" s="73" t="s">
        <x:v>4764</x:v>
      </x:c>
      <x:c r="B498" s="73" t="s">
        <x:v>3266</x:v>
      </x:c>
      <x:c r="C498" s="73" t="s">
        <x:v>2171</x:v>
      </x:c>
      <x:c r="D498" s="73" t="s">
        <x:v>4765</x:v>
      </x:c>
      <x:c r="E498" s="73" t="s">
        <x:v>3394</x:v>
      </x:c>
      <x:c r="F498" s="73" t="s">
        <x:v>4766</x:v>
      </x:c>
      <x:c r="G498" s="73" t="n">
        <x:v>22</x:v>
      </x:c>
      <x:c r="H498" s="73" t="n">
        <x:v>45</x:v>
      </x:c>
      <x:c r="I498" s="73" t="s">
        <x:v>4332</x:v>
      </x:c>
      <x:c r="J498" s="73" t="n">
        <x:v>2016</x:v>
      </x:c>
      <x:c r="K498" s="73" t="n">
        <x:v>9</x:v>
      </x:c>
      <x:c r="L498" s="73" t="n">
        <x:v>10</x:v>
      </x:c>
      <x:c r="M498" s="73" t="n">
        <x:v>19</x:v>
      </x:c>
      <x:c r="N498" s="73" t="s">
        <x:v>3260</x:v>
      </x:c>
    </x:row>
    <x:row r="499" ht="15" hidden="0">
      <x:c r="A499" s="73" t="s">
        <x:v>4767</x:v>
      </x:c>
      <x:c r="B499" s="73" t="s">
        <x:v>3322</x:v>
      </x:c>
      <x:c r="C499" s="73" t="s">
        <x:v>2177</x:v>
      </x:c>
      <x:c r="D499" s="73" t="s">
        <x:v>4768</x:v>
      </x:c>
      <x:c r="E499" s="73" t="s">
        <x:v>3382</x:v>
      </x:c>
      <x:c r="F499" s="73" t="s">
        <x:v>4769</x:v>
      </x:c>
      <x:c r="G499" s="73" t="n">
        <x:v>30</x:v>
      </x:c>
      <x:c r="H499" s="73" t="n">
        <x:v>60</x:v>
      </x:c>
      <x:c r="I499" s="73" t="s">
        <x:v>4770</x:v>
      </x:c>
      <x:c r="J499" s="73" t="n">
        <x:v>2023</x:v>
      </x:c>
      <x:c r="K499" s="73" t="n">
        <x:v>1</x:v>
      </x:c>
      <x:c r="L499" s="73" t="n">
        <x:v>28</x:v>
      </x:c>
      <x:c r="M499" s="73" t="n">
        <x:v>13</x:v>
      </x:c>
      <x:c r="N499" s="73" t="s">
        <x:v>3260</x:v>
      </x:c>
    </x:row>
    <x:row r="500" ht="15" hidden="0">
      <x:c r="A500" s="73" t="s">
        <x:v>4771</x:v>
      </x:c>
      <x:c r="B500" s="73" t="s">
        <x:v>3368</x:v>
      </x:c>
      <x:c r="C500" s="73" t="s">
        <x:v>2183</x:v>
      </x:c>
      <x:c r="D500" s="73" t="s">
        <x:v>4772</x:v>
      </x:c>
      <x:c r="E500" s="73" t="s">
        <x:v>3390</x:v>
      </x:c>
      <x:c r="F500" s="73" t="s">
        <x:v>4773</x:v>
      </x:c>
      <x:c r="G500" s="73" t="n">
        <x:v>20</x:v>
      </x:c>
      <x:c r="H500" s="73" t="n">
        <x:v>40</x:v>
      </x:c>
      <x:c r="I500" s="73" t="s">
        <x:v>4443</x:v>
      </x:c>
      <x:c r="J500" s="73" t="n">
        <x:v>2019</x:v>
      </x:c>
      <x:c r="K500" s="73" t="n">
        <x:v>4</x:v>
      </x:c>
      <x:c r="L500" s="73" t="n">
        <x:v>18</x:v>
      </x:c>
      <x:c r="M500" s="73" t="n">
        <x:v>16</x:v>
      </x:c>
      <x:c r="N500" s="73" t="s">
        <x:v>3260</x:v>
      </x:c>
    </x:row>
    <x:row r="501" ht="15" hidden="0">
      <x:c r="A501" s="73" t="s">
        <x:v>4774</x:v>
      </x:c>
      <x:c r="B501" s="73" t="s">
        <x:v>3268</x:v>
      </x:c>
      <x:c r="C501" s="73" t="s">
        <x:v>2187</x:v>
      </x:c>
      <x:c r="D501" s="73" t="s">
        <x:v>4775</x:v>
      </x:c>
      <x:c r="E501" s="73" t="s">
        <x:v>3394</x:v>
      </x:c>
      <x:c r="F501" s="73" t="s">
        <x:v>4776</x:v>
      </x:c>
      <x:c r="G501" s="73" t="n">
        <x:v>28</x:v>
      </x:c>
      <x:c r="H501" s="73" t="n">
        <x:v>55</x:v>
      </x:c>
      <x:c r="I501" s="73" t="s">
        <x:v>4777</x:v>
      </x:c>
      <x:c r="J501" s="73" t="n">
        <x:v>2017</x:v>
      </x:c>
      <x:c r="K501" s="73" t="n">
        <x:v>11</x:v>
      </x:c>
      <x:c r="L501" s="73" t="n">
        <x:v>5</x:v>
      </x:c>
      <x:c r="M501" s="73" t="n">
        <x:v>22</x:v>
      </x:c>
      <x:c r="N501" s="73" t="s">
        <x:v>3260</x:v>
      </x:c>
    </x:row>
    <x:row r="502" ht="15" hidden="0">
      <x:c r="A502" s="73" t="s">
        <x:v>4778</x:v>
      </x:c>
      <x:c r="B502" s="73" t="s">
        <x:v>3262</x:v>
      </x:c>
      <x:c r="C502" s="73" t="s">
        <x:v>2192</x:v>
      </x:c>
      <x:c r="D502" s="73" t="s">
        <x:v>4779</x:v>
      </x:c>
      <x:c r="E502" s="73" t="s">
        <x:v>3390</x:v>
      </x:c>
      <x:c r="F502" s="73" t="s">
        <x:v>4780</x:v>
      </x:c>
      <x:c r="G502" s="73" t="n">
        <x:v>35</x:v>
      </x:c>
      <x:c r="H502" s="73" t="n">
        <x:v>70</x:v>
      </x:c>
      <x:c r="I502" s="73" t="s">
        <x:v>72</x:v>
      </x:c>
      <x:c r="J502" s="73" t="n">
        <x:v>2022</x:v>
      </x:c>
      <x:c r="K502" s="73" t="n">
        <x:v>7</x:v>
      </x:c>
      <x:c r="L502" s="73" t="n">
        <x:v>20</x:v>
      </x:c>
      <x:c r="M502" s="73" t="n">
        <x:v>21</x:v>
      </x:c>
      <x:c r="N502" s="73" t="s">
        <x:v>3260</x:v>
      </x:c>
    </x:row>
    <x:row r="503" ht="15" hidden="0">
      <x:c r="A503" s="73" t="s">
        <x:v>4781</x:v>
      </x:c>
      <x:c r="B503" s="73" t="s">
        <x:v>3309</x:v>
      </x:c>
      <x:c r="C503" s="73" t="s">
        <x:v>2197</x:v>
      </x:c>
      <x:c r="D503" s="73" t="s">
        <x:v>4782</x:v>
      </x:c>
      <x:c r="E503" s="73" t="s">
        <x:v>3382</x:v>
      </x:c>
      <x:c r="F503" s="73" t="s">
        <x:v>4783</x:v>
      </x:c>
      <x:c r="G503" s="73" t="n">
        <x:v>25</x:v>
      </x:c>
      <x:c r="H503" s="73" t="n">
        <x:v>50</x:v>
      </x:c>
      <x:c r="I503" s="73" t="s">
        <x:v>4443</x:v>
      </x:c>
      <x:c r="J503" s="73" t="n">
        <x:v>2018</x:v>
      </x:c>
      <x:c r="K503" s="73" t="n">
        <x:v>3</x:v>
      </x:c>
      <x:c r="L503" s="73" t="n">
        <x:v>15</x:v>
      </x:c>
      <x:c r="M503" s="73" t="n">
        <x:v>17</x:v>
      </x:c>
      <x:c r="N503" s="73" t="s">
        <x:v>3260</x:v>
      </x:c>
    </x:row>
    <x:row r="504" ht="15" hidden="0">
      <x:c r="A504" s="73" t="s">
        <x:v>4784</x:v>
      </x:c>
      <x:c r="B504" s="73" t="s">
        <x:v>3266</x:v>
      </x:c>
      <x:c r="C504" s="73" t="s">
        <x:v>2066</x:v>
      </x:c>
      <x:c r="D504" s="73" t="s">
        <x:v>4785</x:v>
      </x:c>
      <x:c r="E504" s="73" t="s">
        <x:v>3394</x:v>
      </x:c>
      <x:c r="F504" s="73" t="s">
        <x:v>4786</x:v>
      </x:c>
      <x:c r="G504" s="73" t="n">
        <x:v>22</x:v>
      </x:c>
      <x:c r="H504" s="73" t="n">
        <x:v>45</x:v>
      </x:c>
      <x:c r="I504" s="73" t="s">
        <x:v>4787</x:v>
      </x:c>
      <x:c r="J504" s="73" t="n">
        <x:v>2019</x:v>
      </x:c>
      <x:c r="K504" s="73" t="n">
        <x:v>10</x:v>
      </x:c>
      <x:c r="L504" s="73" t="n">
        <x:v>28</x:v>
      </x:c>
      <x:c r="M504" s="73" t="n">
        <x:v>14</x:v>
      </x:c>
      <x:c r="N504" s="73" t="s">
        <x:v>3260</x:v>
      </x:c>
    </x:row>
    <x:row r="505" ht="15" hidden="0">
      <x:c r="A505" s="73" t="s">
        <x:v>4788</x:v>
      </x:c>
      <x:c r="B505" s="73" t="s">
        <x:v>3306</x:v>
      </x:c>
      <x:c r="C505" s="73" t="s">
        <x:v>2206</x:v>
      </x:c>
      <x:c r="D505" s="73" t="s">
        <x:v>4789</x:v>
      </x:c>
      <x:c r="E505" s="73" t="s">
        <x:v>3390</x:v>
      </x:c>
      <x:c r="F505" s="73" t="s">
        <x:v>4790</x:v>
      </x:c>
      <x:c r="G505" s="73" t="n">
        <x:v>30</x:v>
      </x:c>
      <x:c r="H505" s="73" t="n">
        <x:v>60</x:v>
      </x:c>
      <x:c r="I505" s="73" t="s">
        <x:v>4324</x:v>
      </x:c>
      <x:c r="J505" s="73" t="n">
        <x:v>2021</x:v>
      </x:c>
      <x:c r="K505" s="73" t="n">
        <x:v>6</x:v>
      </x:c>
      <x:c r="L505" s="73" t="n">
        <x:v>10</x:v>
      </x:c>
      <x:c r="M505" s="73" t="n">
        <x:v>16</x:v>
      </x:c>
      <x:c r="N505" s="73" t="s">
        <x:v>3260</x:v>
      </x:c>
    </x:row>
    <x:row r="506" ht="15" hidden="0">
      <x:c r="A506" s="73" t="s">
        <x:v>4791</x:v>
      </x:c>
      <x:c r="B506" s="73" t="s">
        <x:v>3268</x:v>
      </x:c>
      <x:c r="C506" s="73" t="s">
        <x:v>2210</x:v>
      </x:c>
      <x:c r="D506" s="73" t="s">
        <x:v>4792</x:v>
      </x:c>
      <x:c r="E506" s="73" t="s">
        <x:v>3382</x:v>
      </x:c>
      <x:c r="F506" s="73" t="s">
        <x:v>4793</x:v>
      </x:c>
      <x:c r="G506" s="73" t="n">
        <x:v>18</x:v>
      </x:c>
      <x:c r="H506" s="73" t="n">
        <x:v>35</x:v>
      </x:c>
      <x:c r="I506" s="73" t="s">
        <x:v>4794</x:v>
      </x:c>
      <x:c r="J506" s="73" t="n">
        <x:v>2017</x:v>
      </x:c>
      <x:c r="K506" s="73" t="n">
        <x:v>8</x:v>
      </x:c>
      <x:c r="L506" s="73" t="n">
        <x:v>18</x:v>
      </x:c>
      <x:c r="M506" s="73" t="n">
        <x:v>19</x:v>
      </x:c>
      <x:c r="N506" s="73" t="s">
        <x:v>3260</x:v>
      </x:c>
    </x:row>
    <x:row r="507" ht="15" hidden="0">
      <x:c r="A507" s="73" t="s">
        <x:v>4795</x:v>
      </x:c>
      <x:c r="B507" s="73" t="s">
        <x:v>3294</x:v>
      </x:c>
      <x:c r="C507" s="73" t="s">
        <x:v>2215</x:v>
      </x:c>
      <x:c r="D507" s="73" t="s">
        <x:v>4796</x:v>
      </x:c>
      <x:c r="E507" s="73" t="s">
        <x:v>3394</x:v>
      </x:c>
      <x:c r="F507" s="73" t="s">
        <x:v>4797</x:v>
      </x:c>
      <x:c r="G507" s="73" t="n">
        <x:v>28</x:v>
      </x:c>
      <x:c r="H507" s="73" t="n">
        <x:v>55</x:v>
      </x:c>
      <x:c r="I507" s="73" t="s">
        <x:v>4328</x:v>
      </x:c>
      <x:c r="J507" s="73" t="n">
        <x:v>2020</x:v>
      </x:c>
      <x:c r="K507" s="73" t="n">
        <x:v>4</x:v>
      </x:c>
      <x:c r="L507" s="73" t="n">
        <x:v>15</x:v>
      </x:c>
      <x:c r="M507" s="73" t="n">
        <x:v>5</x:v>
      </x:c>
      <x:c r="N507" s="73" t="s">
        <x:v>3260</x:v>
      </x:c>
    </x:row>
    <x:row r="508" ht="15" hidden="0">
      <x:c r="A508" s="73" t="s">
        <x:v>4798</x:v>
      </x:c>
      <x:c r="B508" s="73" t="s">
        <x:v>3312</x:v>
      </x:c>
      <x:c r="C508" s="73" t="s">
        <x:v>2219</x:v>
      </x:c>
      <x:c r="D508" s="73" t="s">
        <x:v>4799</x:v>
      </x:c>
      <x:c r="E508" s="73" t="s">
        <x:v>3390</x:v>
      </x:c>
      <x:c r="F508" s="73" t="s">
        <x:v>4800</x:v>
      </x:c>
      <x:c r="G508" s="73" t="n">
        <x:v>20</x:v>
      </x:c>
      <x:c r="H508" s="73" t="n">
        <x:v>40</x:v>
      </x:c>
      <x:c r="I508" s="73" t="s">
        <x:v>4801</x:v>
      </x:c>
      <x:c r="J508" s="73" t="n">
        <x:v>2016</x:v>
      </x:c>
      <x:c r="K508" s="73" t="n">
        <x:v>11</x:v>
      </x:c>
      <x:c r="L508" s="73" t="n">
        <x:v>22</x:v>
      </x:c>
      <x:c r="M508" s="73" t="n">
        <x:v>13</x:v>
      </x:c>
      <x:c r="N508" s="73" t="s">
        <x:v>3260</x:v>
      </x:c>
    </x:row>
    <x:row r="509" ht="15" hidden="0">
      <x:c r="A509" s="73" t="s">
        <x:v>4802</x:v>
      </x:c>
      <x:c r="B509" s="73" t="s">
        <x:v>3295</x:v>
      </x:c>
      <x:c r="C509" s="73" t="s">
        <x:v>2224</x:v>
      </x:c>
      <x:c r="D509" s="73" t="s">
        <x:v>4803</x:v>
      </x:c>
      <x:c r="E509" s="73" t="s">
        <x:v>3382</x:v>
      </x:c>
      <x:c r="F509" s="73" t="s">
        <x:v>4804</x:v>
      </x:c>
      <x:c r="G509" s="73" t="n">
        <x:v>22</x:v>
      </x:c>
      <x:c r="H509" s="73" t="n">
        <x:v>45</x:v>
      </x:c>
      <x:c r="I509" s="73" t="s">
        <x:v>4461</x:v>
      </x:c>
      <x:c r="J509" s="73" t="n">
        <x:v>2019</x:v>
      </x:c>
      <x:c r="K509" s="73" t="n">
        <x:v>1</x:v>
      </x:c>
      <x:c r="L509" s="73" t="n">
        <x:v>10</x:v>
      </x:c>
      <x:c r="M509" s="73" t="n">
        <x:v>14</x:v>
      </x:c>
      <x:c r="N509" s="73" t="s">
        <x:v>3260</x:v>
      </x:c>
    </x:row>
    <x:row r="510" ht="15" hidden="0">
      <x:c r="A510" s="73" t="s">
        <x:v>4805</x:v>
      </x:c>
      <x:c r="B510" s="73" t="s">
        <x:v>3317</x:v>
      </x:c>
      <x:c r="C510" s="73" t="s">
        <x:v>2230</x:v>
      </x:c>
      <x:c r="D510" s="73" t="s">
        <x:v>4806</x:v>
      </x:c>
      <x:c r="E510" s="73" t="s">
        <x:v>3394</x:v>
      </x:c>
      <x:c r="F510" s="73" t="s">
        <x:v>4807</x:v>
      </x:c>
      <x:c r="G510" s="73" t="n">
        <x:v>25</x:v>
      </x:c>
      <x:c r="H510" s="73" t="n">
        <x:v>50</x:v>
      </x:c>
      <x:c r="I510" s="73" t="s">
        <x:v>4328</x:v>
      </x:c>
      <x:c r="J510" s="73" t="n">
        <x:v>2023</x:v>
      </x:c>
      <x:c r="K510" s="73" t="n">
        <x:v>2</x:v>
      </x:c>
      <x:c r="L510" s="73" t="n">
        <x:v>28</x:v>
      </x:c>
      <x:c r="M510" s="73" t="n">
        <x:v>16</x:v>
      </x:c>
      <x:c r="N510" s="73" t="s">
        <x:v>3260</x:v>
      </x:c>
    </x:row>
    <x:row r="511" ht="15" hidden="0">
      <x:c r="A511" s="73" t="s">
        <x:v>4808</x:v>
      </x:c>
      <x:c r="B511" s="73" t="s">
        <x:v>3346</x:v>
      </x:c>
      <x:c r="C511" s="73" t="s">
        <x:v>2235</x:v>
      </x:c>
      <x:c r="D511" s="73" t="s">
        <x:v>4809</x:v>
      </x:c>
      <x:c r="E511" s="73" t="s">
        <x:v>3390</x:v>
      </x:c>
      <x:c r="F511" s="73" t="s">
        <x:v>4810</x:v>
      </x:c>
      <x:c r="G511" s="73" t="n">
        <x:v>22</x:v>
      </x:c>
      <x:c r="H511" s="73" t="n">
        <x:v>45</x:v>
      </x:c>
      <x:c r="I511" s="73" t="s">
        <x:v>4811</x:v>
      </x:c>
      <x:c r="J511" s="73" t="n">
        <x:v>2018</x:v>
      </x:c>
      <x:c r="K511" s="73" t="n">
        <x:v>5</x:v>
      </x:c>
      <x:c r="L511" s="73" t="n">
        <x:v>28</x:v>
      </x:c>
      <x:c r="M511" s="73" t="n">
        <x:v>18</x:v>
      </x:c>
      <x:c r="N511" s="73" t="s">
        <x:v>3260</x:v>
      </x:c>
    </x:row>
    <x:row r="512" ht="15" hidden="0">
      <x:c r="A512" s="73" t="s">
        <x:v>4812</x:v>
      </x:c>
      <x:c r="B512" s="73" t="s">
        <x:v>3251</x:v>
      </x:c>
      <x:c r="C512" s="73" t="s">
        <x:v>2241</x:v>
      </x:c>
      <x:c r="D512" s="73" t="s">
        <x:v>4813</x:v>
      </x:c>
      <x:c r="E512" s="73" t="s">
        <x:v>3390</x:v>
      </x:c>
      <x:c r="F512" s="73" t="s">
        <x:v>4814</x:v>
      </x:c>
      <x:c r="G512" s="73" t="n">
        <x:v>40</x:v>
      </x:c>
      <x:c r="H512" s="73" t="n">
        <x:v>80</x:v>
      </x:c>
      <x:c r="I512" s="73" t="s">
        <x:v>72</x:v>
      </x:c>
      <x:c r="J512" s="73" t="n">
        <x:v>2022</x:v>
      </x:c>
      <x:c r="K512" s="73" t="n">
        <x:v>9</x:v>
      </x:c>
      <x:c r="L512" s="73" t="n">
        <x:v>15</x:v>
      </x:c>
      <x:c r="M512" s="73" t="n">
        <x:v>20</x:v>
      </x:c>
      <x:c r="N512" s="73" t="s">
        <x:v>3244</x:v>
      </x:c>
    </x:row>
    <x:row r="513" ht="15" hidden="0">
      <x:c r="A513" s="73" t="s">
        <x:v>4815</x:v>
      </x:c>
      <x:c r="B513" s="73" t="s">
        <x:v>3341</x:v>
      </x:c>
      <x:c r="C513" s="73" t="s">
        <x:v>2246</x:v>
      </x:c>
      <x:c r="D513" s="73" t="s">
        <x:v>4816</x:v>
      </x:c>
      <x:c r="E513" s="73" t="s">
        <x:v>3382</x:v>
      </x:c>
      <x:c r="F513" s="73" t="s">
        <x:v>4817</x:v>
      </x:c>
      <x:c r="G513" s="73" t="n">
        <x:v>35</x:v>
      </x:c>
      <x:c r="H513" s="73" t="n">
        <x:v>70</x:v>
      </x:c>
      <x:c r="I513" s="73" t="s">
        <x:v>72</x:v>
      </x:c>
      <x:c r="J513" s="73" t="n">
        <x:v>2019</x:v>
      </x:c>
      <x:c r="K513" s="73" t="n">
        <x:v>7</x:v>
      </x:c>
      <x:c r="L513" s="73" t="n">
        <x:v>28</x:v>
      </x:c>
      <x:c r="M513" s="73" t="n">
        <x:v>21</x:v>
      </x:c>
      <x:c r="N513" s="73" t="s">
        <x:v>3260</x:v>
      </x:c>
    </x:row>
    <x:row r="514" ht="15" hidden="0">
      <x:c r="A514" s="73" t="s">
        <x:v>4818</x:v>
      </x:c>
      <x:c r="B514" s="73" t="s">
        <x:v>3287</x:v>
      </x:c>
      <x:c r="C514" s="73" t="s">
        <x:v>2250</x:v>
      </x:c>
      <x:c r="D514" s="73" t="s">
        <x:v>4819</x:v>
      </x:c>
      <x:c r="E514" s="73" t="s">
        <x:v>3394</x:v>
      </x:c>
      <x:c r="F514" s="73" t="s">
        <x:v>4820</x:v>
      </x:c>
      <x:c r="G514" s="73" t="n">
        <x:v>30</x:v>
      </x:c>
      <x:c r="H514" s="73" t="n">
        <x:v>60</x:v>
      </x:c>
      <x:c r="I514" s="73" t="s">
        <x:v>72</x:v>
      </x:c>
      <x:c r="J514" s="73" t="n">
        <x:v>2021</x:v>
      </x:c>
      <x:c r="K514" s="73" t="n">
        <x:v>5</x:v>
      </x:c>
      <x:c r="L514" s="73" t="n">
        <x:v>10</x:v>
      </x:c>
      <x:c r="M514" s="73" t="n">
        <x:v>19</x:v>
      </x:c>
      <x:c r="N514" s="73" t="s">
        <x:v>3260</x:v>
      </x:c>
    </x:row>
    <x:row r="515" ht="15" hidden="0">
      <x:c r="A515" s="73" t="s">
        <x:v>4821</x:v>
      </x:c>
      <x:c r="B515" s="73" t="s">
        <x:v>3245</x:v>
      </x:c>
      <x:c r="C515" s="73" t="s">
        <x:v>2254</x:v>
      </x:c>
      <x:c r="D515" s="73" t="s">
        <x:v>4822</x:v>
      </x:c>
      <x:c r="E515" s="73" t="s">
        <x:v>3390</x:v>
      </x:c>
      <x:c r="F515" s="73" t="s">
        <x:v>4823</x:v>
      </x:c>
      <x:c r="G515" s="73" t="n">
        <x:v>22</x:v>
      </x:c>
      <x:c r="H515" s="73" t="n">
        <x:v>45</x:v>
      </x:c>
      <x:c r="I515" s="73" t="s">
        <x:v>3396</x:v>
      </x:c>
      <x:c r="J515" s="73" t="n">
        <x:v>2018</x:v>
      </x:c>
      <x:c r="K515" s="73" t="n">
        <x:v>12</x:v>
      </x:c>
      <x:c r="L515" s="73" t="n">
        <x:v>2</x:v>
      </x:c>
      <x:c r="M515" s="73" t="n">
        <x:v>22</x:v>
      </x:c>
      <x:c r="N515" s="73" t="s">
        <x:v>3244</x:v>
      </x:c>
    </x:row>
    <x:row r="516" ht="15" hidden="0">
      <x:c r="A516" s="73" t="s">
        <x:v>4824</x:v>
      </x:c>
      <x:c r="B516" s="73" t="s">
        <x:v>3266</x:v>
      </x:c>
      <x:c r="C516" s="73" t="s">
        <x:v>2258</x:v>
      </x:c>
      <x:c r="D516" s="73" t="s">
        <x:v>4825</x:v>
      </x:c>
      <x:c r="E516" s="73" t="s">
        <x:v>3382</x:v>
      </x:c>
      <x:c r="F516" s="73" t="s">
        <x:v>4826</x:v>
      </x:c>
      <x:c r="G516" s="73" t="n">
        <x:v>18</x:v>
      </x:c>
      <x:c r="H516" s="73" t="n">
        <x:v>35</x:v>
      </x:c>
      <x:c r="I516" s="73" t="s">
        <x:v>3396</x:v>
      </x:c>
      <x:c r="J516" s="73" t="n">
        <x:v>2020</x:v>
      </x:c>
      <x:c r="K516" s="73" t="n">
        <x:v>8</x:v>
      </x:c>
      <x:c r="L516" s="73" t="n">
        <x:v>18</x:v>
      </x:c>
      <x:c r="M516" s="73" t="n">
        <x:v>19</x:v>
      </x:c>
      <x:c r="N516" s="73" t="s">
        <x:v>3260</x:v>
      </x:c>
    </x:row>
    <x:row r="517" ht="15" hidden="0">
      <x:c r="A517" s="73" t="s">
        <x:v>4827</x:v>
      </x:c>
      <x:c r="B517" s="73" t="s">
        <x:v>3261</x:v>
      </x:c>
      <x:c r="C517" s="73" t="s">
        <x:v>2262</x:v>
      </x:c>
      <x:c r="D517" s="73" t="s">
        <x:v>4828</x:v>
      </x:c>
      <x:c r="E517" s="73" t="s">
        <x:v>3394</x:v>
      </x:c>
      <x:c r="F517" s="73" t="s">
        <x:v>4829</x:v>
      </x:c>
      <x:c r="G517" s="73" t="n">
        <x:v>28</x:v>
      </x:c>
      <x:c r="H517" s="73" t="n">
        <x:v>55</x:v>
      </x:c>
      <x:c r="I517" s="73" t="s">
        <x:v>72</x:v>
      </x:c>
      <x:c r="J517" s="73" t="n">
        <x:v>2017</x:v>
      </x:c>
      <x:c r="K517" s="73" t="n">
        <x:v>3</x:v>
      </x:c>
      <x:c r="L517" s="73" t="n">
        <x:v>28</x:v>
      </x:c>
      <x:c r="M517" s="73" t="n">
        <x:v>20</x:v>
      </x:c>
      <x:c r="N517" s="73" t="s">
        <x:v>3260</x:v>
      </x:c>
    </x:row>
    <x:row r="518" ht="15" hidden="0">
      <x:c r="A518" s="73" t="s">
        <x:v>4830</x:v>
      </x:c>
      <x:c r="B518" s="73" t="s">
        <x:v>3327</x:v>
      </x:c>
      <x:c r="C518" s="73" t="s">
        <x:v>2267</x:v>
      </x:c>
      <x:c r="D518" s="73" t="s">
        <x:v>4831</x:v>
      </x:c>
      <x:c r="E518" s="73" t="s">
        <x:v>3390</x:v>
      </x:c>
      <x:c r="F518" s="73" t="s">
        <x:v>4832</x:v>
      </x:c>
      <x:c r="G518" s="73" t="n">
        <x:v>25</x:v>
      </x:c>
      <x:c r="H518" s="73" t="n">
        <x:v>50</x:v>
      </x:c>
      <x:c r="I518" s="73" t="s">
        <x:v>72</x:v>
      </x:c>
      <x:c r="J518" s="73" t="n">
        <x:v>2022</x:v>
      </x:c>
      <x:c r="K518" s="73" t="n">
        <x:v>1</x:v>
      </x:c>
      <x:c r="L518" s="73" t="n">
        <x:v>15</x:v>
      </x:c>
      <x:c r="M518" s="73" t="n">
        <x:v>21</x:v>
      </x:c>
      <x:c r="N518" s="73" t="s">
        <x:v>3260</x:v>
      </x:c>
    </x:row>
    <x:row r="519" ht="15" hidden="0">
      <x:c r="A519" s="73" t="s">
        <x:v>4833</x:v>
      </x:c>
      <x:c r="B519" s="73" t="s">
        <x:v>3330</x:v>
      </x:c>
      <x:c r="C519" s="73" t="s">
        <x:v>2272</x:v>
      </x:c>
      <x:c r="D519" s="73" t="s">
        <x:v>4834</x:v>
      </x:c>
      <x:c r="E519" s="73" t="s">
        <x:v>3382</x:v>
      </x:c>
      <x:c r="F519" s="73" t="s">
        <x:v>4835</x:v>
      </x:c>
      <x:c r="G519" s="73" t="n">
        <x:v>22</x:v>
      </x:c>
      <x:c r="H519" s="73" t="n">
        <x:v>45</x:v>
      </x:c>
      <x:c r="I519" s="73" t="s">
        <x:v>72</x:v>
      </x:c>
      <x:c r="J519" s="73" t="n">
        <x:v>2019</x:v>
      </x:c>
      <x:c r="K519" s="73" t="n">
        <x:v>6</x:v>
      </x:c>
      <x:c r="L519" s="73" t="n">
        <x:v>10</x:v>
      </x:c>
      <x:c r="M519" s="73" t="n">
        <x:v>18</x:v>
      </x:c>
      <x:c r="N519" s="73" t="s">
        <x:v>3260</x:v>
      </x:c>
    </x:row>
    <x:row r="520" ht="15" hidden="0">
      <x:c r="A520" s="73" t="s">
        <x:v>4836</x:v>
      </x:c>
      <x:c r="B520" s="73" t="s">
        <x:v>3339</x:v>
      </x:c>
      <x:c r="C520" s="73" t="s">
        <x:v>2277</x:v>
      </x:c>
      <x:c r="D520" s="73" t="s">
        <x:v>4837</x:v>
      </x:c>
      <x:c r="E520" s="73" t="s">
        <x:v>3394</x:v>
      </x:c>
      <x:c r="F520" s="73" t="s">
        <x:v>4838</x:v>
      </x:c>
      <x:c r="G520" s="73" t="n">
        <x:v>35</x:v>
      </x:c>
      <x:c r="H520" s="73" t="n">
        <x:v>70</x:v>
      </x:c>
      <x:c r="I520" s="73" t="s">
        <x:v>72</x:v>
      </x:c>
      <x:c r="J520" s="73" t="n">
        <x:v>2023</x:v>
      </x:c>
      <x:c r="K520" s="73" t="n">
        <x:v>3</x:v>
      </x:c>
      <x:c r="L520" s="73" t="n">
        <x:v>20</x:v>
      </x:c>
      <x:c r="M520" s="73" t="n">
        <x:v>22</x:v>
      </x:c>
      <x:c r="N520" s="73" t="s">
        <x:v>3260</x:v>
      </x:c>
    </x:row>
    <x:row r="521" ht="15" hidden="0">
      <x:c r="A521" s="73" t="s">
        <x:v>4839</x:v>
      </x:c>
      <x:c r="B521" s="73" t="s">
        <x:v>3280</x:v>
      </x:c>
      <x:c r="C521" s="73" t="s">
        <x:v>847</x:v>
      </x:c>
      <x:c r="D521" s="73" t="s">
        <x:v>4840</x:v>
      </x:c>
      <x:c r="E521" s="73" t="s">
        <x:v>3390</x:v>
      </x:c>
      <x:c r="F521" s="73" t="s">
        <x:v>4841</x:v>
      </x:c>
      <x:c r="G521" s="73" t="n">
        <x:v>30</x:v>
      </x:c>
      <x:c r="H521" s="73" t="n">
        <x:v>60</x:v>
      </x:c>
      <x:c r="I521" s="73" t="s">
        <x:v>3396</x:v>
      </x:c>
      <x:c r="J521" s="73" t="n">
        <x:v>2016</x:v>
      </x:c>
      <x:c r="K521" s="73" t="n">
        <x:v>11</x:v>
      </x:c>
      <x:c r="L521" s="73" t="n">
        <x:v>28</x:v>
      </x:c>
      <x:c r="M521" s="73" t="n">
        <x:v>19</x:v>
      </x:c>
      <x:c r="N521" s="73" t="s">
        <x:v>3260</x:v>
      </x:c>
    </x:row>
    <x:row r="522" ht="15" hidden="0">
      <x:c r="A522" s="73" t="s">
        <x:v>4842</x:v>
      </x:c>
      <x:c r="B522" s="73" t="s">
        <x:v>3273</x:v>
      </x:c>
      <x:c r="C522" s="73" t="s">
        <x:v>2285</x:v>
      </x:c>
      <x:c r="D522" s="73" t="s">
        <x:v>4843</x:v>
      </x:c>
      <x:c r="E522" s="73" t="s">
        <x:v>3390</x:v>
      </x:c>
      <x:c r="F522" s="73" t="s">
        <x:v>4844</x:v>
      </x:c>
      <x:c r="G522" s="73" t="n">
        <x:v>40</x:v>
      </x:c>
      <x:c r="H522" s="73" t="n">
        <x:v>80</x:v>
      </x:c>
      <x:c r="I522" s="73" t="s">
        <x:v>3387</x:v>
      </x:c>
      <x:c r="J522" s="73" t="n">
        <x:v>2018</x:v>
      </x:c>
      <x:c r="K522" s="73" t="n">
        <x:v>8</x:v>
      </x:c>
      <x:c r="L522" s="73" t="n">
        <x:v>5</x:v>
      </x:c>
      <x:c r="M522" s="73" t="n">
        <x:v>20</x:v>
      </x:c>
      <x:c r="N522" s="73" t="s">
        <x:v>3260</x:v>
      </x:c>
    </x:row>
    <x:row r="523" ht="15" hidden="0">
      <x:c r="A523" s="73" t="s">
        <x:v>4845</x:v>
      </x:c>
      <x:c r="B523" s="73" t="s">
        <x:v>3299</x:v>
      </x:c>
      <x:c r="C523" s="73" t="s">
        <x:v>2290</x:v>
      </x:c>
      <x:c r="D523" s="73" t="s">
        <x:v>4846</x:v>
      </x:c>
      <x:c r="E523" s="73" t="s">
        <x:v>3382</x:v>
      </x:c>
      <x:c r="F523" s="73" t="s">
        <x:v>4847</x:v>
      </x:c>
      <x:c r="G523" s="73" t="n">
        <x:v>35</x:v>
      </x:c>
      <x:c r="H523" s="73" t="n">
        <x:v>70</x:v>
      </x:c>
      <x:c r="I523" s="73" t="s">
        <x:v>72</x:v>
      </x:c>
      <x:c r="J523" s="73" t="n">
        <x:v>2021</x:v>
      </x:c>
      <x:c r="K523" s="73" t="n">
        <x:v>4</x:v>
      </x:c>
      <x:c r="L523" s="73" t="n">
        <x:v>15</x:v>
      </x:c>
      <x:c r="M523" s="73" t="n">
        <x:v>21</x:v>
      </x:c>
      <x:c r="N523" s="73" t="s">
        <x:v>3260</x:v>
      </x:c>
    </x:row>
    <x:row r="524" ht="15" hidden="0">
      <x:c r="A524" s="73" t="s">
        <x:v>4848</x:v>
      </x:c>
      <x:c r="B524" s="73" t="s">
        <x:v>3251</x:v>
      </x:c>
      <x:c r="C524" s="73" t="s">
        <x:v>2294</x:v>
      </x:c>
      <x:c r="D524" s="73" t="s">
        <x:v>4849</x:v>
      </x:c>
      <x:c r="E524" s="73" t="s">
        <x:v>3394</x:v>
      </x:c>
      <x:c r="F524" s="73" t="s">
        <x:v>4850</x:v>
      </x:c>
      <x:c r="G524" s="73" t="n">
        <x:v>30</x:v>
      </x:c>
      <x:c r="H524" s="73" t="n">
        <x:v>60</x:v>
      </x:c>
      <x:c r="I524" s="73" t="s">
        <x:v>3396</x:v>
      </x:c>
      <x:c r="J524" s="73" t="n">
        <x:v>2019</x:v>
      </x:c>
      <x:c r="K524" s="73" t="n">
        <x:v>11</x:v>
      </x:c>
      <x:c r="L524" s="73" t="n">
        <x:v>28</x:v>
      </x:c>
      <x:c r="M524" s="73" t="n">
        <x:v>19</x:v>
      </x:c>
      <x:c r="N524" s="73" t="s">
        <x:v>3244</x:v>
      </x:c>
    </x:row>
    <x:row r="525" ht="15" hidden="0">
      <x:c r="A525" s="73" t="s">
        <x:v>4851</x:v>
      </x:c>
      <x:c r="B525" s="73" t="s">
        <x:v>3331</x:v>
      </x:c>
      <x:c r="C525" s="73" t="s">
        <x:v>2299</x:v>
      </x:c>
      <x:c r="D525" s="73" t="s">
        <x:v>4852</x:v>
      </x:c>
      <x:c r="E525" s="73" t="s">
        <x:v>3390</x:v>
      </x:c>
      <x:c r="F525" s="73" t="s">
        <x:v>4853</x:v>
      </x:c>
      <x:c r="G525" s="73" t="n">
        <x:v>22</x:v>
      </x:c>
      <x:c r="H525" s="73" t="n">
        <x:v>45</x:v>
      </x:c>
      <x:c r="I525" s="73" t="s">
        <x:v>72</x:v>
      </x:c>
      <x:c r="J525" s="73" t="n">
        <x:v>2020</x:v>
      </x:c>
      <x:c r="K525" s="73" t="n">
        <x:v>6</x:v>
      </x:c>
      <x:c r="L525" s="73" t="n">
        <x:v>22</x:v>
      </x:c>
      <x:c r="M525" s="73" t="n">
        <x:v>22</x:v>
      </x:c>
      <x:c r="N525" s="73" t="s">
        <x:v>3260</x:v>
      </x:c>
    </x:row>
    <x:row r="526" ht="15" hidden="0">
      <x:c r="A526" s="73" t="s">
        <x:v>4854</x:v>
      </x:c>
      <x:c r="B526" s="73" t="s">
        <x:v>3275</x:v>
      </x:c>
      <x:c r="C526" s="73" t="s">
        <x:v>2304</x:v>
      </x:c>
      <x:c r="D526" s="73" t="s">
        <x:v>4855</x:v>
      </x:c>
      <x:c r="E526" s="73" t="s">
        <x:v>3382</x:v>
      </x:c>
      <x:c r="F526" s="73" t="s">
        <x:v>4856</x:v>
      </x:c>
      <x:c r="G526" s="73" t="n">
        <x:v>18</x:v>
      </x:c>
      <x:c r="H526" s="73" t="n">
        <x:v>35</x:v>
      </x:c>
      <x:c r="I526" s="73" t="s">
        <x:v>72</x:v>
      </x:c>
      <x:c r="J526" s="73" t="n">
        <x:v>2017</x:v>
      </x:c>
      <x:c r="K526" s="73" t="n">
        <x:v>9</x:v>
      </x:c>
      <x:c r="L526" s="73" t="n">
        <x:v>10</x:v>
      </x:c>
      <x:c r="M526" s="73" t="n">
        <x:v>20</x:v>
      </x:c>
      <x:c r="N526" s="73" t="s">
        <x:v>3260</x:v>
      </x:c>
    </x:row>
    <x:row r="527" ht="15" hidden="0">
      <x:c r="A527" s="73" t="s">
        <x:v>4857</x:v>
      </x:c>
      <x:c r="B527" s="73" t="s">
        <x:v>3253</x:v>
      </x:c>
      <x:c r="C527" s="73" t="s">
        <x:v>2309</x:v>
      </x:c>
      <x:c r="D527" s="73" t="s">
        <x:v>4858</x:v>
      </x:c>
      <x:c r="E527" s="73" t="s">
        <x:v>3394</x:v>
      </x:c>
      <x:c r="F527" s="73" t="s">
        <x:v>4859</x:v>
      </x:c>
      <x:c r="G527" s="73" t="n">
        <x:v>28</x:v>
      </x:c>
      <x:c r="H527" s="73" t="n">
        <x:v>55</x:v>
      </x:c>
      <x:c r="I527" s="73" t="s">
        <x:v>4860</x:v>
      </x:c>
      <x:c r="J527" s="73" t="n">
        <x:v>2022</x:v>
      </x:c>
      <x:c r="K527" s="73" t="n">
        <x:v>2</x:v>
      </x:c>
      <x:c r="L527" s="73" t="n">
        <x:v>28</x:v>
      </x:c>
      <x:c r="M527" s="73" t="n">
        <x:v>21</x:v>
      </x:c>
      <x:c r="N527" s="73" t="s">
        <x:v>3244</x:v>
      </x:c>
    </x:row>
    <x:row r="528" ht="15" hidden="0">
      <x:c r="A528" s="73" t="s">
        <x:v>4861</x:v>
      </x:c>
      <x:c r="B528" s="73" t="s">
        <x:v>3333</x:v>
      </x:c>
      <x:c r="C528" s="73" t="s">
        <x:v>2315</x:v>
      </x:c>
      <x:c r="D528" s="73" t="s">
        <x:v>4862</x:v>
      </x:c>
      <x:c r="E528" s="73" t="s">
        <x:v>3390</x:v>
      </x:c>
      <x:c r="F528" s="73" t="s">
        <x:v>4863</x:v>
      </x:c>
      <x:c r="G528" s="73" t="n">
        <x:v>25</x:v>
      </x:c>
      <x:c r="H528" s="73" t="n">
        <x:v>50</x:v>
      </x:c>
      <x:c r="I528" s="73" t="s">
        <x:v>4864</x:v>
      </x:c>
      <x:c r="J528" s="73" t="n">
        <x:v>2016</x:v>
      </x:c>
      <x:c r="K528" s="73" t="n">
        <x:v>5</x:v>
      </x:c>
      <x:c r="L528" s="73" t="n">
        <x:v>15</x:v>
      </x:c>
      <x:c r="M528" s="73" t="n">
        <x:v>19</x:v>
      </x:c>
      <x:c r="N528" s="73" t="s">
        <x:v>3260</x:v>
      </x:c>
    </x:row>
    <x:row r="529" ht="15" hidden="0">
      <x:c r="A529" s="73" t="s">
        <x:v>4865</x:v>
      </x:c>
      <x:c r="B529" s="73" t="s">
        <x:v>3348</x:v>
      </x:c>
      <x:c r="C529" s="73" t="s">
        <x:v>2321</x:v>
      </x:c>
      <x:c r="D529" s="73" t="s">
        <x:v>4866</x:v>
      </x:c>
      <x:c r="E529" s="73" t="s">
        <x:v>3382</x:v>
      </x:c>
      <x:c r="F529" s="73" t="s">
        <x:v>4867</x:v>
      </x:c>
      <x:c r="G529" s="73" t="n">
        <x:v>22</x:v>
      </x:c>
      <x:c r="H529" s="73" t="n">
        <x:v>45</x:v>
      </x:c>
      <x:c r="I529" s="73" t="s">
        <x:v>72</x:v>
      </x:c>
      <x:c r="J529" s="73" t="n">
        <x:v>2018</x:v>
      </x:c>
      <x:c r="K529" s="73" t="n">
        <x:v>12</x:v>
      </x:c>
      <x:c r="L529" s="73" t="n">
        <x:v>10</x:v>
      </x:c>
      <x:c r="M529" s="73" t="n">
        <x:v>22</x:v>
      </x:c>
      <x:c r="N529" s="73" t="s">
        <x:v>3260</x:v>
      </x:c>
    </x:row>
    <x:row r="530" ht="15" hidden="0">
      <x:c r="A530" s="73" t="s">
        <x:v>4868</x:v>
      </x:c>
      <x:c r="B530" s="73" t="s">
        <x:v>3274</x:v>
      </x:c>
      <x:c r="C530" s="73" t="s">
        <x:v>2326</x:v>
      </x:c>
      <x:c r="D530" s="73" t="s">
        <x:v>4869</x:v>
      </x:c>
      <x:c r="E530" s="73" t="s">
        <x:v>3394</x:v>
      </x:c>
      <x:c r="F530" s="73" t="s">
        <x:v>4870</x:v>
      </x:c>
      <x:c r="G530" s="73" t="n">
        <x:v>35</x:v>
      </x:c>
      <x:c r="H530" s="73" t="n">
        <x:v>70</x:v>
      </x:c>
      <x:c r="I530" s="73" t="s">
        <x:v>72</x:v>
      </x:c>
      <x:c r="J530" s="73" t="n">
        <x:v>2023</x:v>
      </x:c>
      <x:c r="K530" s="73" t="n">
        <x:v>1</x:v>
      </x:c>
      <x:c r="L530" s="73" t="n">
        <x:v>22</x:v>
      </x:c>
      <x:c r="M530" s="73" t="n">
        <x:v>20</x:v>
      </x:c>
      <x:c r="N530" s="73" t="s">
        <x:v>3260</x:v>
      </x:c>
    </x:row>
    <x:row r="531" ht="15" hidden="0">
      <x:c r="A531" s="73" t="s">
        <x:v>4871</x:v>
      </x:c>
      <x:c r="B531" s="73" t="s">
        <x:v>3256</x:v>
      </x:c>
      <x:c r="C531" s="73" t="s">
        <x:v>2331</x:v>
      </x:c>
      <x:c r="D531" s="73" t="s">
        <x:v>4872</x:v>
      </x:c>
      <x:c r="E531" s="73" t="s">
        <x:v>3390</x:v>
      </x:c>
      <x:c r="F531" s="73" t="s">
        <x:v>4873</x:v>
      </x:c>
      <x:c r="G531" s="73" t="n">
        <x:v>30</x:v>
      </x:c>
      <x:c r="H531" s="73" t="n">
        <x:v>60</x:v>
      </x:c>
      <x:c r="I531" s="73" t="s">
        <x:v>4874</x:v>
      </x:c>
      <x:c r="J531" s="73" t="n">
        <x:v>2020</x:v>
      </x:c>
      <x:c r="K531" s="73" t="n">
        <x:v>3</x:v>
      </x:c>
      <x:c r="L531" s="73" t="n">
        <x:v>5</x:v>
      </x:c>
      <x:c r="M531" s="73" t="n">
        <x:v>18</x:v>
      </x:c>
      <x:c r="N531" s="73" t="s">
        <x:v>3244</x:v>
      </x:c>
    </x:row>
    <x:row r="532" ht="15" hidden="0">
      <x:c r="A532" s="73" t="s">
        <x:v>4875</x:v>
      </x:c>
      <x:c r="B532" s="73" t="s">
        <x:v>3262</x:v>
      </x:c>
      <x:c r="C532" s="73" t="s">
        <x:v>2336</x:v>
      </x:c>
      <x:c r="D532" s="73" t="s">
        <x:v>4876</x:v>
      </x:c>
      <x:c r="E532" s="73" t="s">
        <x:v>3382</x:v>
      </x:c>
      <x:c r="F532" s="73" t="s">
        <x:v>4877</x:v>
      </x:c>
      <x:c r="G532" s="73" t="n">
        <x:v>40</x:v>
      </x:c>
      <x:c r="H532" s="73" t="n">
        <x:v>80</x:v>
      </x:c>
      <x:c r="I532" s="73" t="s">
        <x:v>72</x:v>
      </x:c>
      <x:c r="J532" s="73" t="n">
        <x:v>2018</x:v>
      </x:c>
      <x:c r="K532" s="73" t="n">
        <x:v>10</x:v>
      </x:c>
      <x:c r="L532" s="73" t="n">
        <x:v>12</x:v>
      </x:c>
      <x:c r="M532" s="73" t="n">
        <x:v>20</x:v>
      </x:c>
      <x:c r="N532" s="73" t="s">
        <x:v>3260</x:v>
      </x:c>
    </x:row>
    <x:row r="533" ht="15" hidden="0">
      <x:c r="A533" s="73" t="s">
        <x:v>4878</x:v>
      </x:c>
      <x:c r="B533" s="73" t="s">
        <x:v>3245</x:v>
      </x:c>
      <x:c r="C533" s="73" t="s">
        <x:v>2340</x:v>
      </x:c>
      <x:c r="D533" s="73" t="s">
        <x:v>4879</x:v>
      </x:c>
      <x:c r="E533" s="73" t="s">
        <x:v>3390</x:v>
      </x:c>
      <x:c r="F533" s="73" t="s">
        <x:v>4880</x:v>
      </x:c>
      <x:c r="G533" s="73" t="n">
        <x:v>35</x:v>
      </x:c>
      <x:c r="H533" s="73" t="n">
        <x:v>70</x:v>
      </x:c>
      <x:c r="I533" s="73" t="s">
        <x:v>3396</x:v>
      </x:c>
      <x:c r="J533" s="73" t="n">
        <x:v>2019</x:v>
      </x:c>
      <x:c r="K533" s="73" t="n">
        <x:v>6</x:v>
      </x:c>
      <x:c r="L533" s="73" t="n">
        <x:v>25</x:v>
      </x:c>
      <x:c r="M533" s="73" t="n">
        <x:v>22</x:v>
      </x:c>
      <x:c r="N533" s="73" t="s">
        <x:v>3244</x:v>
      </x:c>
    </x:row>
    <x:row r="534" ht="15" hidden="0">
      <x:c r="A534" s="73" t="s">
        <x:v>4881</x:v>
      </x:c>
      <x:c r="B534" s="73" t="s">
        <x:v>3342</x:v>
      </x:c>
      <x:c r="C534" s="73" t="s">
        <x:v>2345</x:v>
      </x:c>
      <x:c r="D534" s="73" t="s">
        <x:v>4882</x:v>
      </x:c>
      <x:c r="E534" s="73" t="s">
        <x:v>3394</x:v>
      </x:c>
      <x:c r="F534" s="73" t="s">
        <x:v>4883</x:v>
      </x:c>
      <x:c r="G534" s="73" t="n">
        <x:v>30</x:v>
      </x:c>
      <x:c r="H534" s="73" t="n">
        <x:v>60</x:v>
      </x:c>
      <x:c r="I534" s="73" t="s">
        <x:v>3387</x:v>
      </x:c>
      <x:c r="J534" s="73" t="n">
        <x:v>2020</x:v>
      </x:c>
      <x:c r="K534" s="73" t="n">
        <x:v>7</x:v>
      </x:c>
      <x:c r="L534" s="73" t="n">
        <x:v>8</x:v>
      </x:c>
      <x:c r="M534" s="73" t="n">
        <x:v>19</x:v>
      </x:c>
      <x:c r="N534" s="73" t="s">
        <x:v>3260</x:v>
      </x:c>
    </x:row>
    <x:row r="535" ht="15" hidden="0">
      <x:c r="A535" s="73" t="s">
        <x:v>4884</x:v>
      </x:c>
      <x:c r="B535" s="73" t="s">
        <x:v>3275</x:v>
      </x:c>
      <x:c r="C535" s="73" t="s">
        <x:v>2349</x:v>
      </x:c>
      <x:c r="D535" s="73" t="s">
        <x:v>4885</x:v>
      </x:c>
      <x:c r="E535" s="73" t="s">
        <x:v>3382</x:v>
      </x:c>
      <x:c r="F535" s="73" t="s">
        <x:v>4886</x:v>
      </x:c>
      <x:c r="G535" s="73" t="n">
        <x:v>22</x:v>
      </x:c>
      <x:c r="H535" s="73" t="n">
        <x:v>45</x:v>
      </x:c>
      <x:c r="I535" s="73" t="s">
        <x:v>3400</x:v>
      </x:c>
      <x:c r="J535" s="73" t="n">
        <x:v>2017</x:v>
      </x:c>
      <x:c r="K535" s="73" t="n">
        <x:v>9</x:v>
      </x:c>
      <x:c r="L535" s="73" t="n">
        <x:v>18</x:v>
      </x:c>
      <x:c r="M535" s="73" t="n">
        <x:v>21</x:v>
      </x:c>
      <x:c r="N535" s="73" t="s">
        <x:v>3260</x:v>
      </x:c>
    </x:row>
    <x:row r="536" ht="15" hidden="0">
      <x:c r="A536" s="73" t="s">
        <x:v>4887</x:v>
      </x:c>
      <x:c r="B536" s="73" t="s">
        <x:v>3374</x:v>
      </x:c>
      <x:c r="C536" s="73" t="s">
        <x:v>2354</x:v>
      </x:c>
      <x:c r="D536" s="73" t="s">
        <x:v>4888</x:v>
      </x:c>
      <x:c r="E536" s="73" t="s">
        <x:v>3390</x:v>
      </x:c>
      <x:c r="F536" s="73" t="s">
        <x:v>4889</x:v>
      </x:c>
      <x:c r="G536" s="73" t="n">
        <x:v>28</x:v>
      </x:c>
      <x:c r="H536" s="73" t="n">
        <x:v>55</x:v>
      </x:c>
      <x:c r="I536" s="73" t="s">
        <x:v>3404</x:v>
      </x:c>
      <x:c r="J536" s="73" t="n">
        <x:v>2021</x:v>
      </x:c>
      <x:c r="K536" s="73" t="n">
        <x:v>1</x:v>
      </x:c>
      <x:c r="L536" s="73" t="n">
        <x:v>15</x:v>
      </x:c>
      <x:c r="M536" s="73" t="n">
        <x:v>18</x:v>
      </x:c>
      <x:c r="N536" s="73" t="s">
        <x:v>3260</x:v>
      </x:c>
    </x:row>
    <x:row r="537" ht="15" hidden="0">
      <x:c r="A537" s="73" t="s">
        <x:v>4890</x:v>
      </x:c>
      <x:c r="B537" s="73" t="s">
        <x:v>3264</x:v>
      </x:c>
      <x:c r="C537" s="73" t="s">
        <x:v>2358</x:v>
      </x:c>
      <x:c r="D537" s="73" t="s">
        <x:v>4891</x:v>
      </x:c>
      <x:c r="E537" s="73" t="s">
        <x:v>3394</x:v>
      </x:c>
      <x:c r="F537" s="73" t="s">
        <x:v>4892</x:v>
      </x:c>
      <x:c r="G537" s="73" t="n">
        <x:v>18</x:v>
      </x:c>
      <x:c r="H537" s="73" t="n">
        <x:v>35</x:v>
      </x:c>
      <x:c r="I537" s="73" t="s">
        <x:v>72</x:v>
      </x:c>
      <x:c r="J537" s="73" t="n">
        <x:v>2016</x:v>
      </x:c>
      <x:c r="K537" s="73" t="n">
        <x:v>2</x:v>
      </x:c>
      <x:c r="L537" s="73" t="n">
        <x:v>28</x:v>
      </x:c>
      <x:c r="M537" s="73" t="n">
        <x:v>20</x:v>
      </x:c>
      <x:c r="N537" s="73" t="s">
        <x:v>3260</x:v>
      </x:c>
    </x:row>
    <x:row r="538" ht="15" hidden="0">
      <x:c r="A538" s="73" t="s">
        <x:v>4893</x:v>
      </x:c>
      <x:c r="B538" s="73" t="s">
        <x:v>3276</x:v>
      </x:c>
      <x:c r="C538" s="73" t="s">
        <x:v>2362</x:v>
      </x:c>
      <x:c r="D538" s="73" t="s">
        <x:v>4894</x:v>
      </x:c>
      <x:c r="E538" s="73" t="s">
        <x:v>3382</x:v>
      </x:c>
      <x:c r="F538" s="73" t="s">
        <x:v>4895</x:v>
      </x:c>
      <x:c r="G538" s="73" t="n">
        <x:v>22</x:v>
      </x:c>
      <x:c r="H538" s="73" t="n">
        <x:v>45</x:v>
      </x:c>
      <x:c r="I538" s="73" t="s">
        <x:v>4320</x:v>
      </x:c>
      <x:c r="J538" s="73" t="n">
        <x:v>2022</x:v>
      </x:c>
      <x:c r="K538" s="73" t="n">
        <x:v>4</x:v>
      </x:c>
      <x:c r="L538" s="73" t="n">
        <x:v>20</x:v>
      </x:c>
      <x:c r="M538" s="73" t="n">
        <x:v>17</x:v>
      </x:c>
      <x:c r="N538" s="73" t="s">
        <x:v>3260</x:v>
      </x:c>
    </x:row>
    <x:row r="539" ht="15" hidden="0">
      <x:c r="A539" s="73" t="s">
        <x:v>4896</x:v>
      </x:c>
      <x:c r="B539" s="73" t="s">
        <x:v>3250</x:v>
      </x:c>
      <x:c r="C539" s="73" t="s">
        <x:v>2366</x:v>
      </x:c>
      <x:c r="D539" s="73" t="s">
        <x:v>4897</x:v>
      </x:c>
      <x:c r="E539" s="73" t="s">
        <x:v>3390</x:v>
      </x:c>
      <x:c r="F539" s="73" t="s">
        <x:v>4898</x:v>
      </x:c>
      <x:c r="G539" s="73" t="n">
        <x:v>28</x:v>
      </x:c>
      <x:c r="H539" s="73" t="n">
        <x:v>55</x:v>
      </x:c>
      <x:c r="I539" s="73" t="s">
        <x:v>4435</x:v>
      </x:c>
      <x:c r="J539" s="73" t="n">
        <x:v>2019</x:v>
      </x:c>
      <x:c r="K539" s="73" t="n">
        <x:v>11</x:v>
      </x:c>
      <x:c r="L539" s="73" t="n">
        <x:v>5</x:v>
      </x:c>
      <x:c r="M539" s="73" t="n">
        <x:v>21</x:v>
      </x:c>
      <x:c r="N539" s="73" t="s">
        <x:v>3244</x:v>
      </x:c>
    </x:row>
    <x:row r="540" ht="15" hidden="0">
      <x:c r="A540" s="73" t="s">
        <x:v>4899</x:v>
      </x:c>
      <x:c r="B540" s="73" t="s">
        <x:v>3243</x:v>
      </x:c>
      <x:c r="C540" s="73" t="s">
        <x:v>2371</x:v>
      </x:c>
      <x:c r="D540" s="73" t="s">
        <x:v>4900</x:v>
      </x:c>
      <x:c r="E540" s="73" t="s">
        <x:v>3394</x:v>
      </x:c>
      <x:c r="F540" s="73" t="s">
        <x:v>4901</x:v>
      </x:c>
      <x:c r="G540" s="73" t="n">
        <x:v>35</x:v>
      </x:c>
      <x:c r="H540" s="73" t="n">
        <x:v>70</x:v>
      </x:c>
      <x:c r="I540" s="73" t="s">
        <x:v>4328</x:v>
      </x:c>
      <x:c r="J540" s="73" t="n">
        <x:v>2015</x:v>
      </x:c>
      <x:c r="K540" s="73" t="n">
        <x:v>7</x:v>
      </x:c>
      <x:c r="L540" s="73" t="n">
        <x:v>12</x:v>
      </x:c>
      <x:c r="M540" s="73" t="n">
        <x:v>22</x:v>
      </x:c>
      <x:c r="N540" s="73" t="s">
        <x:v>3189</x:v>
      </x:c>
    </x:row>
    <x:row r="541" ht="15" hidden="0">
      <x:c r="A541" s="73" t="s">
        <x:v>4902</x:v>
      </x:c>
      <x:c r="B541" s="73" t="s">
        <x:v>3305</x:v>
      </x:c>
      <x:c r="C541" s="73" t="s">
        <x:v>2376</x:v>
      </x:c>
      <x:c r="D541" s="73" t="s">
        <x:v>4903</x:v>
      </x:c>
      <x:c r="E541" s="73" t="s">
        <x:v>3382</x:v>
      </x:c>
      <x:c r="F541" s="73" t="s">
        <x:v>4904</x:v>
      </x:c>
      <x:c r="G541" s="73" t="n">
        <x:v>22</x:v>
      </x:c>
      <x:c r="H541" s="73" t="n">
        <x:v>45</x:v>
      </x:c>
      <x:c r="I541" s="73" t="s">
        <x:v>4324</x:v>
      </x:c>
      <x:c r="J541" s="73" t="n">
        <x:v>2020</x:v>
      </x:c>
      <x:c r="K541" s="73" t="n">
        <x:v>9</x:v>
      </x:c>
      <x:c r="L541" s="73" t="n">
        <x:v>10</x:v>
      </x:c>
      <x:c r="M541" s="73" t="n">
        <x:v>19</x:v>
      </x:c>
      <x:c r="N541" s="73" t="s">
        <x:v>3260</x:v>
      </x:c>
    </x:row>
    <x:row r="542" ht="15" hidden="0">
      <x:c r="A542" s="73" t="s">
        <x:v>4905</x:v>
      </x:c>
      <x:c r="B542" s="73" t="s">
        <x:v>3261</x:v>
      </x:c>
      <x:c r="C542" s="73" t="s">
        <x:v>2380</x:v>
      </x:c>
      <x:c r="D542" s="73" t="s">
        <x:v>4906</x:v>
      </x:c>
      <x:c r="E542" s="73" t="s">
        <x:v>3390</x:v>
      </x:c>
      <x:c r="F542" s="73" t="s">
        <x:v>4907</x:v>
      </x:c>
      <x:c r="G542" s="73" t="n">
        <x:v>40</x:v>
      </x:c>
      <x:c r="H542" s="73" t="n">
        <x:v>80</x:v>
      </x:c>
      <x:c r="I542" s="73" t="s">
        <x:v>4324</x:v>
      </x:c>
      <x:c r="J542" s="73" t="n">
        <x:v>2018</x:v>
      </x:c>
      <x:c r="K542" s="73" t="n">
        <x:v>7</x:v>
      </x:c>
      <x:c r="L542" s="73" t="n">
        <x:v>15</x:v>
      </x:c>
      <x:c r="M542" s="73" t="n">
        <x:v>21</x:v>
      </x:c>
      <x:c r="N542" s="73" t="s">
        <x:v>3260</x:v>
      </x:c>
    </x:row>
    <x:row r="543" ht="15" hidden="0">
      <x:c r="A543" s="73" t="s">
        <x:v>4908</x:v>
      </x:c>
      <x:c r="B543" s="73" t="s">
        <x:v>3276</x:v>
      </x:c>
      <x:c r="C543" s="73" t="s">
        <x:v>2384</x:v>
      </x:c>
      <x:c r="D543" s="73" t="s">
        <x:v>4909</x:v>
      </x:c>
      <x:c r="E543" s="73" t="s">
        <x:v>3382</x:v>
      </x:c>
      <x:c r="F543" s="73" t="s">
        <x:v>4910</x:v>
      </x:c>
      <x:c r="G543" s="73" t="n">
        <x:v>35</x:v>
      </x:c>
      <x:c r="H543" s="73" t="n">
        <x:v>70</x:v>
      </x:c>
      <x:c r="I543" s="73" t="s">
        <x:v>72</x:v>
      </x:c>
      <x:c r="J543" s="73" t="n">
        <x:v>2020</x:v>
      </x:c>
      <x:c r="K543" s="73" t="n">
        <x:v>8</x:v>
      </x:c>
      <x:c r="L543" s="73" t="n">
        <x:v>8</x:v>
      </x:c>
      <x:c r="M543" s="73" t="n">
        <x:v>19</x:v>
      </x:c>
      <x:c r="N543" s="73" t="s">
        <x:v>3260</x:v>
      </x:c>
    </x:row>
    <x:row r="544" ht="15" hidden="0">
      <x:c r="A544" s="73" t="s">
        <x:v>4911</x:v>
      </x:c>
      <x:c r="B544" s="73" t="s">
        <x:v>3262</x:v>
      </x:c>
      <x:c r="C544" s="73" t="s">
        <x:v>2340</x:v>
      </x:c>
      <x:c r="D544" s="73" t="s">
        <x:v>4912</x:v>
      </x:c>
      <x:c r="E544" s="73" t="s">
        <x:v>3394</x:v>
      </x:c>
      <x:c r="F544" s="73" t="s">
        <x:v>4913</x:v>
      </x:c>
      <x:c r="G544" s="73" t="n">
        <x:v>30</x:v>
      </x:c>
      <x:c r="H544" s="73" t="n">
        <x:v>60</x:v>
      </x:c>
      <x:c r="I544" s="73" t="s">
        <x:v>3404</x:v>
      </x:c>
      <x:c r="J544" s="73" t="n">
        <x:v>2019</x:v>
      </x:c>
      <x:c r="K544" s="73" t="n">
        <x:v>6</x:v>
      </x:c>
      <x:c r="L544" s="73" t="n">
        <x:v>25</x:v>
      </x:c>
      <x:c r="M544" s="73" t="n">
        <x:v>22</x:v>
      </x:c>
      <x:c r="N544" s="73" t="s">
        <x:v>3260</x:v>
      </x:c>
    </x:row>
    <x:row r="545" ht="15" hidden="0">
      <x:c r="A545" s="73" t="s">
        <x:v>4914</x:v>
      </x:c>
      <x:c r="B545" s="73" t="s">
        <x:v>3282</x:v>
      </x:c>
      <x:c r="C545" s="73" t="s">
        <x:v>2392</x:v>
      </x:c>
      <x:c r="D545" s="73" t="s">
        <x:v>4915</x:v>
      </x:c>
      <x:c r="E545" s="73" t="s">
        <x:v>3390</x:v>
      </x:c>
      <x:c r="F545" s="73" t="s">
        <x:v>4916</x:v>
      </x:c>
      <x:c r="G545" s="73" t="n">
        <x:v>22</x:v>
      </x:c>
      <x:c r="H545" s="73" t="n">
        <x:v>45</x:v>
      </x:c>
      <x:c r="I545" s="73" t="s">
        <x:v>4917</x:v>
      </x:c>
      <x:c r="J545" s="73" t="n">
        <x:v>2021</x:v>
      </x:c>
      <x:c r="K545" s="73" t="n">
        <x:v>11</x:v>
      </x:c>
      <x:c r="L545" s="73" t="n">
        <x:v>7</x:v>
      </x:c>
      <x:c r="M545" s="73" t="n">
        <x:v>17</x:v>
      </x:c>
      <x:c r="N545" s="73" t="s">
        <x:v>3260</x:v>
      </x:c>
    </x:row>
    <x:row r="546" ht="15" hidden="0">
      <x:c r="A546" s="73" t="s">
        <x:v>4918</x:v>
      </x:c>
      <x:c r="B546" s="73" t="s">
        <x:v>3309</x:v>
      </x:c>
      <x:c r="C546" s="73" t="s">
        <x:v>2304</x:v>
      </x:c>
      <x:c r="D546" s="73" t="s">
        <x:v>4919</x:v>
      </x:c>
      <x:c r="E546" s="73" t="s">
        <x:v>3382</x:v>
      </x:c>
      <x:c r="F546" s="73" t="s">
        <x:v>4920</x:v>
      </x:c>
      <x:c r="G546" s="73" t="n">
        <x:v>28</x:v>
      </x:c>
      <x:c r="H546" s="73" t="n">
        <x:v>55</x:v>
      </x:c>
      <x:c r="I546" s="73" t="s">
        <x:v>3396</x:v>
      </x:c>
      <x:c r="J546" s="73" t="n">
        <x:v>2017</x:v>
      </x:c>
      <x:c r="K546" s="73" t="n">
        <x:v>9</x:v>
      </x:c>
      <x:c r="L546" s="73" t="n">
        <x:v>10</x:v>
      </x:c>
      <x:c r="M546" s="73" t="n">
        <x:v>20</x:v>
      </x:c>
      <x:c r="N546" s="73" t="s">
        <x:v>3260</x:v>
      </x:c>
    </x:row>
    <x:row r="547" ht="15" hidden="0">
      <x:c r="A547" s="73" t="s">
        <x:v>4921</x:v>
      </x:c>
      <x:c r="B547" s="73" t="s">
        <x:v>3375</x:v>
      </x:c>
      <x:c r="C547" s="73" t="s">
        <x:v>2401</x:v>
      </x:c>
      <x:c r="D547" s="73" t="s">
        <x:v>4922</x:v>
      </x:c>
      <x:c r="E547" s="73" t="s">
        <x:v>3394</x:v>
      </x:c>
      <x:c r="F547" s="73" t="s">
        <x:v>4923</x:v>
      </x:c>
      <x:c r="G547" s="73" t="n">
        <x:v>18</x:v>
      </x:c>
      <x:c r="H547" s="73" t="n">
        <x:v>35</x:v>
      </x:c>
      <x:c r="I547" s="73" t="s">
        <x:v>72</x:v>
      </x:c>
      <x:c r="J547" s="73" t="n">
        <x:v>2022</x:v>
      </x:c>
      <x:c r="K547" s="73" t="n">
        <x:v>6</x:v>
      </x:c>
      <x:c r="L547" s="73" t="n">
        <x:v>20</x:v>
      </x:c>
      <x:c r="M547" s="73" t="n">
        <x:v>21</x:v>
      </x:c>
      <x:c r="N547" s="73" t="s">
        <x:v>3260</x:v>
      </x:c>
    </x:row>
    <x:row r="548" ht="15" hidden="0">
      <x:c r="A548" s="73" t="s">
        <x:v>4924</x:v>
      </x:c>
      <x:c r="B548" s="73" t="s">
        <x:v>3268</x:v>
      </x:c>
      <x:c r="C548" s="73" t="s">
        <x:v>2405</x:v>
      </x:c>
      <x:c r="D548" s="73" t="s">
        <x:v>4925</x:v>
      </x:c>
      <x:c r="E548" s="73" t="s">
        <x:v>3390</x:v>
      </x:c>
      <x:c r="F548" s="73" t="s">
        <x:v>4926</x:v>
      </x:c>
      <x:c r="G548" s="73" t="n">
        <x:v>22</x:v>
      </x:c>
      <x:c r="H548" s="73" t="n">
        <x:v>45</x:v>
      </x:c>
      <x:c r="I548" s="73" t="s">
        <x:v>4927</x:v>
      </x:c>
      <x:c r="J548" s="73" t="n">
        <x:v>2016</x:v>
      </x:c>
      <x:c r="K548" s="73" t="n">
        <x:v>4</x:v>
      </x:c>
      <x:c r="L548" s="73" t="n">
        <x:v>10</x:v>
      </x:c>
      <x:c r="M548" s="73" t="n">
        <x:v>18</x:v>
      </x:c>
      <x:c r="N548" s="73" t="s">
        <x:v>3260</x:v>
      </x:c>
    </x:row>
    <x:row r="549" ht="15" hidden="0">
      <x:c r="A549" s="73" t="s">
        <x:v>4928</x:v>
      </x:c>
      <x:c r="B549" s="73" t="s">
        <x:v>3293</x:v>
      </x:c>
      <x:c r="C549" s="73" t="s">
        <x:v>2410</x:v>
      </x:c>
      <x:c r="D549" s="73" t="s">
        <x:v>4929</x:v>
      </x:c>
      <x:c r="E549" s="73" t="s">
        <x:v>3382</x:v>
      </x:c>
      <x:c r="F549" s="73" t="s">
        <x:v>4930</x:v>
      </x:c>
      <x:c r="G549" s="73" t="n">
        <x:v>28</x:v>
      </x:c>
      <x:c r="H549" s="73" t="n">
        <x:v>55</x:v>
      </x:c>
      <x:c r="I549" s="73" t="s">
        <x:v>4435</x:v>
      </x:c>
      <x:c r="J549" s="73" t="n">
        <x:v>2019</x:v>
      </x:c>
      <x:c r="K549" s="73" t="n">
        <x:v>11</x:v>
      </x:c>
      <x:c r="L549" s="73" t="n">
        <x:v>24</x:v>
      </x:c>
      <x:c r="M549" s="73" t="n">
        <x:v>19</x:v>
      </x:c>
      <x:c r="N549" s="73" t="s">
        <x:v>3260</x:v>
      </x:c>
    </x:row>
    <x:row r="550" ht="15" hidden="0">
      <x:c r="A550" s="73" t="s">
        <x:v>4931</x:v>
      </x:c>
      <x:c r="B550" s="73" t="s">
        <x:v>3271</x:v>
      </x:c>
      <x:c r="C550" s="73" t="s">
        <x:v>2414</x:v>
      </x:c>
      <x:c r="D550" s="73" t="s">
        <x:v>4932</x:v>
      </x:c>
      <x:c r="E550" s="73" t="s">
        <x:v>3394</x:v>
      </x:c>
      <x:c r="F550" s="73" t="s">
        <x:v>4933</x:v>
      </x:c>
      <x:c r="G550" s="73" t="n">
        <x:v>35</x:v>
      </x:c>
      <x:c r="H550" s="73" t="n">
        <x:v>70</x:v>
      </x:c>
      <x:c r="I550" s="73" t="s">
        <x:v>4443</x:v>
      </x:c>
      <x:c r="J550" s="73" t="n">
        <x:v>2015</x:v>
      </x:c>
      <x:c r="K550" s="73" t="n">
        <x:v>9</x:v>
      </x:c>
      <x:c r="L550" s="73" t="n">
        <x:v>28</x:v>
      </x:c>
      <x:c r="M550" s="73" t="n">
        <x:v>22</x:v>
      </x:c>
      <x:c r="N550" s="73" t="s">
        <x:v>3260</x:v>
      </x:c>
    </x:row>
    <x:row r="551" ht="15" hidden="0">
      <x:c r="A551" s="73" t="s">
        <x:v>4934</x:v>
      </x:c>
      <x:c r="B551" s="73" t="s">
        <x:v>3347</x:v>
      </x:c>
      <x:c r="C551" s="73" t="s">
        <x:v>2419</x:v>
      </x:c>
      <x:c r="D551" s="73" t="s">
        <x:v>4935</x:v>
      </x:c>
      <x:c r="E551" s="73" t="s">
        <x:v>3390</x:v>
      </x:c>
      <x:c r="F551" s="73" t="s">
        <x:v>4936</x:v>
      </x:c>
      <x:c r="G551" s="73" t="n">
        <x:v>22</x:v>
      </x:c>
      <x:c r="H551" s="73" t="n">
        <x:v>45</x:v>
      </x:c>
      <x:c r="I551" s="73" t="s">
        <x:v>3387</x:v>
      </x:c>
      <x:c r="J551" s="73" t="n">
        <x:v>2020</x:v>
      </x:c>
      <x:c r="K551" s="73" t="n">
        <x:v>12</x:v>
      </x:c>
      <x:c r="L551" s="73" t="n">
        <x:v>12</x:v>
      </x:c>
      <x:c r="M551" s="73" t="n">
        <x:v>20</x:v>
      </x:c>
      <x:c r="N551" s="73" t="s">
        <x:v>3260</x:v>
      </x:c>
    </x:row>
    <x:row r="552" ht="15" hidden="0">
      <x:c r="A552" s="73" t="s">
        <x:v>4937</x:v>
      </x:c>
      <x:c r="B552" s="73" t="s">
        <x:v>3222</x:v>
      </x:c>
      <x:c r="C552" s="73" t="s">
        <x:v>2423</x:v>
      </x:c>
      <x:c r="D552" s="73" t="s">
        <x:v>4938</x:v>
      </x:c>
      <x:c r="E552" s="73" t="s">
        <x:v>3382</x:v>
      </x:c>
      <x:c r="F552" s="73" t="s">
        <x:v>4939</x:v>
      </x:c>
      <x:c r="G552" s="73" t="n">
        <x:v>40</x:v>
      </x:c>
      <x:c r="H552" s="73" t="n">
        <x:v>80</x:v>
      </x:c>
      <x:c r="I552" s="73" t="s">
        <x:v>4324</x:v>
      </x:c>
      <x:c r="J552" s="73" t="n">
        <x:v>2019</x:v>
      </x:c>
      <x:c r="K552" s="73" t="n">
        <x:v>11</x:v>
      </x:c>
      <x:c r="L552" s="73" t="n">
        <x:v>2</x:v>
      </x:c>
      <x:c r="M552" s="73" t="n">
        <x:v>18</x:v>
      </x:c>
      <x:c r="N552" s="73" t="s">
        <x:v>3189</x:v>
      </x:c>
    </x:row>
    <x:row r="553" ht="15" hidden="0">
      <x:c r="A553" s="73" t="s">
        <x:v>4940</x:v>
      </x:c>
      <x:c r="B553" s="73" t="s">
        <x:v>3196</x:v>
      </x:c>
      <x:c r="C553" s="73" t="s">
        <x:v>2427</x:v>
      </x:c>
      <x:c r="D553" s="73" t="s">
        <x:v>4941</x:v>
      </x:c>
      <x:c r="E553" s="73" t="s">
        <x:v>3390</x:v>
      </x:c>
      <x:c r="F553" s="73" t="s">
        <x:v>4942</x:v>
      </x:c>
      <x:c r="G553" s="73" t="n">
        <x:v>35</x:v>
      </x:c>
      <x:c r="H553" s="73" t="n">
        <x:v>70</x:v>
      </x:c>
      <x:c r="I553" s="73" t="s">
        <x:v>72</x:v>
      </x:c>
      <x:c r="J553" s="73" t="n">
        <x:v>2018</x:v>
      </x:c>
      <x:c r="K553" s="73" t="n">
        <x:v>7</x:v>
      </x:c>
      <x:c r="L553" s="73" t="n">
        <x:v>10</x:v>
      </x:c>
      <x:c r="M553" s="73" t="n">
        <x:v>21</x:v>
      </x:c>
      <x:c r="N553" s="73" t="s">
        <x:v>3189</x:v>
      </x:c>
    </x:row>
    <x:row r="554" ht="15" hidden="0">
      <x:c r="A554" s="73" t="s">
        <x:v>4943</x:v>
      </x:c>
      <x:c r="B554" s="73" t="s">
        <x:v>3249</x:v>
      </x:c>
      <x:c r="C554" s="73" t="s">
        <x:v>2431</x:v>
      </x:c>
      <x:c r="D554" s="73" t="s">
        <x:v>4944</x:v>
      </x:c>
      <x:c r="E554" s="73" t="s">
        <x:v>3394</x:v>
      </x:c>
      <x:c r="F554" s="73" t="s">
        <x:v>4945</x:v>
      </x:c>
      <x:c r="G554" s="73" t="n">
        <x:v>30</x:v>
      </x:c>
      <x:c r="H554" s="73" t="n">
        <x:v>60</x:v>
      </x:c>
      <x:c r="I554" s="73" t="s">
        <x:v>3396</x:v>
      </x:c>
      <x:c r="J554" s="73" t="n">
        <x:v>2020</x:v>
      </x:c>
      <x:c r="K554" s="73" t="n">
        <x:v>9</x:v>
      </x:c>
      <x:c r="L554" s="73" t="n">
        <x:v>18</x:v>
      </x:c>
      <x:c r="M554" s="73" t="n">
        <x:v>19</x:v>
      </x:c>
      <x:c r="N554" s="73" t="s">
        <x:v>3244</x:v>
      </x:c>
    </x:row>
    <x:row r="555" ht="15" hidden="0">
      <x:c r="A555" s="73" t="s">
        <x:v>4946</x:v>
      </x:c>
      <x:c r="B555" s="73" t="s">
        <x:v>3238</x:v>
      </x:c>
      <x:c r="C555" s="73" t="s">
        <x:v>2436</x:v>
      </x:c>
      <x:c r="D555" s="73" t="s">
        <x:v>4947</x:v>
      </x:c>
      <x:c r="E555" s="73" t="s">
        <x:v>3382</x:v>
      </x:c>
      <x:c r="F555" s="73" t="s">
        <x:v>4948</x:v>
      </x:c>
      <x:c r="G555" s="73" t="n">
        <x:v>22</x:v>
      </x:c>
      <x:c r="H555" s="73" t="n">
        <x:v>45</x:v>
      </x:c>
      <x:c r="I555" s="73" t="s">
        <x:v>4320</x:v>
      </x:c>
      <x:c r="J555" s="73" t="n">
        <x:v>2017</x:v>
      </x:c>
      <x:c r="K555" s="73" t="n">
        <x:v>5</x:v>
      </x:c>
      <x:c r="L555" s="73" t="n">
        <x:v>15</x:v>
      </x:c>
      <x:c r="M555" s="73" t="n">
        <x:v>22</x:v>
      </x:c>
      <x:c r="N555" s="73" t="s">
        <x:v>3189</x:v>
      </x:c>
    </x:row>
    <x:row r="556" ht="15" hidden="0">
      <x:c r="A556" s="73" t="s">
        <x:v>4949</x:v>
      </x:c>
      <x:c r="B556" s="73" t="s">
        <x:v>3258</x:v>
      </x:c>
      <x:c r="C556" s="73" t="s">
        <x:v>2441</x:v>
      </x:c>
      <x:c r="D556" s="73" t="s">
        <x:v>4950</x:v>
      </x:c>
      <x:c r="E556" s="73" t="s">
        <x:v>3390</x:v>
      </x:c>
      <x:c r="F556" s="73" t="s">
        <x:v>4951</x:v>
      </x:c>
      <x:c r="G556" s="73" t="n">
        <x:v>28</x:v>
      </x:c>
      <x:c r="H556" s="73" t="n">
        <x:v>55</x:v>
      </x:c>
      <x:c r="I556" s="73" t="s">
        <x:v>4328</x:v>
      </x:c>
      <x:c r="J556" s="73" t="n">
        <x:v>2021</x:v>
      </x:c>
      <x:c r="K556" s="73" t="n">
        <x:v>4</x:v>
      </x:c>
      <x:c r="L556" s="73" t="n">
        <x:v>5</x:v>
      </x:c>
      <x:c r="M556" s="73" t="n">
        <x:v>20</x:v>
      </x:c>
      <x:c r="N556" s="73" t="s">
        <x:v>3244</x:v>
      </x:c>
    </x:row>
    <x:row r="557" ht="15" hidden="0">
      <x:c r="A557" s="73" t="s">
        <x:v>4952</x:v>
      </x:c>
      <x:c r="B557" s="73" t="s">
        <x:v>3239</x:v>
      </x:c>
      <x:c r="C557" s="73" t="s">
        <x:v>2446</x:v>
      </x:c>
      <x:c r="D557" s="73" t="s">
        <x:v>4953</x:v>
      </x:c>
      <x:c r="E557" s="73" t="s">
        <x:v>3394</x:v>
      </x:c>
      <x:c r="F557" s="73" t="s">
        <x:v>4954</x:v>
      </x:c>
      <x:c r="G557" s="73" t="n">
        <x:v>18</x:v>
      </x:c>
      <x:c r="H557" s="73" t="n">
        <x:v>35</x:v>
      </x:c>
      <x:c r="I557" s="73" t="s">
        <x:v>72</x:v>
      </x:c>
      <x:c r="J557" s="73" t="n">
        <x:v>2016</x:v>
      </x:c>
      <x:c r="K557" s="73" t="n">
        <x:v>8</x:v>
      </x:c>
      <x:c r="L557" s="73" t="n">
        <x:v>20</x:v>
      </x:c>
      <x:c r="M557" s="73" t="n">
        <x:v>18</x:v>
      </x:c>
      <x:c r="N557" s="73" t="s">
        <x:v>3189</x:v>
      </x:c>
    </x:row>
    <x:row r="558" ht="15" hidden="0">
      <x:c r="A558" s="73" t="s">
        <x:v>4955</x:v>
      </x:c>
      <x:c r="B558" s="73" t="s">
        <x:v>3367</x:v>
      </x:c>
      <x:c r="C558" s="73" t="s">
        <x:v>2451</x:v>
      </x:c>
      <x:c r="D558" s="73" t="s">
        <x:v>4956</x:v>
      </x:c>
      <x:c r="E558" s="73" t="s">
        <x:v>3382</x:v>
      </x:c>
      <x:c r="F558" s="73" t="s">
        <x:v>4957</x:v>
      </x:c>
      <x:c r="G558" s="73" t="n">
        <x:v>22</x:v>
      </x:c>
      <x:c r="H558" s="73" t="n">
        <x:v>45</x:v>
      </x:c>
      <x:c r="I558" s="73" t="s">
        <x:v>3387</x:v>
      </x:c>
      <x:c r="J558" s="73" t="n">
        <x:v>2019</x:v>
      </x:c>
      <x:c r="K558" s="73" t="n">
        <x:v>2</x:v>
      </x:c>
      <x:c r="L558" s="73" t="n">
        <x:v>12</x:v>
      </x:c>
      <x:c r="M558" s="73" t="n">
        <x:v>19</x:v>
      </x:c>
      <x:c r="N558" s="73" t="s">
        <x:v>3260</x:v>
      </x:c>
    </x:row>
    <x:row r="559" ht="15" hidden="0">
      <x:c r="A559" s="73" t="s">
        <x:v>4958</x:v>
      </x:c>
      <x:c r="B559" s="73" t="s">
        <x:v>3237</x:v>
      </x:c>
      <x:c r="C559" s="73" t="s">
        <x:v>2456</x:v>
      </x:c>
      <x:c r="D559" s="73" t="s">
        <x:v>4959</x:v>
      </x:c>
      <x:c r="E559" s="73" t="s">
        <x:v>3390</x:v>
      </x:c>
      <x:c r="F559" s="73" t="s">
        <x:v>4960</x:v>
      </x:c>
      <x:c r="G559" s="73" t="n">
        <x:v>28</x:v>
      </x:c>
      <x:c r="H559" s="73" t="n">
        <x:v>55</x:v>
      </x:c>
      <x:c r="I559" s="73" t="s">
        <x:v>3400</x:v>
      </x:c>
      <x:c r="J559" s="73" t="n">
        <x:v>2015</x:v>
      </x:c>
      <x:c r="K559" s="73" t="n">
        <x:v>6</x:v>
      </x:c>
      <x:c r="L559" s="73" t="n">
        <x:v>28</x:v>
      </x:c>
      <x:c r="M559" s="73" t="n">
        <x:v>20</x:v>
      </x:c>
      <x:c r="N559" s="73" t="s">
        <x:v>3189</x:v>
      </x:c>
    </x:row>
    <x:row r="560" ht="15" hidden="0">
      <x:c r="A560" s="73" t="s">
        <x:v>4961</x:v>
      </x:c>
      <x:c r="B560" s="73" t="s">
        <x:v>3329</x:v>
      </x:c>
      <x:c r="C560" s="73" t="s">
        <x:v>2461</x:v>
      </x:c>
      <x:c r="D560" s="73" t="s">
        <x:v>4962</x:v>
      </x:c>
      <x:c r="E560" s="73" t="s">
        <x:v>3394</x:v>
      </x:c>
      <x:c r="F560" s="73" t="s">
        <x:v>4963</x:v>
      </x:c>
      <x:c r="G560" s="73" t="n">
        <x:v>35</x:v>
      </x:c>
      <x:c r="H560" s="73" t="n">
        <x:v>70</x:v>
      </x:c>
      <x:c r="I560" s="73" t="s">
        <x:v>4435</x:v>
      </x:c>
      <x:c r="J560" s="73" t="n">
        <x:v>2022</x:v>
      </x:c>
      <x:c r="K560" s="73" t="n">
        <x:v>1</x:v>
      </x:c>
      <x:c r="L560" s="73" t="n">
        <x:v>8</x:v>
      </x:c>
      <x:c r="M560" s="73" t="n">
        <x:v>21</x:v>
      </x:c>
      <x:c r="N560" s="73" t="s">
        <x:v>3260</x:v>
      </x:c>
    </x:row>
    <x:row r="561" ht="15" hidden="0">
      <x:c r="A561" s="73" t="s">
        <x:v>4964</x:v>
      </x:c>
      <x:c r="B561" s="73" t="s">
        <x:v>3188</x:v>
      </x:c>
      <x:c r="C561" s="73" t="s">
        <x:v>2465</x:v>
      </x:c>
      <x:c r="D561" s="73" t="s">
        <x:v>4965</x:v>
      </x:c>
      <x:c r="E561" s="73" t="s">
        <x:v>3382</x:v>
      </x:c>
      <x:c r="F561" s="73" t="s">
        <x:v>4966</x:v>
      </x:c>
      <x:c r="G561" s="73" t="n">
        <x:v>22</x:v>
      </x:c>
      <x:c r="H561" s="73" t="n">
        <x:v>45</x:v>
      </x:c>
      <x:c r="I561" s="73" t="s">
        <x:v>4455</x:v>
      </x:c>
      <x:c r="J561" s="73" t="n">
        <x:v>2018</x:v>
      </x:c>
      <x:c r="K561" s="73" t="n">
        <x:v>12</x:v>
      </x:c>
      <x:c r="L561" s="73" t="n">
        <x:v>15</x:v>
      </x:c>
      <x:c r="M561" s="73" t="n">
        <x:v>20</x:v>
      </x:c>
      <x:c r="N561" s="73" t="s">
        <x:v>3189</x:v>
      </x:c>
    </x:row>
    <x:row r="562" ht="15" hidden="0">
      <x:c r="A562" s="73" t="s">
        <x:v>4967</x:v>
      </x:c>
      <x:c r="B562" s="73" t="s">
        <x:v>3317</x:v>
      </x:c>
      <x:c r="C562" s="73" t="s">
        <x:v>2469</x:v>
      </x:c>
      <x:c r="D562" s="73" t="s">
        <x:v>4968</x:v>
      </x:c>
      <x:c r="E562" s="73" t="s">
        <x:v>3390</x:v>
      </x:c>
      <x:c r="F562" s="73" t="s">
        <x:v>4969</x:v>
      </x:c>
      <x:c r="G562" s="73" t="n">
        <x:v>40</x:v>
      </x:c>
      <x:c r="H562" s="73" t="n">
        <x:v>80</x:v>
      </x:c>
      <x:c r="I562" s="73" t="s">
        <x:v>3387</x:v>
      </x:c>
      <x:c r="J562" s="73" t="n">
        <x:v>2021</x:v>
      </x:c>
      <x:c r="K562" s="73" t="n">
        <x:v>7</x:v>
      </x:c>
      <x:c r="L562" s="73" t="n">
        <x:v>10</x:v>
      </x:c>
      <x:c r="M562" s="73" t="n">
        <x:v>19</x:v>
      </x:c>
      <x:c r="N562" s="73" t="s">
        <x:v>3260</x:v>
      </x:c>
    </x:row>
    <x:row r="563" ht="15" hidden="0">
      <x:c r="A563" s="73" t="s">
        <x:v>4970</x:v>
      </x:c>
      <x:c r="B563" s="73" t="s">
        <x:v>3295</x:v>
      </x:c>
      <x:c r="C563" s="73" t="s">
        <x:v>2473</x:v>
      </x:c>
      <x:c r="D563" s="73" t="s">
        <x:v>4971</x:v>
      </x:c>
      <x:c r="E563" s="73" t="s">
        <x:v>3382</x:v>
      </x:c>
      <x:c r="F563" s="73" t="s">
        <x:v>4972</x:v>
      </x:c>
      <x:c r="G563" s="73" t="n">
        <x:v>35</x:v>
      </x:c>
      <x:c r="H563" s="73" t="n">
        <x:v>70</x:v>
      </x:c>
      <x:c r="I563" s="73" t="s">
        <x:v>72</x:v>
      </x:c>
      <x:c r="J563" s="73" t="n">
        <x:v>2019</x:v>
      </x:c>
      <x:c r="K563" s="73" t="n">
        <x:v>9</x:v>
      </x:c>
      <x:c r="L563" s="73" t="n">
        <x:v>28</x:v>
      </x:c>
      <x:c r="M563" s="73" t="n">
        <x:v>20</x:v>
      </x:c>
      <x:c r="N563" s="73" t="s">
        <x:v>3260</x:v>
      </x:c>
    </x:row>
    <x:row r="564" ht="15" hidden="0">
      <x:c r="A564" s="73" t="s">
        <x:v>4973</x:v>
      </x:c>
      <x:c r="B564" s="73" t="s">
        <x:v>3370</x:v>
      </x:c>
      <x:c r="C564" s="73" t="s">
        <x:v>2478</x:v>
      </x:c>
      <x:c r="D564" s="73" t="s">
        <x:v>4974</x:v>
      </x:c>
      <x:c r="E564" s="73" t="s">
        <x:v>3394</x:v>
      </x:c>
      <x:c r="F564" s="73" t="s">
        <x:v>4975</x:v>
      </x:c>
      <x:c r="G564" s="73" t="n">
        <x:v>30</x:v>
      </x:c>
      <x:c r="H564" s="73" t="n">
        <x:v>60</x:v>
      </x:c>
      <x:c r="I564" s="73" t="s">
        <x:v>4320</x:v>
      </x:c>
      <x:c r="J564" s="73" t="n">
        <x:v>2022</x:v>
      </x:c>
      <x:c r="K564" s="73" t="n">
        <x:v>3</x:v>
      </x:c>
      <x:c r="L564" s="73" t="n">
        <x:v>15</x:v>
      </x:c>
      <x:c r="M564" s="73" t="n">
        <x:v>18</x:v>
      </x:c>
      <x:c r="N564" s="73" t="s">
        <x:v>3260</x:v>
      </x:c>
    </x:row>
    <x:row r="565" ht="15" hidden="0">
      <x:c r="A565" s="73" t="s">
        <x:v>4976</x:v>
      </x:c>
      <x:c r="B565" s="73" t="s">
        <x:v>3299</x:v>
      </x:c>
      <x:c r="C565" s="73" t="s">
        <x:v>2482</x:v>
      </x:c>
      <x:c r="D565" s="73" t="s">
        <x:v>4977</x:v>
      </x:c>
      <x:c r="E565" s="73" t="s">
        <x:v>3390</x:v>
      </x:c>
      <x:c r="F565" s="73" t="s">
        <x:v>4978</x:v>
      </x:c>
      <x:c r="G565" s="73" t="n">
        <x:v>22</x:v>
      </x:c>
      <x:c r="H565" s="73" t="n">
        <x:v>45</x:v>
      </x:c>
      <x:c r="I565" s="73" t="s">
        <x:v>4324</x:v>
      </x:c>
      <x:c r="J565" s="73" t="n">
        <x:v>2017</x:v>
      </x:c>
      <x:c r="K565" s="73" t="n">
        <x:v>11</x:v>
      </x:c>
      <x:c r="L565" s="73" t="n">
        <x:v>5</x:v>
      </x:c>
      <x:c r="M565" s="73" t="n">
        <x:v>21</x:v>
      </x:c>
      <x:c r="N565" s="73" t="s">
        <x:v>3260</x:v>
      </x:c>
    </x:row>
    <x:row r="566" ht="15" hidden="0">
      <x:c r="A566" s="73" t="s">
        <x:v>4979</x:v>
      </x:c>
      <x:c r="B566" s="73" t="s">
        <x:v>3326</x:v>
      </x:c>
      <x:c r="C566" s="73" t="s">
        <x:v>2487</x:v>
      </x:c>
      <x:c r="D566" s="73" t="s">
        <x:v>4980</x:v>
      </x:c>
      <x:c r="E566" s="73" t="s">
        <x:v>3382</x:v>
      </x:c>
      <x:c r="F566" s="73" t="s">
        <x:v>4981</x:v>
      </x:c>
      <x:c r="G566" s="73" t="n">
        <x:v>28</x:v>
      </x:c>
      <x:c r="H566" s="73" t="n">
        <x:v>55</x:v>
      </x:c>
      <x:c r="I566" s="73" t="s">
        <x:v>4435</x:v>
      </x:c>
      <x:c r="J566" s="73" t="n">
        <x:v>2020</x:v>
      </x:c>
      <x:c r="K566" s="73" t="n">
        <x:v>5</x:v>
      </x:c>
      <x:c r="L566" s="73" t="n">
        <x:v>20</x:v>
      </x:c>
      <x:c r="M566" s="73" t="n">
        <x:v>16</x:v>
      </x:c>
      <x:c r="N566" s="73" t="s">
        <x:v>3260</x:v>
      </x:c>
    </x:row>
    <x:row r="567" ht="15" hidden="0">
      <x:c r="A567" s="73" t="s">
        <x:v>4982</x:v>
      </x:c>
      <x:c r="B567" s="73" t="s">
        <x:v>3302</x:v>
      </x:c>
      <x:c r="C567" s="73" t="s">
        <x:v>2492</x:v>
      </x:c>
      <x:c r="D567" s="73" t="s">
        <x:v>4983</x:v>
      </x:c>
      <x:c r="E567" s="73" t="s">
        <x:v>3394</x:v>
      </x:c>
      <x:c r="F567" s="73" t="s">
        <x:v>4984</x:v>
      </x:c>
      <x:c r="G567" s="73" t="n">
        <x:v>18</x:v>
      </x:c>
      <x:c r="H567" s="73" t="n">
        <x:v>35</x:v>
      </x:c>
      <x:c r="I567" s="73" t="s">
        <x:v>3396</x:v>
      </x:c>
      <x:c r="J567" s="73" t="n">
        <x:v>2016</x:v>
      </x:c>
      <x:c r="K567" s="73" t="n">
        <x:v>8</x:v>
      </x:c>
      <x:c r="L567" s="73" t="n">
        <x:v>22</x:v>
      </x:c>
      <x:c r="M567" s="73" t="n">
        <x:v>19</x:v>
      </x:c>
      <x:c r="N567" s="73" t="s">
        <x:v>3260</x:v>
      </x:c>
    </x:row>
    <x:row r="568" ht="15" hidden="0">
      <x:c r="A568" s="73" t="s">
        <x:v>4985</x:v>
      </x:c>
      <x:c r="B568" s="73" t="s">
        <x:v>3351</x:v>
      </x:c>
      <x:c r="C568" s="73" t="s">
        <x:v>2497</x:v>
      </x:c>
      <x:c r="D568" s="73" t="s">
        <x:v>4986</x:v>
      </x:c>
      <x:c r="E568" s="73" t="s">
        <x:v>3390</x:v>
      </x:c>
      <x:c r="F568" s="73" t="s">
        <x:v>4987</x:v>
      </x:c>
      <x:c r="G568" s="73" t="n">
        <x:v>22</x:v>
      </x:c>
      <x:c r="H568" s="73" t="n">
        <x:v>45</x:v>
      </x:c>
      <x:c r="I568" s="73" t="s">
        <x:v>3404</x:v>
      </x:c>
      <x:c r="J568" s="73" t="n">
        <x:v>2023</x:v>
      </x:c>
      <x:c r="K568" s="73" t="n">
        <x:v>4</x:v>
      </x:c>
      <x:c r="L568" s="73" t="n">
        <x:v>10</x:v>
      </x:c>
      <x:c r="M568" s="73" t="n">
        <x:v>17</x:v>
      </x:c>
      <x:c r="N568" s="73" t="s">
        <x:v>3260</x:v>
      </x:c>
    </x:row>
    <x:row r="569" ht="15" hidden="0">
      <x:c r="A569" s="73" t="s">
        <x:v>4988</x:v>
      </x:c>
      <x:c r="B569" s="73" t="s">
        <x:v>3252</x:v>
      </x:c>
      <x:c r="C569" s="73" t="s">
        <x:v>2502</x:v>
      </x:c>
      <x:c r="D569" s="73" t="s">
        <x:v>4989</x:v>
      </x:c>
      <x:c r="E569" s="73" t="s">
        <x:v>3382</x:v>
      </x:c>
      <x:c r="F569" s="73" t="s">
        <x:v>4990</x:v>
      </x:c>
      <x:c r="G569" s="73" t="n">
        <x:v>28</x:v>
      </x:c>
      <x:c r="H569" s="73" t="n">
        <x:v>55</x:v>
      </x:c>
      <x:c r="I569" s="73" t="s">
        <x:v>4443</x:v>
      </x:c>
      <x:c r="J569" s="73" t="n">
        <x:v>2015</x:v>
      </x:c>
      <x:c r="K569" s="73" t="n">
        <x:v>12</x:v>
      </x:c>
      <x:c r="L569" s="73" t="n">
        <x:v>18</x:v>
      </x:c>
      <x:c r="M569" s="73" t="n">
        <x:v>18</x:v>
      </x:c>
      <x:c r="N569" s="73" t="s">
        <x:v>3244</x:v>
      </x:c>
    </x:row>
    <x:row r="570" ht="15" hidden="0">
      <x:c r="A570" s="73" t="s">
        <x:v>4991</x:v>
      </x:c>
      <x:c r="B570" s="73" t="s">
        <x:v>3349</x:v>
      </x:c>
      <x:c r="C570" s="73" t="s">
        <x:v>2507</x:v>
      </x:c>
      <x:c r="D570" s="73" t="s">
        <x:v>4992</x:v>
      </x:c>
      <x:c r="E570" s="73" t="s">
        <x:v>3394</x:v>
      </x:c>
      <x:c r="F570" s="73" t="s">
        <x:v>4993</x:v>
      </x:c>
      <x:c r="G570" s="73" t="n">
        <x:v>35</x:v>
      </x:c>
      <x:c r="H570" s="73" t="n">
        <x:v>70</x:v>
      </x:c>
      <x:c r="I570" s="73" t="s">
        <x:v>4328</x:v>
      </x:c>
      <x:c r="J570" s="73" t="n">
        <x:v>2021</x:v>
      </x:c>
      <x:c r="K570" s="73" t="n">
        <x:v>10</x:v>
      </x:c>
      <x:c r="L570" s="73" t="n">
        <x:v>8</x:v>
      </x:c>
      <x:c r="M570" s="73" t="n">
        <x:v>20</x:v>
      </x:c>
      <x:c r="N570" s="73" t="s">
        <x:v>3260</x:v>
      </x:c>
    </x:row>
    <x:row r="571" ht="15" hidden="0">
      <x:c r="A571" s="73" t="s">
        <x:v>4994</x:v>
      </x:c>
      <x:c r="B571" s="73" t="s">
        <x:v>3376</x:v>
      </x:c>
      <x:c r="C571" s="73" t="s">
        <x:v>2512</x:v>
      </x:c>
      <x:c r="D571" s="73" t="s">
        <x:v>4995</x:v>
      </x:c>
      <x:c r="E571" s="73" t="s">
        <x:v>3390</x:v>
      </x:c>
      <x:c r="F571" s="73" t="s">
        <x:v>4996</x:v>
      </x:c>
      <x:c r="G571" s="73" t="n">
        <x:v>22</x:v>
      </x:c>
      <x:c r="H571" s="73" t="n">
        <x:v>45</x:v>
      </x:c>
      <x:c r="I571" s="73" t="s">
        <x:v>3400</x:v>
      </x:c>
      <x:c r="J571" s="73" t="n">
        <x:v>2019</x:v>
      </x:c>
      <x:c r="K571" s="73" t="n">
        <x:v>3</x:v>
      </x:c>
      <x:c r="L571" s="73" t="n">
        <x:v>22</x:v>
      </x:c>
      <x:c r="M571" s="73" t="n">
        <x:v>21</x:v>
      </x:c>
      <x:c r="N571" s="73" t="s">
        <x:v>3260</x:v>
      </x:c>
    </x:row>
    <x:row r="572" ht="15" hidden="0">
      <x:c r="A572" s="73" t="s">
        <x:v>4997</x:v>
      </x:c>
      <x:c r="B572" s="73" t="s">
        <x:v>3357</x:v>
      </x:c>
      <x:c r="C572" s="73" t="s">
        <x:v>2517</x:v>
      </x:c>
      <x:c r="D572" s="73" t="s">
        <x:v>4998</x:v>
      </x:c>
      <x:c r="E572" s="73" t="s">
        <x:v>3382</x:v>
      </x:c>
      <x:c r="F572" s="73" t="s">
        <x:v>4999</x:v>
      </x:c>
      <x:c r="G572" s="73" t="n">
        <x:v>40</x:v>
      </x:c>
      <x:c r="H572" s="73" t="n">
        <x:v>80</x:v>
      </x:c>
      <x:c r="I572" s="73" t="s">
        <x:v>72</x:v>
      </x:c>
      <x:c r="J572" s="73" t="n">
        <x:v>2018</x:v>
      </x:c>
      <x:c r="K572" s="73" t="n">
        <x:v>6</x:v>
      </x:c>
      <x:c r="L572" s="73" t="n">
        <x:v>15</x:v>
      </x:c>
      <x:c r="M572" s="73" t="n">
        <x:v>22</x:v>
      </x:c>
      <x:c r="N572" s="73" t="s">
        <x:v>3260</x:v>
      </x:c>
    </x:row>
    <x:row r="573" ht="15" hidden="0">
      <x:c r="A573" s="73" t="s">
        <x:v>5000</x:v>
      </x:c>
      <x:c r="B573" s="73" t="s">
        <x:v>3335</x:v>
      </x:c>
      <x:c r="C573" s="73" t="s">
        <x:v>2522</x:v>
      </x:c>
      <x:c r="D573" s="73" t="s">
        <x:v>5001</x:v>
      </x:c>
      <x:c r="E573" s="73" t="s">
        <x:v>3390</x:v>
      </x:c>
      <x:c r="F573" s="73" t="s">
        <x:v>5002</x:v>
      </x:c>
      <x:c r="G573" s="73" t="n">
        <x:v>35</x:v>
      </x:c>
      <x:c r="H573" s="73" t="n">
        <x:v>70</x:v>
      </x:c>
      <x:c r="I573" s="73" t="s">
        <x:v>5003</x:v>
      </x:c>
      <x:c r="J573" s="73" t="n">
        <x:v>2019</x:v>
      </x:c>
      <x:c r="K573" s="73" t="n">
        <x:v>8</x:v>
      </x:c>
      <x:c r="L573" s="73" t="n">
        <x:v>28</x:v>
      </x:c>
      <x:c r="M573" s="73" t="n">
        <x:v>19</x:v>
      </x:c>
      <x:c r="N573" s="73" t="s">
        <x:v>3260</x:v>
      </x:c>
    </x:row>
    <x:row r="574" ht="15" hidden="0">
      <x:c r="A574" s="73" t="s">
        <x:v>5004</x:v>
      </x:c>
      <x:c r="B574" s="73" t="s">
        <x:v>3377</x:v>
      </x:c>
      <x:c r="C574" s="73" t="s">
        <x:v>2528</x:v>
      </x:c>
      <x:c r="D574" s="73" t="s">
        <x:v>5005</x:v>
      </x:c>
      <x:c r="E574" s="73" t="s">
        <x:v>3394</x:v>
      </x:c>
      <x:c r="F574" s="73" t="s">
        <x:v>5006</x:v>
      </x:c>
      <x:c r="G574" s="73" t="n">
        <x:v>30</x:v>
      </x:c>
      <x:c r="H574" s="73" t="n">
        <x:v>60</x:v>
      </x:c>
      <x:c r="I574" s="73" t="s">
        <x:v>3387</x:v>
      </x:c>
      <x:c r="J574" s="73" t="n">
        <x:v>2022</x:v>
      </x:c>
      <x:c r="K574" s="73" t="n">
        <x:v>12</x:v>
      </x:c>
      <x:c r="L574" s="73" t="n">
        <x:v>1</x:v>
      </x:c>
      <x:c r="M574" s="73" t="n">
        <x:v>17</x:v>
      </x:c>
      <x:c r="N574" s="73" t="s">
        <x:v>3260</x:v>
      </x:c>
    </x:row>
    <x:row r="575" ht="15" hidden="0">
      <x:c r="A575" s="73" t="s">
        <x:v>5007</x:v>
      </x:c>
      <x:c r="B575" s="73" t="s">
        <x:v>3373</x:v>
      </x:c>
      <x:c r="C575" s="73" t="s">
        <x:v>2533</x:v>
      </x:c>
      <x:c r="D575" s="73" t="s">
        <x:v>5008</x:v>
      </x:c>
      <x:c r="E575" s="73" t="s">
        <x:v>3382</x:v>
      </x:c>
      <x:c r="F575" s="73" t="s">
        <x:v>5009</x:v>
      </x:c>
      <x:c r="G575" s="73" t="n">
        <x:v>22</x:v>
      </x:c>
      <x:c r="H575" s="73" t="n">
        <x:v>45</x:v>
      </x:c>
      <x:c r="I575" s="73" t="s">
        <x:v>3396</x:v>
      </x:c>
      <x:c r="J575" s="73" t="n">
        <x:v>2017</x:v>
      </x:c>
      <x:c r="K575" s="73" t="n">
        <x:v>4</x:v>
      </x:c>
      <x:c r="L575" s="73" t="n">
        <x:v>10</x:v>
      </x:c>
      <x:c r="M575" s="73" t="n">
        <x:v>21</x:v>
      </x:c>
      <x:c r="N575" s="73" t="s">
        <x:v>3260</x:v>
      </x:c>
    </x:row>
    <x:row r="576" ht="15" hidden="0">
      <x:c r="A576" s="73" t="s">
        <x:v>5010</x:v>
      </x:c>
      <x:c r="B576" s="73" t="s">
        <x:v>3360</x:v>
      </x:c>
      <x:c r="C576" s="73" t="s">
        <x:v>2538</x:v>
      </x:c>
      <x:c r="D576" s="73" t="s">
        <x:v>5011</x:v>
      </x:c>
      <x:c r="E576" s="73" t="s">
        <x:v>3390</x:v>
      </x:c>
      <x:c r="F576" s="73" t="s">
        <x:v>5012</x:v>
      </x:c>
      <x:c r="G576" s="73" t="n">
        <x:v>28</x:v>
      </x:c>
      <x:c r="H576" s="73" t="n">
        <x:v>55</x:v>
      </x:c>
      <x:c r="I576" s="73" t="s">
        <x:v>3400</x:v>
      </x:c>
      <x:c r="J576" s="73" t="n">
        <x:v>2020</x:v>
      </x:c>
      <x:c r="K576" s="73" t="n">
        <x:v>5</x:v>
      </x:c>
      <x:c r="L576" s="73" t="n">
        <x:v>15</x:v>
      </x:c>
      <x:c r="M576" s="73" t="n">
        <x:v>18</x:v>
      </x:c>
      <x:c r="N576" s="73" t="s">
        <x:v>3260</x:v>
      </x:c>
    </x:row>
    <x:row r="577" ht="15" hidden="0">
      <x:c r="A577" s="73" t="s">
        <x:v>5013</x:v>
      </x:c>
      <x:c r="B577" s="73" t="s">
        <x:v>3328</x:v>
      </x:c>
      <x:c r="C577" s="73" t="s">
        <x:v>2543</x:v>
      </x:c>
      <x:c r="D577" s="73" t="s">
        <x:v>5014</x:v>
      </x:c>
      <x:c r="E577" s="73" t="s">
        <x:v>3394</x:v>
      </x:c>
      <x:c r="F577" s="73" t="s">
        <x:v>5015</x:v>
      </x:c>
      <x:c r="G577" s="73" t="n">
        <x:v>18</x:v>
      </x:c>
      <x:c r="H577" s="73" t="n">
        <x:v>35</x:v>
      </x:c>
      <x:c r="I577" s="73" t="s">
        <x:v>72</x:v>
      </x:c>
      <x:c r="J577" s="73" t="n">
        <x:v>2016</x:v>
      </x:c>
      <x:c r="K577" s="73" t="n">
        <x:v>9</x:v>
      </x:c>
      <x:c r="L577" s="73" t="n">
        <x:v>22</x:v>
      </x:c>
      <x:c r="M577" s="73" t="n">
        <x:v>20</x:v>
      </x:c>
      <x:c r="N577" s="73" t="s">
        <x:v>3260</x:v>
      </x:c>
    </x:row>
    <x:row r="578" ht="15" hidden="0">
      <x:c r="A578" s="73" t="s">
        <x:v>5016</x:v>
      </x:c>
      <x:c r="B578" s="73" t="s">
        <x:v>3334</x:v>
      </x:c>
      <x:c r="C578" s="73" t="s">
        <x:v>2548</x:v>
      </x:c>
      <x:c r="D578" s="73" t="s">
        <x:v>5017</x:v>
      </x:c>
      <x:c r="E578" s="73" t="s">
        <x:v>3382</x:v>
      </x:c>
      <x:c r="F578" s="73" t="s">
        <x:v>5018</x:v>
      </x:c>
      <x:c r="G578" s="73" t="n">
        <x:v>22</x:v>
      </x:c>
      <x:c r="H578" s="73" t="n">
        <x:v>45</x:v>
      </x:c>
      <x:c r="I578" s="73" t="s">
        <x:v>4320</x:v>
      </x:c>
      <x:c r="J578" s="73" t="n">
        <x:v>2023</x:v>
      </x:c>
      <x:c r="K578" s="73" t="n">
        <x:v>2</x:v>
      </x:c>
      <x:c r="L578" s="73" t="n">
        <x:v>12</x:v>
      </x:c>
      <x:c r="M578" s="73" t="n">
        <x:v>19</x:v>
      </x:c>
      <x:c r="N578" s="73" t="s">
        <x:v>3260</x:v>
      </x:c>
    </x:row>
    <x:row r="579" ht="15" hidden="0">
      <x:c r="A579" s="73" t="s">
        <x:v>5019</x:v>
      </x:c>
      <x:c r="B579" s="73" t="s">
        <x:v>3369</x:v>
      </x:c>
      <x:c r="C579" s="73" t="s">
        <x:v>2553</x:v>
      </x:c>
      <x:c r="D579" s="73" t="s">
        <x:v>5020</x:v>
      </x:c>
      <x:c r="E579" s="73" t="s">
        <x:v>3390</x:v>
      </x:c>
      <x:c r="F579" s="73" t="s">
        <x:v>5021</x:v>
      </x:c>
      <x:c r="G579" s="73" t="n">
        <x:v>28</x:v>
      </x:c>
      <x:c r="H579" s="73" t="n">
        <x:v>55</x:v>
      </x:c>
      <x:c r="I579" s="73" t="s">
        <x:v>4443</x:v>
      </x:c>
      <x:c r="J579" s="73" t="n">
        <x:v>2015</x:v>
      </x:c>
      <x:c r="K579" s="73" t="n">
        <x:v>11</x:v>
      </x:c>
      <x:c r="L579" s="73" t="n">
        <x:v>10</x:v>
      </x:c>
      <x:c r="M579" s="73" t="n">
        <x:v>21</x:v>
      </x:c>
      <x:c r="N579" s="73" t="s">
        <x:v>3260</x:v>
      </x:c>
    </x:row>
    <x:row r="580" ht="15" hidden="0">
      <x:c r="A580" s="73" t="s">
        <x:v>5022</x:v>
      </x:c>
      <x:c r="B580" s="73" t="s">
        <x:v>3361</x:v>
      </x:c>
      <x:c r="C580" s="73" t="s">
        <x:v>2558</x:v>
      </x:c>
      <x:c r="D580" s="73" t="s">
        <x:v>5023</x:v>
      </x:c>
      <x:c r="E580" s="73" t="s">
        <x:v>3394</x:v>
      </x:c>
      <x:c r="F580" s="73" t="s">
        <x:v>5024</x:v>
      </x:c>
      <x:c r="G580" s="73" t="n">
        <x:v>22</x:v>
      </x:c>
      <x:c r="H580" s="73" t="n">
        <x:v>45</x:v>
      </x:c>
      <x:c r="I580" s="73" t="s">
        <x:v>4324</x:v>
      </x:c>
      <x:c r="J580" s="73" t="n">
        <x:v>2021</x:v>
      </x:c>
      <x:c r="K580" s="73" t="n">
        <x:v>7</x:v>
      </x:c>
      <x:c r="L580" s="73" t="n">
        <x:v>20</x:v>
      </x:c>
      <x:c r="M580" s="73" t="n">
        <x:v>18</x:v>
      </x:c>
      <x:c r="N580" s="73" t="s">
        <x:v>3260</x:v>
      </x:c>
    </x:row>
    <x:row r="581" ht="15" hidden="0">
      <x:c r="A581" s="73" t="s">
        <x:v>5025</x:v>
      </x:c>
      <x:c r="B581" s="73" t="s">
        <x:v>3259</x:v>
      </x:c>
      <x:c r="C581" s="73" t="s">
        <x:v>2563</x:v>
      </x:c>
      <x:c r="D581" s="73" t="s">
        <x:v>5026</x:v>
      </x:c>
      <x:c r="E581" s="73" t="s">
        <x:v>3382</x:v>
      </x:c>
      <x:c r="F581" s="73" t="s">
        <x:v>5027</x:v>
      </x:c>
      <x:c r="G581" s="73" t="n">
        <x:v>35</x:v>
      </x:c>
      <x:c r="H581" s="73" t="n">
        <x:v>70</x:v>
      </x:c>
      <x:c r="I581" s="73" t="s">
        <x:v>4332</x:v>
      </x:c>
      <x:c r="J581" s="73" t="n">
        <x:v>2019</x:v>
      </x:c>
      <x:c r="K581" s="73" t="n">
        <x:v>4</x:v>
      </x:c>
      <x:c r="L581" s="73" t="n">
        <x:v>18</x:v>
      </x:c>
      <x:c r="M581" s="73" t="n">
        <x:v>20</x:v>
      </x:c>
      <x:c r="N581" s="73" t="s">
        <x:v>3244</x:v>
      </x:c>
    </x:row>
    <x:row r="582" ht="15" hidden="0">
      <x:c r="A582" s="73" t="s">
        <x:v>5028</x:v>
      </x:c>
      <x:c r="B582" s="73" t="s">
        <x:v>3262</x:v>
      </x:c>
      <x:c r="C582" s="73" t="s">
        <x:v>2567</x:v>
      </x:c>
      <x:c r="D582" s="73" t="s">
        <x:v>5029</x:v>
      </x:c>
      <x:c r="E582" s="73" t="s">
        <x:v>3382</x:v>
      </x:c>
      <x:c r="F582" s="73" t="s">
        <x:v>5030</x:v>
      </x:c>
      <x:c r="G582" s="73" t="n">
        <x:v>15</x:v>
      </x:c>
      <x:c r="H582" s="73" t="n">
        <x:v>30</x:v>
      </x:c>
      <x:c r="I582" s="73" t="s">
        <x:v>72</x:v>
      </x:c>
      <x:c r="J582" s="73" t="n">
        <x:v>2023</x:v>
      </x:c>
      <x:c r="K582" s="73" t="n">
        <x:v>5</x:v>
      </x:c>
      <x:c r="L582" s="73" t="n">
        <x:v>20</x:v>
      </x:c>
      <x:c r="M582" s="73" t="n">
        <x:v>19</x:v>
      </x:c>
      <x:c r="N582" s="73" t="s">
        <x:v>3260</x:v>
      </x:c>
    </x:row>
    <x:row r="583" ht="15" hidden="0">
      <x:c r="A583" s="73" t="s">
        <x:v>5031</x:v>
      </x:c>
      <x:c r="B583" s="73" t="s">
        <x:v>3205</x:v>
      </x:c>
      <x:c r="C583" s="73" t="s">
        <x:v>2573</x:v>
      </x:c>
      <x:c r="D583" s="73" t="s">
        <x:v>3409</x:v>
      </x:c>
      <x:c r="E583" s="73" t="s">
        <x:v>3390</x:v>
      </x:c>
      <x:c r="F583" s="73" t="s">
        <x:v>5032</x:v>
      </x:c>
      <x:c r="G583" s="73" t="n">
        <x:v>18</x:v>
      </x:c>
      <x:c r="H583" s="73" t="n">
        <x:v>35</x:v>
      </x:c>
      <x:c r="I583" s="73" t="s">
        <x:v>3387</x:v>
      </x:c>
      <x:c r="J583" s="73" t="n">
        <x:v>2023</x:v>
      </x:c>
      <x:c r="K583" s="73" t="n">
        <x:v>5</x:v>
      </x:c>
      <x:c r="L583" s="73" t="n">
        <x:v>21</x:v>
      </x:c>
      <x:c r="M583" s="73" t="n">
        <x:v>21</x:v>
      </x:c>
      <x:c r="N583" s="73" t="s">
        <x:v>3189</x:v>
      </x:c>
    </x:row>
    <x:row r="584" ht="15" hidden="0">
      <x:c r="A584" s="73" t="s">
        <x:v>5033</x:v>
      </x:c>
      <x:c r="B584" s="73" t="s">
        <x:v>3261</x:v>
      </x:c>
      <x:c r="C584" s="73" t="s">
        <x:v>2578</x:v>
      </x:c>
      <x:c r="D584" s="73" t="s">
        <x:v>5034</x:v>
      </x:c>
      <x:c r="E584" s="73" t="s">
        <x:v>3394</x:v>
      </x:c>
      <x:c r="F584" s="73" t="s">
        <x:v>5035</x:v>
      </x:c>
      <x:c r="G584" s="73" t="n">
        <x:v>22</x:v>
      </x:c>
      <x:c r="H584" s="73" t="n">
        <x:v>45</x:v>
      </x:c>
      <x:c r="I584" s="73" t="s">
        <x:v>3396</x:v>
      </x:c>
      <x:c r="J584" s="73" t="n">
        <x:v>2023</x:v>
      </x:c>
      <x:c r="K584" s="73" t="n">
        <x:v>5</x:v>
      </x:c>
      <x:c r="L584" s="73" t="n">
        <x:v>22</x:v>
      </x:c>
      <x:c r="M584" s="73" t="n">
        <x:v>14</x:v>
      </x:c>
      <x:c r="N584" s="73" t="s">
        <x:v>3260</x:v>
      </x:c>
    </x:row>
    <x:row r="585" ht="15" hidden="0">
      <x:c r="A585" s="73" t="s">
        <x:v>5036</x:v>
      </x:c>
      <x:c r="B585" s="73" t="s">
        <x:v>3196</x:v>
      </x:c>
      <x:c r="C585" s="73" t="s">
        <x:v>2583</x:v>
      </x:c>
      <x:c r="D585" s="73" t="s">
        <x:v>5037</x:v>
      </x:c>
      <x:c r="E585" s="73" t="s">
        <x:v>3382</x:v>
      </x:c>
      <x:c r="F585" s="73" t="s">
        <x:v>5038</x:v>
      </x:c>
      <x:c r="G585" s="73" t="n">
        <x:v>20</x:v>
      </x:c>
      <x:c r="H585" s="73" t="n">
        <x:v>40</x:v>
      </x:c>
      <x:c r="I585" s="73" t="s">
        <x:v>72</x:v>
      </x:c>
      <x:c r="J585" s="73" t="n">
        <x:v>2023</x:v>
      </x:c>
      <x:c r="K585" s="73" t="n">
        <x:v>5</x:v>
      </x:c>
      <x:c r="L585" s="73" t="n">
        <x:v>23</x:v>
      </x:c>
      <x:c r="M585" s="73" t="n">
        <x:v>16</x:v>
      </x:c>
      <x:c r="N585" s="73" t="s">
        <x:v>3189</x:v>
      </x:c>
    </x:row>
    <x:row r="586" ht="15" hidden="0">
      <x:c r="A586" s="73" t="s">
        <x:v>5039</x:v>
      </x:c>
      <x:c r="B586" s="73" t="s">
        <x:v>3248</x:v>
      </x:c>
      <x:c r="C586" s="73" t="s">
        <x:v>2587</x:v>
      </x:c>
      <x:c r="D586" s="73" t="s">
        <x:v>5040</x:v>
      </x:c>
      <x:c r="E586" s="73" t="s">
        <x:v>3390</x:v>
      </x:c>
      <x:c r="F586" s="73" t="s">
        <x:v>5041</x:v>
      </x:c>
      <x:c r="G586" s="73" t="n">
        <x:v>25</x:v>
      </x:c>
      <x:c r="H586" s="73" t="n">
        <x:v>50</x:v>
      </x:c>
      <x:c r="I586" s="73" t="s">
        <x:v>3387</x:v>
      </x:c>
      <x:c r="J586" s="73" t="n">
        <x:v>2023</x:v>
      </x:c>
      <x:c r="K586" s="73" t="n">
        <x:v>5</x:v>
      </x:c>
      <x:c r="L586" s="73" t="n">
        <x:v>24</x:v>
      </x:c>
      <x:c r="M586" s="73" t="n">
        <x:v>13</x:v>
      </x:c>
      <x:c r="N586" s="73" t="s">
        <x:v>3244</x:v>
      </x:c>
    </x:row>
    <x:row r="587" ht="15" hidden="0">
      <x:c r="A587" s="73" t="s">
        <x:v>5042</x:v>
      </x:c>
      <x:c r="B587" s="73" t="s">
        <x:v>3247</x:v>
      </x:c>
      <x:c r="C587" s="73" t="s">
        <x:v>2592</x:v>
      </x:c>
      <x:c r="D587" s="73" t="s">
        <x:v>5043</x:v>
      </x:c>
      <x:c r="E587" s="73" t="s">
        <x:v>3394</x:v>
      </x:c>
      <x:c r="F587" s="73" t="s">
        <x:v>5044</x:v>
      </x:c>
      <x:c r="G587" s="73" t="n">
        <x:v>20</x:v>
      </x:c>
      <x:c r="H587" s="73" t="n">
        <x:v>40</x:v>
      </x:c>
      <x:c r="I587" s="73" t="s">
        <x:v>72</x:v>
      </x:c>
      <x:c r="J587" s="73" t="n">
        <x:v>2023</x:v>
      </x:c>
      <x:c r="K587" s="73" t="n">
        <x:v>5</x:v>
      </x:c>
      <x:c r="L587" s="73" t="n">
        <x:v>25</x:v>
      </x:c>
      <x:c r="M587" s="73" t="n">
        <x:v>19</x:v>
      </x:c>
      <x:c r="N587" s="73" t="s">
        <x:v>3244</x:v>
      </x:c>
    </x:row>
    <x:row r="588" ht="15" hidden="0">
      <x:c r="A588" s="73" t="s">
        <x:v>5045</x:v>
      </x:c>
      <x:c r="B588" s="73" t="s">
        <x:v>3305</x:v>
      </x:c>
      <x:c r="C588" s="73" t="s">
        <x:v>2596</x:v>
      </x:c>
      <x:c r="D588" s="73" t="s">
        <x:v>5046</x:v>
      </x:c>
      <x:c r="E588" s="73" t="s">
        <x:v>3382</x:v>
      </x:c>
      <x:c r="F588" s="73" t="s">
        <x:v>5047</x:v>
      </x:c>
      <x:c r="G588" s="73" t="n">
        <x:v>28</x:v>
      </x:c>
      <x:c r="H588" s="73" t="n">
        <x:v>55</x:v>
      </x:c>
      <x:c r="I588" s="73" t="s">
        <x:v>3396</x:v>
      </x:c>
      <x:c r="J588" s="73" t="n">
        <x:v>2023</x:v>
      </x:c>
      <x:c r="K588" s="73" t="n">
        <x:v>5</x:v>
      </x:c>
      <x:c r="L588" s="73" t="n">
        <x:v>26</x:v>
      </x:c>
      <x:c r="M588" s="73" t="n">
        <x:v>14</x:v>
      </x:c>
      <x:c r="N588" s="73" t="s">
        <x:v>3260</x:v>
      </x:c>
    </x:row>
    <x:row r="589" ht="15" hidden="0">
      <x:c r="A589" s="73" t="s">
        <x:v>5048</x:v>
      </x:c>
      <x:c r="B589" s="73" t="s">
        <x:v>3203</x:v>
      </x:c>
      <x:c r="C589" s="73" t="s">
        <x:v>2601</x:v>
      </x:c>
      <x:c r="D589" s="73" t="s">
        <x:v>5049</x:v>
      </x:c>
      <x:c r="E589" s="73" t="s">
        <x:v>3390</x:v>
      </x:c>
      <x:c r="F589" s="73" t="s">
        <x:v>5050</x:v>
      </x:c>
      <x:c r="G589" s="73" t="n">
        <x:v>22</x:v>
      </x:c>
      <x:c r="H589" s="73" t="n">
        <x:v>45</x:v>
      </x:c>
      <x:c r="I589" s="73" t="s">
        <x:v>3387</x:v>
      </x:c>
      <x:c r="J589" s="73" t="n">
        <x:v>2023</x:v>
      </x:c>
      <x:c r="K589" s="73" t="n">
        <x:v>5</x:v>
      </x:c>
      <x:c r="L589" s="73" t="n">
        <x:v>27</x:v>
      </x:c>
      <x:c r="M589" s="73" t="n">
        <x:v>21</x:v>
      </x:c>
      <x:c r="N589" s="73" t="s">
        <x:v>3189</x:v>
      </x:c>
    </x:row>
    <x:row r="590" ht="15" hidden="0">
      <x:c r="A590" s="73" t="s">
        <x:v>5051</x:v>
      </x:c>
      <x:c r="B590" s="73" t="s">
        <x:v>3248</x:v>
      </x:c>
      <x:c r="C590" s="73" t="s">
        <x:v>2605</x:v>
      </x:c>
      <x:c r="D590" s="73" t="s">
        <x:v>5052</x:v>
      </x:c>
      <x:c r="E590" s="73" t="s">
        <x:v>3394</x:v>
      </x:c>
      <x:c r="F590" s="73" t="s">
        <x:v>5053</x:v>
      </x:c>
      <x:c r="G590" s="73" t="n">
        <x:v>18</x:v>
      </x:c>
      <x:c r="H590" s="73" t="n">
        <x:v>35</x:v>
      </x:c>
      <x:c r="I590" s="73" t="s">
        <x:v>72</x:v>
      </x:c>
      <x:c r="J590" s="73" t="n">
        <x:v>2023</x:v>
      </x:c>
      <x:c r="K590" s="73" t="n">
        <x:v>5</x:v>
      </x:c>
      <x:c r="L590" s="73" t="n">
        <x:v>28</x:v>
      </x:c>
      <x:c r="M590" s="73" t="n">
        <x:v>12</x:v>
      </x:c>
      <x:c r="N590" s="73" t="s">
        <x:v>3244</x:v>
      </x:c>
    </x:row>
    <x:row r="591" ht="15" hidden="0">
      <x:c r="A591" s="73" t="s">
        <x:v>5054</x:v>
      </x:c>
      <x:c r="B591" s="73" t="s">
        <x:v>3261</x:v>
      </x:c>
      <x:c r="C591" s="73" t="s">
        <x:v>2609</x:v>
      </x:c>
      <x:c r="D591" s="73" t="s">
        <x:v>5055</x:v>
      </x:c>
      <x:c r="E591" s="73" t="s">
        <x:v>3382</x:v>
      </x:c>
      <x:c r="F591" s="73" t="s">
        <x:v>5056</x:v>
      </x:c>
      <x:c r="G591" s="73" t="n">
        <x:v>30</x:v>
      </x:c>
      <x:c r="H591" s="73" t="n">
        <x:v>60</x:v>
      </x:c>
      <x:c r="I591" s="73" t="s">
        <x:v>3396</x:v>
      </x:c>
      <x:c r="J591" s="73" t="n">
        <x:v>2023</x:v>
      </x:c>
      <x:c r="K591" s="73" t="n">
        <x:v>5</x:v>
      </x:c>
      <x:c r="L591" s="73" t="n">
        <x:v>29</x:v>
      </x:c>
      <x:c r="M591" s="73" t="n">
        <x:v>23</x:v>
      </x:c>
      <x:c r="N591" s="73" t="s">
        <x:v>3260</x:v>
      </x:c>
    </x:row>
    <x:row r="592" ht="15" hidden="0">
      <x:c r="A592" s="73" t="s">
        <x:v>5057</x:v>
      </x:c>
      <x:c r="B592" s="73" t="s">
        <x:v>3262</x:v>
      </x:c>
      <x:c r="C592" s="73" t="s">
        <x:v>2613</x:v>
      </x:c>
      <x:c r="D592" s="73" t="s">
        <x:v>3505</x:v>
      </x:c>
      <x:c r="E592" s="73" t="s">
        <x:v>3390</x:v>
      </x:c>
      <x:c r="F592" s="73" t="s">
        <x:v>5058</x:v>
      </x:c>
      <x:c r="G592" s="73" t="n">
        <x:v>22</x:v>
      </x:c>
      <x:c r="H592" s="73" t="n">
        <x:v>45</x:v>
      </x:c>
      <x:c r="I592" s="73" t="s">
        <x:v>72</x:v>
      </x:c>
      <x:c r="J592" s="73" t="n">
        <x:v>2023</x:v>
      </x:c>
      <x:c r="K592" s="73" t="n">
        <x:v>5</x:v>
      </x:c>
      <x:c r="L592" s="73" t="n">
        <x:v>30</x:v>
      </x:c>
      <x:c r="M592" s="73" t="n">
        <x:v>20</x:v>
      </x:c>
      <x:c r="N592" s="73" t="s">
        <x:v>3260</x:v>
      </x:c>
    </x:row>
    <x:row r="593" ht="15" hidden="0">
      <x:c r="A593" s="73" t="s">
        <x:v>5059</x:v>
      </x:c>
      <x:c r="B593" s="73" t="s">
        <x:v>3261</x:v>
      </x:c>
      <x:c r="C593" s="73" t="s">
        <x:v>2617</x:v>
      </x:c>
      <x:c r="D593" s="73" t="s">
        <x:v>5060</x:v>
      </x:c>
      <x:c r="E593" s="73" t="s">
        <x:v>3394</x:v>
      </x:c>
      <x:c r="F593" s="73" t="s">
        <x:v>5061</x:v>
      </x:c>
      <x:c r="G593" s="73" t="n">
        <x:v>35</x:v>
      </x:c>
      <x:c r="H593" s="73" t="n">
        <x:v>70</x:v>
      </x:c>
      <x:c r="I593" s="73" t="s">
        <x:v>3387</x:v>
      </x:c>
      <x:c r="J593" s="73" t="n">
        <x:v>2023</x:v>
      </x:c>
      <x:c r="K593" s="73" t="n">
        <x:v>5</x:v>
      </x:c>
      <x:c r="L593" s="73" t="n">
        <x:v>31</x:v>
      </x:c>
      <x:c r="M593" s="73" t="n">
        <x:v>15</x:v>
      </x:c>
      <x:c r="N593" s="73" t="s">
        <x:v>3260</x:v>
      </x:c>
    </x:row>
    <x:row r="594" ht="15" hidden="0">
      <x:c r="A594" s="73" t="s">
        <x:v>5062</x:v>
      </x:c>
      <x:c r="B594" s="73" t="s">
        <x:v>3262</x:v>
      </x:c>
      <x:c r="C594" s="73" t="s">
        <x:v>2621</x:v>
      </x:c>
      <x:c r="D594" s="73" t="s">
        <x:v>5063</x:v>
      </x:c>
      <x:c r="E594" s="73" t="s">
        <x:v>3382</x:v>
      </x:c>
      <x:c r="F594" s="73" t="s">
        <x:v>5064</x:v>
      </x:c>
      <x:c r="G594" s="73" t="n">
        <x:v>20</x:v>
      </x:c>
      <x:c r="H594" s="73" t="n">
        <x:v>40</x:v>
      </x:c>
      <x:c r="I594" s="73" t="s">
        <x:v>72</x:v>
      </x:c>
      <x:c r="J594" s="73" t="n">
        <x:v>2023</x:v>
      </x:c>
      <x:c r="K594" s="73" t="n">
        <x:v>6</x:v>
      </x:c>
      <x:c r="L594" s="73" t="n">
        <x:v>1</x:v>
      </x:c>
      <x:c r="M594" s="73" t="n">
        <x:v>18</x:v>
      </x:c>
      <x:c r="N594" s="73" t="s">
        <x:v>3260</x:v>
      </x:c>
    </x:row>
    <x:row r="595" ht="15" hidden="0">
      <x:c r="A595" s="73" t="s">
        <x:v>5065</x:v>
      </x:c>
      <x:c r="B595" s="73" t="s">
        <x:v>3196</x:v>
      </x:c>
      <x:c r="C595" s="73" t="s">
        <x:v>2625</x:v>
      </x:c>
      <x:c r="D595" s="73" t="s">
        <x:v>5066</x:v>
      </x:c>
      <x:c r="E595" s="73" t="s">
        <x:v>3390</x:v>
      </x:c>
      <x:c r="F595" s="73" t="s">
        <x:v>5067</x:v>
      </x:c>
      <x:c r="G595" s="73" t="n">
        <x:v>28</x:v>
      </x:c>
      <x:c r="H595" s="73" t="n">
        <x:v>55</x:v>
      </x:c>
      <x:c r="I595" s="73" t="s">
        <x:v>3396</x:v>
      </x:c>
      <x:c r="J595" s="73" t="n">
        <x:v>2023</x:v>
      </x:c>
      <x:c r="K595" s="73" t="n">
        <x:v>6</x:v>
      </x:c>
      <x:c r="L595" s="73" t="n">
        <x:v>2</x:v>
      </x:c>
      <x:c r="M595" s="73" t="n">
        <x:v>14</x:v>
      </x:c>
      <x:c r="N595" s="73" t="s">
        <x:v>3189</x:v>
      </x:c>
    </x:row>
    <x:row r="596" ht="15" hidden="0">
      <x:c r="A596" s="73" t="s">
        <x:v>5068</x:v>
      </x:c>
      <x:c r="B596" s="73" t="s">
        <x:v>3261</x:v>
      </x:c>
      <x:c r="C596" s="73" t="s">
        <x:v>2629</x:v>
      </x:c>
      <x:c r="D596" s="73" t="s">
        <x:v>5069</x:v>
      </x:c>
      <x:c r="E596" s="73" t="s">
        <x:v>3394</x:v>
      </x:c>
      <x:c r="F596" s="73" t="s">
        <x:v>5070</x:v>
      </x:c>
      <x:c r="G596" s="73" t="n">
        <x:v>22</x:v>
      </x:c>
      <x:c r="H596" s="73" t="n">
        <x:v>45</x:v>
      </x:c>
      <x:c r="I596" s="73" t="s">
        <x:v>3387</x:v>
      </x:c>
      <x:c r="J596" s="73" t="n">
        <x:v>2023</x:v>
      </x:c>
      <x:c r="K596" s="73" t="n">
        <x:v>6</x:v>
      </x:c>
      <x:c r="L596" s="73" t="n">
        <x:v>3</x:v>
      </x:c>
      <x:c r="M596" s="73" t="n">
        <x:v>21</x:v>
      </x:c>
      <x:c r="N596" s="73" t="s">
        <x:v>3260</x:v>
      </x:c>
    </x:row>
    <x:row r="597" ht="15" hidden="0">
      <x:c r="A597" s="73" t="s">
        <x:v>5071</x:v>
      </x:c>
      <x:c r="B597" s="73" t="s">
        <x:v>3275</x:v>
      </x:c>
      <x:c r="C597" s="73" t="s">
        <x:v>2633</x:v>
      </x:c>
      <x:c r="D597" s="73" t="s">
        <x:v>3798</x:v>
      </x:c>
      <x:c r="E597" s="73" t="s">
        <x:v>3382</x:v>
      </x:c>
      <x:c r="F597" s="73" t="s">
        <x:v>5072</x:v>
      </x:c>
      <x:c r="G597" s="73" t="n">
        <x:v>25</x:v>
      </x:c>
      <x:c r="H597" s="73" t="n">
        <x:v>50</x:v>
      </x:c>
      <x:c r="I597" s="73" t="s">
        <x:v>72</x:v>
      </x:c>
      <x:c r="J597" s="73" t="n">
        <x:v>2023</x:v>
      </x:c>
      <x:c r="K597" s="73" t="n">
        <x:v>6</x:v>
      </x:c>
      <x:c r="L597" s="73" t="n">
        <x:v>4</x:v>
      </x:c>
      <x:c r="M597" s="73" t="n">
        <x:v>19</x:v>
      </x:c>
      <x:c r="N597" s="73" t="s">
        <x:v>3260</x:v>
      </x:c>
    </x:row>
    <x:row r="598" ht="15" hidden="0">
      <x:c r="A598" s="73" t="s">
        <x:v>5073</x:v>
      </x:c>
      <x:c r="B598" s="73" t="s">
        <x:v>3262</x:v>
      </x:c>
      <x:c r="C598" s="73" t="s">
        <x:v>2637</x:v>
      </x:c>
      <x:c r="D598" s="73" t="s">
        <x:v>5074</x:v>
      </x:c>
      <x:c r="E598" s="73" t="s">
        <x:v>3390</x:v>
      </x:c>
      <x:c r="F598" s="73" t="s">
        <x:v>5075</x:v>
      </x:c>
      <x:c r="G598" s="73" t="n">
        <x:v>18</x:v>
      </x:c>
      <x:c r="H598" s="73" t="n">
        <x:v>35</x:v>
      </x:c>
      <x:c r="I598" s="73" t="s">
        <x:v>3396</x:v>
      </x:c>
      <x:c r="J598" s="73" t="n">
        <x:v>2023</x:v>
      </x:c>
      <x:c r="K598" s="73" t="n">
        <x:v>6</x:v>
      </x:c>
      <x:c r="L598" s="73" t="n">
        <x:v>5</x:v>
      </x:c>
      <x:c r="M598" s="73" t="n">
        <x:v>10</x:v>
      </x:c>
      <x:c r="N598" s="73" t="s">
        <x:v>3260</x:v>
      </x:c>
    </x:row>
    <x:row r="599" ht="15" hidden="0">
      <x:c r="A599" s="73" t="s">
        <x:v>5076</x:v>
      </x:c>
      <x:c r="B599" s="73" t="s">
        <x:v>3261</x:v>
      </x:c>
      <x:c r="C599" s="73" t="s">
        <x:v>2641</x:v>
      </x:c>
      <x:c r="D599" s="73" t="s">
        <x:v>4424</x:v>
      </x:c>
      <x:c r="E599" s="73" t="s">
        <x:v>3394</x:v>
      </x:c>
      <x:c r="F599" s="73" t="s">
        <x:v>5077</x:v>
      </x:c>
      <x:c r="G599" s="73" t="n">
        <x:v>28</x:v>
      </x:c>
      <x:c r="H599" s="73" t="n">
        <x:v>55</x:v>
      </x:c>
      <x:c r="I599" s="73" t="s">
        <x:v>3387</x:v>
      </x:c>
      <x:c r="J599" s="73" t="n">
        <x:v>2023</x:v>
      </x:c>
      <x:c r="K599" s="73" t="n">
        <x:v>6</x:v>
      </x:c>
      <x:c r="L599" s="73" t="n">
        <x:v>6</x:v>
      </x:c>
      <x:c r="M599" s="73" t="n">
        <x:v>22</x:v>
      </x:c>
      <x:c r="N599" s="73" t="s">
        <x:v>3260</x:v>
      </x:c>
    </x:row>
    <x:row r="600" ht="15" hidden="0">
      <x:c r="A600" s="73" t="s">
        <x:v>5078</x:v>
      </x:c>
      <x:c r="B600" s="73" t="s">
        <x:v>3261</x:v>
      </x:c>
      <x:c r="C600" s="73" t="s">
        <x:v>2644</x:v>
      </x:c>
      <x:c r="D600" s="73" t="s">
        <x:v>5079</x:v>
      </x:c>
      <x:c r="E600" s="73" t="s">
        <x:v>3382</x:v>
      </x:c>
      <x:c r="F600" s="73" t="s">
        <x:v>5080</x:v>
      </x:c>
      <x:c r="G600" s="73" t="n">
        <x:v>22</x:v>
      </x:c>
      <x:c r="H600" s="73" t="n">
        <x:v>45</x:v>
      </x:c>
      <x:c r="I600" s="73" t="s">
        <x:v>72</x:v>
      </x:c>
      <x:c r="J600" s="73" t="n">
        <x:v>2023</x:v>
      </x:c>
      <x:c r="K600" s="73" t="n">
        <x:v>6</x:v>
      </x:c>
      <x:c r="L600" s="73" t="n">
        <x:v>7</x:v>
      </x:c>
      <x:c r="M600" s="73" t="n">
        <x:v>12</x:v>
      </x:c>
      <x:c r="N600" s="73" t="s">
        <x:v>3260</x:v>
      </x:c>
    </x:row>
    <x:row r="601" ht="15" hidden="0">
      <x:c r="A601" s="73" t="s">
        <x:v>5081</x:v>
      </x:c>
      <x:c r="B601" s="73" t="s">
        <x:v>3262</x:v>
      </x:c>
      <x:c r="C601" s="73" t="s">
        <x:v>2648</x:v>
      </x:c>
      <x:c r="D601" s="73" t="s">
        <x:v>5082</x:v>
      </x:c>
      <x:c r="E601" s="73" t="s">
        <x:v>3390</x:v>
      </x:c>
      <x:c r="F601" s="73" t="s">
        <x:v>5083</x:v>
      </x:c>
      <x:c r="G601" s="73" t="n">
        <x:v>35</x:v>
      </x:c>
      <x:c r="H601" s="73" t="n">
        <x:v>70</x:v>
      </x:c>
      <x:c r="I601" s="73" t="s">
        <x:v>3396</x:v>
      </x:c>
      <x:c r="J601" s="73" t="n">
        <x:v>2023</x:v>
      </x:c>
      <x:c r="K601" s="73" t="n">
        <x:v>6</x:v>
      </x:c>
      <x:c r="L601" s="73" t="n">
        <x:v>8</x:v>
      </x:c>
      <x:c r="M601" s="73" t="n">
        <x:v>16</x:v>
      </x:c>
      <x:c r="N601" s="73" t="s">
        <x:v>3260</x:v>
      </x:c>
    </x:row>
    <x:row r="602" ht="15" hidden="0">
      <x:c r="A602" s="73" t="s">
        <x:v>5084</x:v>
      </x:c>
      <x:c r="B602" s="73" t="s">
        <x:v>3265</x:v>
      </x:c>
      <x:c r="C602" s="73" t="s">
        <x:v>2652</x:v>
      </x:c>
      <x:c r="D602" s="73" t="s">
        <x:v>3520</x:v>
      </x:c>
      <x:c r="E602" s="73" t="s">
        <x:v>3394</x:v>
      </x:c>
      <x:c r="F602" s="73" t="s">
        <x:v>5085</x:v>
      </x:c>
      <x:c r="G602" s="73" t="n">
        <x:v>20</x:v>
      </x:c>
      <x:c r="H602" s="73" t="n">
        <x:v>40</x:v>
      </x:c>
      <x:c r="I602" s="73" t="s">
        <x:v>72</x:v>
      </x:c>
      <x:c r="J602" s="73" t="n">
        <x:v>2023</x:v>
      </x:c>
      <x:c r="K602" s="73" t="n">
        <x:v>6</x:v>
      </x:c>
      <x:c r="L602" s="73" t="n">
        <x:v>9</x:v>
      </x:c>
      <x:c r="M602" s="73" t="n">
        <x:v>14</x:v>
      </x:c>
      <x:c r="N602" s="73" t="s">
        <x:v>3260</x:v>
      </x:c>
    </x:row>
    <x:row r="603" ht="15" hidden="0">
      <x:c r="A603" s="73" t="s">
        <x:v>5086</x:v>
      </x:c>
      <x:c r="B603" s="73" t="s">
        <x:v>3265</x:v>
      </x:c>
      <x:c r="C603" s="73" t="s">
        <x:v>2656</x:v>
      </x:c>
      <x:c r="D603" s="73" t="s">
        <x:v>5087</x:v>
      </x:c>
      <x:c r="E603" s="73" t="s">
        <x:v>3382</x:v>
      </x:c>
      <x:c r="F603" s="73" t="s">
        <x:v>5088</x:v>
      </x:c>
      <x:c r="G603" s="73" t="n">
        <x:v>30</x:v>
      </x:c>
      <x:c r="H603" s="73" t="n">
        <x:v>60</x:v>
      </x:c>
      <x:c r="I603" s="73" t="s">
        <x:v>3387</x:v>
      </x:c>
      <x:c r="J603" s="73" t="n">
        <x:v>2023</x:v>
      </x:c>
      <x:c r="K603" s="73" t="n">
        <x:v>6</x:v>
      </x:c>
      <x:c r="L603" s="73" t="n">
        <x:v>10</x:v>
      </x:c>
      <x:c r="M603" s="73" t="n">
        <x:v>17</x:v>
      </x:c>
      <x:c r="N603" s="73" t="s">
        <x:v>3260</x:v>
      </x:c>
    </x:row>
    <x:row r="604" ht="15" hidden="0">
      <x:c r="A604" s="73" t="s">
        <x:v>5089</x:v>
      </x:c>
      <x:c r="B604" s="73" t="s">
        <x:v>3263</x:v>
      </x:c>
      <x:c r="C604" s="73" t="s">
        <x:v>2660</x:v>
      </x:c>
      <x:c r="D604" s="73" t="s">
        <x:v>5090</x:v>
      </x:c>
      <x:c r="E604" s="73" t="s">
        <x:v>3390</x:v>
      </x:c>
      <x:c r="F604" s="73" t="s">
        <x:v>5091</x:v>
      </x:c>
      <x:c r="G604" s="73" t="n">
        <x:v>35</x:v>
      </x:c>
      <x:c r="H604" s="73" t="n">
        <x:v>70</x:v>
      </x:c>
      <x:c r="I604" s="73" t="s">
        <x:v>72</x:v>
      </x:c>
      <x:c r="J604" s="73" t="n">
        <x:v>2023</x:v>
      </x:c>
      <x:c r="K604" s="73" t="n">
        <x:v>6</x:v>
      </x:c>
      <x:c r="L604" s="73" t="n">
        <x:v>11</x:v>
      </x:c>
      <x:c r="M604" s="73" t="n">
        <x:v>15</x:v>
      </x:c>
      <x:c r="N604" s="73" t="s">
        <x:v>3260</x:v>
      </x:c>
    </x:row>
    <x:row r="605" ht="15" hidden="0">
      <x:c r="A605" s="73" t="s">
        <x:v>5092</x:v>
      </x:c>
      <x:c r="B605" s="73" t="s">
        <x:v>3264</x:v>
      </x:c>
      <x:c r="C605" s="73" t="s">
        <x:v>2664</x:v>
      </x:c>
      <x:c r="D605" s="73" t="s">
        <x:v>5093</x:v>
      </x:c>
      <x:c r="E605" s="73" t="s">
        <x:v>3382</x:v>
      </x:c>
      <x:c r="F605" s="73" t="s">
        <x:v>5094</x:v>
      </x:c>
      <x:c r="G605" s="73" t="n">
        <x:v>28</x:v>
      </x:c>
      <x:c r="H605" s="73" t="n">
        <x:v>55</x:v>
      </x:c>
      <x:c r="I605" s="73" t="s">
        <x:v>3396</x:v>
      </x:c>
      <x:c r="J605" s="73" t="n">
        <x:v>2023</x:v>
      </x:c>
      <x:c r="K605" s="73" t="n">
        <x:v>6</x:v>
      </x:c>
      <x:c r="L605" s="73" t="n">
        <x:v>12</x:v>
      </x:c>
      <x:c r="M605" s="73" t="n">
        <x:v>18</x:v>
      </x:c>
      <x:c r="N605" s="73" t="s">
        <x:v>3260</x:v>
      </x:c>
    </x:row>
    <x:row r="606" ht="15" hidden="0">
      <x:c r="A606" s="73" t="s">
        <x:v>5095</x:v>
      </x:c>
      <x:c r="B606" s="73" t="s">
        <x:v>3265</x:v>
      </x:c>
      <x:c r="C606" s="73" t="s">
        <x:v>2668</x:v>
      </x:c>
      <x:c r="D606" s="73" t="s">
        <x:v>5096</x:v>
      </x:c>
      <x:c r="E606" s="73" t="s">
        <x:v>3394</x:v>
      </x:c>
      <x:c r="F606" s="73" t="s">
        <x:v>5097</x:v>
      </x:c>
      <x:c r="G606" s="73" t="n">
        <x:v>22</x:v>
      </x:c>
      <x:c r="H606" s="73" t="n">
        <x:v>45</x:v>
      </x:c>
      <x:c r="I606" s="73" t="s">
        <x:v>3387</x:v>
      </x:c>
      <x:c r="J606" s="73" t="n">
        <x:v>2023</x:v>
      </x:c>
      <x:c r="K606" s="73" t="n">
        <x:v>6</x:v>
      </x:c>
      <x:c r="L606" s="73" t="n">
        <x:v>13</x:v>
      </x:c>
      <x:c r="M606" s="73" t="n">
        <x:v>14</x:v>
      </x:c>
      <x:c r="N606" s="73" t="s">
        <x:v>3260</x:v>
      </x:c>
    </x:row>
    <x:row r="607" ht="15" hidden="0">
      <x:c r="A607" s="73" t="s">
        <x:v>5098</x:v>
      </x:c>
      <x:c r="B607" s="73" t="s">
        <x:v>3263</x:v>
      </x:c>
      <x:c r="C607" s="73" t="s">
        <x:v>2672</x:v>
      </x:c>
      <x:c r="D607" s="73" t="s">
        <x:v>5099</x:v>
      </x:c>
      <x:c r="E607" s="73" t="s">
        <x:v>3390</x:v>
      </x:c>
      <x:c r="F607" s="73" t="s">
        <x:v>5100</x:v>
      </x:c>
      <x:c r="G607" s="73" t="n">
        <x:v>25</x:v>
      </x:c>
      <x:c r="H607" s="73" t="n">
        <x:v>50</x:v>
      </x:c>
      <x:c r="I607" s="73" t="s">
        <x:v>72</x:v>
      </x:c>
      <x:c r="J607" s="73" t="n">
        <x:v>2023</x:v>
      </x:c>
      <x:c r="K607" s="73" t="n">
        <x:v>6</x:v>
      </x:c>
      <x:c r="L607" s="73" t="n">
        <x:v>14</x:v>
      </x:c>
      <x:c r="M607" s="73" t="n">
        <x:v>19</x:v>
      </x:c>
      <x:c r="N607" s="73" t="s">
        <x:v>3260</x:v>
      </x:c>
    </x:row>
    <x:row r="608" ht="15" hidden="0">
      <x:c r="A608" s="73" t="s">
        <x:v>5101</x:v>
      </x:c>
      <x:c r="B608" s="73" t="s">
        <x:v>3265</x:v>
      </x:c>
      <x:c r="C608" s="73" t="s">
        <x:v>2676</x:v>
      </x:c>
      <x:c r="D608" s="73" t="s">
        <x:v>5102</x:v>
      </x:c>
      <x:c r="E608" s="73" t="s">
        <x:v>3382</x:v>
      </x:c>
      <x:c r="F608" s="73" t="s">
        <x:v>5103</x:v>
      </x:c>
      <x:c r="G608" s="73" t="n">
        <x:v>30</x:v>
      </x:c>
      <x:c r="H608" s="73" t="n">
        <x:v>60</x:v>
      </x:c>
      <x:c r="I608" s="73" t="s">
        <x:v>3396</x:v>
      </x:c>
      <x:c r="J608" s="73" t="n">
        <x:v>2023</x:v>
      </x:c>
      <x:c r="K608" s="73" t="n">
        <x:v>6</x:v>
      </x:c>
      <x:c r="L608" s="73" t="n">
        <x:v>15</x:v>
      </x:c>
      <x:c r="M608" s="73" t="n">
        <x:v>12</x:v>
      </x:c>
      <x:c r="N608" s="73" t="s">
        <x:v>3260</x:v>
      </x:c>
    </x:row>
    <x:row r="609" ht="15" hidden="0">
      <x:c r="A609" s="73" t="s">
        <x:v>5104</x:v>
      </x:c>
      <x:c r="B609" s="73" t="s">
        <x:v>3261</x:v>
      </x:c>
      <x:c r="C609" s="73" t="s">
        <x:v>2680</x:v>
      </x:c>
      <x:c r="D609" s="73" t="s">
        <x:v>5105</x:v>
      </x:c>
      <x:c r="E609" s="73" t="s">
        <x:v>3394</x:v>
      </x:c>
      <x:c r="F609" s="73" t="s">
        <x:v>5106</x:v>
      </x:c>
      <x:c r="G609" s="73" t="n">
        <x:v>18</x:v>
      </x:c>
      <x:c r="H609" s="73" t="n">
        <x:v>35</x:v>
      </x:c>
      <x:c r="I609" s="73" t="s">
        <x:v>3387</x:v>
      </x:c>
      <x:c r="J609" s="73" t="n">
        <x:v>2023</x:v>
      </x:c>
      <x:c r="K609" s="73" t="n">
        <x:v>6</x:v>
      </x:c>
      <x:c r="L609" s="73" t="n">
        <x:v>16</x:v>
      </x:c>
      <x:c r="M609" s="73" t="n">
        <x:v>21</x:v>
      </x:c>
      <x:c r="N609" s="73" t="s">
        <x:v>3260</x:v>
      </x:c>
    </x:row>
    <x:row r="610" ht="15" hidden="0">
      <x:c r="A610" s="73" t="s">
        <x:v>5107</x:v>
      </x:c>
      <x:c r="B610" s="73" t="s">
        <x:v>3261</x:v>
      </x:c>
      <x:c r="C610" s="73" t="s">
        <x:v>2684</x:v>
      </x:c>
      <x:c r="D610" s="73" t="s">
        <x:v>5108</x:v>
      </x:c>
      <x:c r="E610" s="73" t="s">
        <x:v>3390</x:v>
      </x:c>
      <x:c r="F610" s="73" t="s">
        <x:v>5109</x:v>
      </x:c>
      <x:c r="G610" s="73" t="n">
        <x:v>35</x:v>
      </x:c>
      <x:c r="H610" s="73" t="n">
        <x:v>70</x:v>
      </x:c>
      <x:c r="I610" s="73" t="s">
        <x:v>72</x:v>
      </x:c>
      <x:c r="J610" s="73" t="n">
        <x:v>2023</x:v>
      </x:c>
      <x:c r="K610" s="73" t="n">
        <x:v>6</x:v>
      </x:c>
      <x:c r="L610" s="73" t="n">
        <x:v>17</x:v>
      </x:c>
      <x:c r="M610" s="73" t="n">
        <x:v>15</x:v>
      </x:c>
      <x:c r="N610" s="73" t="s">
        <x:v>3260</x:v>
      </x:c>
    </x:row>
    <x:row r="611" ht="15" hidden="0">
      <x:c r="A611" s="73" t="s">
        <x:v>5110</x:v>
      </x:c>
      <x:c r="B611" s="73" t="s">
        <x:v>3263</x:v>
      </x:c>
      <x:c r="C611" s="73" t="s">
        <x:v>2688</x:v>
      </x:c>
      <x:c r="D611" s="73" t="s">
        <x:v>5111</x:v>
      </x:c>
      <x:c r="E611" s="73" t="s">
        <x:v>3382</x:v>
      </x:c>
      <x:c r="F611" s="73" t="s">
        <x:v>5112</x:v>
      </x:c>
      <x:c r="G611" s="73" t="n">
        <x:v>28</x:v>
      </x:c>
      <x:c r="H611" s="73" t="n">
        <x:v>55</x:v>
      </x:c>
      <x:c r="I611" s="73" t="s">
        <x:v>3396</x:v>
      </x:c>
      <x:c r="J611" s="73" t="n">
        <x:v>2023</x:v>
      </x:c>
      <x:c r="K611" s="73" t="n">
        <x:v>6</x:v>
      </x:c>
      <x:c r="L611" s="73" t="n">
        <x:v>18</x:v>
      </x:c>
      <x:c r="M611" s="73" t="n">
        <x:v>11</x:v>
      </x:c>
      <x:c r="N611" s="73" t="s">
        <x:v>3260</x:v>
      </x:c>
    </x:row>
    <x:row r="612" ht="15" hidden="0">
      <x:c r="A612" s="73" t="s">
        <x:v>5113</x:v>
      </x:c>
      <x:c r="B612" s="73" t="s">
        <x:v>3261</x:v>
      </x:c>
      <x:c r="C612" s="73" t="s">
        <x:v>2692</x:v>
      </x:c>
      <x:c r="D612" s="73" t="s">
        <x:v>5114</x:v>
      </x:c>
      <x:c r="E612" s="73" t="s">
        <x:v>3394</x:v>
      </x:c>
      <x:c r="F612" s="73" t="s">
        <x:v>5115</x:v>
      </x:c>
      <x:c r="G612" s="73" t="n">
        <x:v>22</x:v>
      </x:c>
      <x:c r="H612" s="73" t="n">
        <x:v>45</x:v>
      </x:c>
      <x:c r="I612" s="73" t="s">
        <x:v>3387</x:v>
      </x:c>
      <x:c r="J612" s="73" t="n">
        <x:v>2023</x:v>
      </x:c>
      <x:c r="K612" s="73" t="n">
        <x:v>6</x:v>
      </x:c>
      <x:c r="L612" s="73" t="n">
        <x:v>19</x:v>
      </x:c>
      <x:c r="M612" s="73" t="n">
        <x:v>16</x:v>
      </x:c>
      <x:c r="N612" s="73" t="s">
        <x:v>3260</x:v>
      </x:c>
    </x:row>
    <x:row r="613" ht="15" hidden="0">
      <x:c r="A613" s="73" t="s">
        <x:v>5116</x:v>
      </x:c>
      <x:c r="B613" s="73" t="s">
        <x:v>3261</x:v>
      </x:c>
      <x:c r="C613" s="73" t="s">
        <x:v>2696</x:v>
      </x:c>
      <x:c r="D613" s="73" t="s">
        <x:v>5117</x:v>
      </x:c>
      <x:c r="E613" s="73" t="s">
        <x:v>3390</x:v>
      </x:c>
      <x:c r="F613" s="73" t="s">
        <x:v>5118</x:v>
      </x:c>
      <x:c r="G613" s="73" t="n">
        <x:v>20</x:v>
      </x:c>
      <x:c r="H613" s="73" t="n">
        <x:v>40</x:v>
      </x:c>
      <x:c r="I613" s="73" t="s">
        <x:v>72</x:v>
      </x:c>
      <x:c r="J613" s="73" t="n">
        <x:v>2023</x:v>
      </x:c>
      <x:c r="K613" s="73" t="n">
        <x:v>6</x:v>
      </x:c>
      <x:c r="L613" s="73" t="n">
        <x:v>20</x:v>
      </x:c>
      <x:c r="M613" s="73" t="n">
        <x:v>14</x:v>
      </x:c>
      <x:c r="N613" s="73" t="s">
        <x:v>3260</x:v>
      </x:c>
    </x:row>
    <x:row r="614" ht="15" hidden="0">
      <x:c r="A614" s="73" t="s">
        <x:v>5119</x:v>
      </x:c>
      <x:c r="B614" s="73" t="s">
        <x:v>3263</x:v>
      </x:c>
      <x:c r="C614" s="73" t="s">
        <x:v>2700</x:v>
      </x:c>
      <x:c r="D614" s="73" t="s">
        <x:v>5120</x:v>
      </x:c>
      <x:c r="E614" s="73" t="s">
        <x:v>3382</x:v>
      </x:c>
      <x:c r="F614" s="73" t="s">
        <x:v>5121</x:v>
      </x:c>
      <x:c r="G614" s="73" t="n">
        <x:v>18</x:v>
      </x:c>
      <x:c r="H614" s="73" t="n">
        <x:v>35</x:v>
      </x:c>
      <x:c r="I614" s="73" t="s">
        <x:v>3396</x:v>
      </x:c>
      <x:c r="J614" s="73" t="n">
        <x:v>2023</x:v>
      </x:c>
      <x:c r="K614" s="73" t="n">
        <x:v>6</x:v>
      </x:c>
      <x:c r="L614" s="73" t="n">
        <x:v>21</x:v>
      </x:c>
      <x:c r="M614" s="73" t="n">
        <x:v>19</x:v>
      </x:c>
      <x:c r="N614" s="73" t="s">
        <x:v>3260</x:v>
      </x:c>
    </x:row>
    <x:row r="615" ht="15" hidden="0">
      <x:c r="A615" s="73" t="s">
        <x:v>5122</x:v>
      </x:c>
      <x:c r="B615" s="73" t="s">
        <x:v>3263</x:v>
      </x:c>
      <x:c r="C615" s="73" t="s">
        <x:v>2704</x:v>
      </x:c>
      <x:c r="D615" s="73" t="s">
        <x:v>4366</x:v>
      </x:c>
      <x:c r="E615" s="73" t="s">
        <x:v>3394</x:v>
      </x:c>
      <x:c r="F615" s="73" t="s">
        <x:v>5123</x:v>
      </x:c>
      <x:c r="G615" s="73" t="n">
        <x:v>25</x:v>
      </x:c>
      <x:c r="H615" s="73" t="n">
        <x:v>50</x:v>
      </x:c>
      <x:c r="I615" s="73" t="s">
        <x:v>72</x:v>
      </x:c>
      <x:c r="J615" s="73" t="n">
        <x:v>2023</x:v>
      </x:c>
      <x:c r="K615" s="73" t="n">
        <x:v>6</x:v>
      </x:c>
      <x:c r="L615" s="73" t="n">
        <x:v>22</x:v>
      </x:c>
      <x:c r="M615" s="73" t="n">
        <x:v>13</x:v>
      </x:c>
      <x:c r="N615" s="73" t="s">
        <x:v>3260</x:v>
      </x:c>
    </x:row>
    <x:row r="616" ht="15" hidden="0">
      <x:c r="A616" s="73" t="s">
        <x:v>5124</x:v>
      </x:c>
      <x:c r="B616" s="73" t="s">
        <x:v>3263</x:v>
      </x:c>
      <x:c r="C616" s="73" t="s">
        <x:v>2707</x:v>
      </x:c>
      <x:c r="D616" s="73" t="s">
        <x:v>5125</x:v>
      </x:c>
      <x:c r="E616" s="73" t="s">
        <x:v>3390</x:v>
      </x:c>
      <x:c r="F616" s="73" t="s">
        <x:v>5126</x:v>
      </x:c>
      <x:c r="G616" s="73" t="n">
        <x:v>28</x:v>
      </x:c>
      <x:c r="H616" s="73" t="n">
        <x:v>55</x:v>
      </x:c>
      <x:c r="I616" s="73" t="s">
        <x:v>3396</x:v>
      </x:c>
      <x:c r="J616" s="73" t="n">
        <x:v>2023</x:v>
      </x:c>
      <x:c r="K616" s="73" t="n">
        <x:v>6</x:v>
      </x:c>
      <x:c r="L616" s="73" t="n">
        <x:v>23</x:v>
      </x:c>
      <x:c r="M616" s="73" t="n">
        <x:v>18</x:v>
      </x:c>
      <x:c r="N616" s="73" t="s">
        <x:v>3260</x:v>
      </x:c>
    </x:row>
    <x:row r="617" ht="15" hidden="0">
      <x:c r="A617" s="73" t="s">
        <x:v>5127</x:v>
      </x:c>
      <x:c r="B617" s="73" t="s">
        <x:v>3261</x:v>
      </x:c>
      <x:c r="C617" s="73" t="s">
        <x:v>2711</x:v>
      </x:c>
      <x:c r="D617" s="73" t="s">
        <x:v>5128</x:v>
      </x:c>
      <x:c r="E617" s="73" t="s">
        <x:v>3382</x:v>
      </x:c>
      <x:c r="F617" s="73" t="s">
        <x:v>5129</x:v>
      </x:c>
      <x:c r="G617" s="73" t="n">
        <x:v>22</x:v>
      </x:c>
      <x:c r="H617" s="73" t="n">
        <x:v>45</x:v>
      </x:c>
      <x:c r="I617" s="73" t="s">
        <x:v>3387</x:v>
      </x:c>
      <x:c r="J617" s="73" t="n">
        <x:v>2023</x:v>
      </x:c>
      <x:c r="K617" s="73" t="n">
        <x:v>6</x:v>
      </x:c>
      <x:c r="L617" s="73" t="n">
        <x:v>24</x:v>
      </x:c>
      <x:c r="M617" s="73" t="n">
        <x:v>16</x:v>
      </x:c>
      <x:c r="N617" s="73" t="s">
        <x:v>3260</x:v>
      </x:c>
    </x:row>
    <x:row r="618" ht="15" hidden="0">
      <x:c r="A618" s="73" t="s">
        <x:v>5130</x:v>
      </x:c>
      <x:c r="B618" s="73" t="s">
        <x:v>3264</x:v>
      </x:c>
      <x:c r="C618" s="73" t="s">
        <x:v>2715</x:v>
      </x:c>
      <x:c r="D618" s="73" t="s">
        <x:v>5131</x:v>
      </x:c>
      <x:c r="E618" s="73" t="s">
        <x:v>3394</x:v>
      </x:c>
      <x:c r="F618" s="73" t="s">
        <x:v>5132</x:v>
      </x:c>
      <x:c r="G618" s="73" t="n">
        <x:v>35</x:v>
      </x:c>
      <x:c r="H618" s="73" t="n">
        <x:v>70</x:v>
      </x:c>
      <x:c r="I618" s="73" t="s">
        <x:v>72</x:v>
      </x:c>
      <x:c r="J618" s="73" t="n">
        <x:v>2023</x:v>
      </x:c>
      <x:c r="K618" s="73" t="n">
        <x:v>6</x:v>
      </x:c>
      <x:c r="L618" s="73" t="n">
        <x:v>25</x:v>
      </x:c>
      <x:c r="M618" s="73" t="n">
        <x:v>20</x:v>
      </x:c>
      <x:c r="N618" s="73" t="s">
        <x:v>3260</x:v>
      </x:c>
    </x:row>
    <x:row r="619" ht="15" hidden="0">
      <x:c r="A619" s="73" t="s">
        <x:v>5133</x:v>
      </x:c>
      <x:c r="B619" s="73" t="s">
        <x:v>3265</x:v>
      </x:c>
      <x:c r="C619" s="73" t="s">
        <x:v>2719</x:v>
      </x:c>
      <x:c r="D619" s="73" t="s">
        <x:v>5134</x:v>
      </x:c>
      <x:c r="E619" s="73" t="s">
        <x:v>3390</x:v>
      </x:c>
      <x:c r="F619" s="73" t="s">
        <x:v>5135</x:v>
      </x:c>
      <x:c r="G619" s="73" t="n">
        <x:v>30</x:v>
      </x:c>
      <x:c r="H619" s="73" t="n">
        <x:v>60</x:v>
      </x:c>
      <x:c r="I619" s="73" t="s">
        <x:v>3396</x:v>
      </x:c>
      <x:c r="J619" s="73" t="n">
        <x:v>2023</x:v>
      </x:c>
      <x:c r="K619" s="73" t="n">
        <x:v>6</x:v>
      </x:c>
      <x:c r="L619" s="73" t="n">
        <x:v>26</x:v>
      </x:c>
      <x:c r="M619" s="73" t="n">
        <x:v>14</x:v>
      </x:c>
      <x:c r="N619" s="73" t="s">
        <x:v>3260</x:v>
      </x:c>
    </x:row>
    <x:row r="620" ht="15" hidden="0">
      <x:c r="A620" s="73" t="s">
        <x:v>5136</x:v>
      </x:c>
      <x:c r="B620" s="73" t="s">
        <x:v>3263</x:v>
      </x:c>
      <x:c r="C620" s="73" t="s">
        <x:v>2723</x:v>
      </x:c>
      <x:c r="D620" s="73" t="s">
        <x:v>5137</x:v>
      </x:c>
      <x:c r="E620" s="73" t="s">
        <x:v>3382</x:v>
      </x:c>
      <x:c r="F620" s="73" t="s">
        <x:v>5138</x:v>
      </x:c>
      <x:c r="G620" s="73" t="n">
        <x:v>20</x:v>
      </x:c>
      <x:c r="H620" s="73" t="n">
        <x:v>40</x:v>
      </x:c>
      <x:c r="I620" s="73" t="s">
        <x:v>72</x:v>
      </x:c>
      <x:c r="J620" s="73" t="n">
        <x:v>2023</x:v>
      </x:c>
      <x:c r="K620" s="73" t="n">
        <x:v>6</x:v>
      </x:c>
      <x:c r="L620" s="73" t="n">
        <x:v>27</x:v>
      </x:c>
      <x:c r="M620" s="73" t="n">
        <x:v>17</x:v>
      </x:c>
      <x:c r="N620" s="73" t="s">
        <x:v>3260</x:v>
      </x:c>
    </x:row>
    <x:row r="621" ht="15" hidden="0">
      <x:c r="A621" s="73" t="s">
        <x:v>5139</x:v>
      </x:c>
      <x:c r="B621" s="73" t="s">
        <x:v>3261</x:v>
      </x:c>
      <x:c r="C621" s="73" t="s">
        <x:v>2727</x:v>
      </x:c>
      <x:c r="D621" s="73" t="s">
        <x:v>5140</x:v>
      </x:c>
      <x:c r="E621" s="73" t="s">
        <x:v>3394</x:v>
      </x:c>
      <x:c r="F621" s="73" t="s">
        <x:v>5141</x:v>
      </x:c>
      <x:c r="G621" s="73" t="n">
        <x:v>18</x:v>
      </x:c>
      <x:c r="H621" s="73" t="n">
        <x:v>35</x:v>
      </x:c>
      <x:c r="I621" s="73" t="s">
        <x:v>3396</x:v>
      </x:c>
      <x:c r="J621" s="73" t="n">
        <x:v>2023</x:v>
      </x:c>
      <x:c r="K621" s="73" t="n">
        <x:v>6</x:v>
      </x:c>
      <x:c r="L621" s="73" t="n">
        <x:v>28</x:v>
      </x:c>
      <x:c r="M621" s="73" t="n">
        <x:v>22</x:v>
      </x:c>
      <x:c r="N621" s="73" t="s">
        <x:v>3260</x:v>
      </x:c>
    </x:row>
    <x:row r="622" ht="15" hidden="0">
      <x:c r="A622" s="73" t="s">
        <x:v>5142</x:v>
      </x:c>
      <x:c r="B622" s="73" t="s">
        <x:v>3261</x:v>
      </x:c>
      <x:c r="C622" s="73" t="s">
        <x:v>2731</x:v>
      </x:c>
      <x:c r="D622" s="73" t="s">
        <x:v>5143</x:v>
      </x:c>
      <x:c r="E622" s="73" t="s">
        <x:v>3390</x:v>
      </x:c>
      <x:c r="F622" s="73" t="s">
        <x:v>5144</x:v>
      </x:c>
      <x:c r="G622" s="73" t="n">
        <x:v>25</x:v>
      </x:c>
      <x:c r="H622" s="73" t="n">
        <x:v>50</x:v>
      </x:c>
      <x:c r="I622" s="73" t="s">
        <x:v>72</x:v>
      </x:c>
      <x:c r="J622" s="73" t="n">
        <x:v>2023</x:v>
      </x:c>
      <x:c r="K622" s="73" t="n">
        <x:v>6</x:v>
      </x:c>
      <x:c r="L622" s="73" t="n">
        <x:v>29</x:v>
      </x:c>
      <x:c r="M622" s="73" t="n">
        <x:v>16</x:v>
      </x:c>
      <x:c r="N622" s="73" t="s">
        <x:v>3260</x:v>
      </x:c>
    </x:row>
    <x:row r="623" ht="15" hidden="0">
      <x:c r="A623" s="73" t="s">
        <x:v>5145</x:v>
      </x:c>
      <x:c r="B623" s="73" t="s">
        <x:v>3264</x:v>
      </x:c>
      <x:c r="C623" s="73" t="s">
        <x:v>2735</x:v>
      </x:c>
      <x:c r="D623" s="73" t="s">
        <x:v>5146</x:v>
      </x:c>
      <x:c r="E623" s="73" t="s">
        <x:v>3382</x:v>
      </x:c>
      <x:c r="F623" s="73" t="s">
        <x:v>5147</x:v>
      </x:c>
      <x:c r="G623" s="73" t="n">
        <x:v>28</x:v>
      </x:c>
      <x:c r="H623" s="73" t="n">
        <x:v>55</x:v>
      </x:c>
      <x:c r="I623" s="73" t="s">
        <x:v>3396</x:v>
      </x:c>
      <x:c r="J623" s="73" t="n">
        <x:v>2023</x:v>
      </x:c>
      <x:c r="K623" s="73" t="n">
        <x:v>6</x:v>
      </x:c>
      <x:c r="L623" s="73" t="n">
        <x:v>30</x:v>
      </x:c>
      <x:c r="M623" s="73" t="n">
        <x:v>19</x:v>
      </x:c>
      <x:c r="N623" s="73" t="s">
        <x:v>3260</x:v>
      </x:c>
    </x:row>
    <x:row r="624" ht="15" hidden="0">
      <x:c r="A624" s="73" t="s">
        <x:v>5148</x:v>
      </x:c>
      <x:c r="B624" s="73" t="s">
        <x:v>3262</x:v>
      </x:c>
      <x:c r="C624" s="73" t="s">
        <x:v>2739</x:v>
      </x:c>
      <x:c r="D624" s="73" t="s">
        <x:v>5149</x:v>
      </x:c>
      <x:c r="E624" s="73" t="s">
        <x:v>3390</x:v>
      </x:c>
      <x:c r="F624" s="73" t="s">
        <x:v>5150</x:v>
      </x:c>
      <x:c r="G624" s="73" t="n">
        <x:v>30</x:v>
      </x:c>
      <x:c r="H624" s="73" t="n">
        <x:v>60</x:v>
      </x:c>
      <x:c r="I624" s="73" t="s">
        <x:v>72</x:v>
      </x:c>
      <x:c r="J624" s="73" t="n">
        <x:v>2023</x:v>
      </x:c>
      <x:c r="K624" s="73" t="n">
        <x:v>7</x:v>
      </x:c>
      <x:c r="L624" s="73" t="n">
        <x:v>1</x:v>
      </x:c>
      <x:c r="M624" s="73" t="n">
        <x:v>14</x:v>
      </x:c>
      <x:c r="N624" s="73" t="s">
        <x:v>3260</x:v>
      </x:c>
    </x:row>
    <x:row r="625" ht="15" hidden="0">
      <x:c r="A625" s="73" t="s">
        <x:v>5151</x:v>
      </x:c>
      <x:c r="B625" s="73" t="s">
        <x:v>3261</x:v>
      </x:c>
      <x:c r="C625" s="73" t="s">
        <x:v>2743</x:v>
      </x:c>
      <x:c r="D625" s="73" t="s">
        <x:v>5152</x:v>
      </x:c>
      <x:c r="E625" s="73" t="s">
        <x:v>3394</x:v>
      </x:c>
      <x:c r="F625" s="73" t="s">
        <x:v>5153</x:v>
      </x:c>
      <x:c r="G625" s="73" t="n">
        <x:v>22</x:v>
      </x:c>
      <x:c r="H625" s="73" t="n">
        <x:v>45</x:v>
      </x:c>
      <x:c r="I625" s="73" t="s">
        <x:v>3396</x:v>
      </x:c>
      <x:c r="J625" s="73" t="n">
        <x:v>2023</x:v>
      </x:c>
      <x:c r="K625" s="73" t="n">
        <x:v>7</x:v>
      </x:c>
      <x:c r="L625" s="73" t="n">
        <x:v>2</x:v>
      </x:c>
      <x:c r="M625" s="73" t="n">
        <x:v>18</x:v>
      </x:c>
      <x:c r="N625" s="73" t="s">
        <x:v>3260</x:v>
      </x:c>
    </x:row>
    <x:row r="626" ht="15" hidden="0">
      <x:c r="A626" s="73" t="s">
        <x:v>5154</x:v>
      </x:c>
      <x:c r="B626" s="73" t="s">
        <x:v>3261</x:v>
      </x:c>
      <x:c r="C626" s="73" t="s">
        <x:v>2747</x:v>
      </x:c>
      <x:c r="D626" s="73" t="s">
        <x:v>5155</x:v>
      </x:c>
      <x:c r="E626" s="73" t="s">
        <x:v>3382</x:v>
      </x:c>
      <x:c r="F626" s="73" t="s">
        <x:v>5156</x:v>
      </x:c>
      <x:c r="G626" s="73" t="n">
        <x:v>28</x:v>
      </x:c>
      <x:c r="H626" s="73" t="n">
        <x:v>55</x:v>
      </x:c>
      <x:c r="I626" s="73" t="s">
        <x:v>3387</x:v>
      </x:c>
      <x:c r="J626" s="73" t="n">
        <x:v>2023</x:v>
      </x:c>
      <x:c r="K626" s="73" t="n">
        <x:v>7</x:v>
      </x:c>
      <x:c r="L626" s="73" t="n">
        <x:v>3</x:v>
      </x:c>
      <x:c r="M626" s="73" t="n">
        <x:v>12</x:v>
      </x:c>
      <x:c r="N626" s="73" t="s">
        <x:v>3260</x:v>
      </x:c>
    </x:row>
    <x:row r="627" ht="15" hidden="0">
      <x:c r="A627" s="73" t="s">
        <x:v>5157</x:v>
      </x:c>
      <x:c r="B627" s="73" t="s">
        <x:v>3263</x:v>
      </x:c>
      <x:c r="C627" s="73" t="s">
        <x:v>2751</x:v>
      </x:c>
      <x:c r="D627" s="73" t="s">
        <x:v>5158</x:v>
      </x:c>
      <x:c r="E627" s="73" t="s">
        <x:v>3390</x:v>
      </x:c>
      <x:c r="F627" s="73" t="s">
        <x:v>5159</x:v>
      </x:c>
      <x:c r="G627" s="73" t="n">
        <x:v>35</x:v>
      </x:c>
      <x:c r="H627" s="73" t="n">
        <x:v>70</x:v>
      </x:c>
      <x:c r="I627" s="73" t="s">
        <x:v>72</x:v>
      </x:c>
      <x:c r="J627" s="73" t="n">
        <x:v>2023</x:v>
      </x:c>
      <x:c r="K627" s="73" t="n">
        <x:v>7</x:v>
      </x:c>
      <x:c r="L627" s="73" t="n">
        <x:v>4</x:v>
      </x:c>
      <x:c r="M627" s="73" t="n">
        <x:v>17</x:v>
      </x:c>
      <x:c r="N627" s="73" t="s">
        <x:v>3260</x:v>
      </x:c>
    </x:row>
    <x:row r="628" ht="15" hidden="0">
      <x:c r="A628" s="73" t="s">
        <x:v>5160</x:v>
      </x:c>
      <x:c r="B628" s="73" t="s">
        <x:v>3261</x:v>
      </x:c>
      <x:c r="C628" s="73" t="s">
        <x:v>2755</x:v>
      </x:c>
      <x:c r="D628" s="73" t="s">
        <x:v>5161</x:v>
      </x:c>
      <x:c r="E628" s="73" t="s">
        <x:v>3382</x:v>
      </x:c>
      <x:c r="F628" s="73" t="s">
        <x:v>5162</x:v>
      </x:c>
      <x:c r="G628" s="73" t="n">
        <x:v>18</x:v>
      </x:c>
      <x:c r="H628" s="73" t="n">
        <x:v>35</x:v>
      </x:c>
      <x:c r="I628" s="73" t="s">
        <x:v>3396</x:v>
      </x:c>
      <x:c r="J628" s="73" t="n">
        <x:v>2023</x:v>
      </x:c>
      <x:c r="K628" s="73" t="n">
        <x:v>7</x:v>
      </x:c>
      <x:c r="L628" s="73" t="n">
        <x:v>5</x:v>
      </x:c>
      <x:c r="M628" s="73" t="n">
        <x:v>20</x:v>
      </x:c>
      <x:c r="N628" s="73" t="s">
        <x:v>3260</x:v>
      </x:c>
    </x:row>
    <x:row r="629" ht="15" hidden="0">
      <x:c r="A629" s="73" t="s">
        <x:v>5163</x:v>
      </x:c>
      <x:c r="B629" s="73" t="s">
        <x:v>3261</x:v>
      </x:c>
      <x:c r="C629" s="73" t="s">
        <x:v>2759</x:v>
      </x:c>
      <x:c r="D629" s="73" t="s">
        <x:v>5164</x:v>
      </x:c>
      <x:c r="E629" s="73" t="s">
        <x:v>3394</x:v>
      </x:c>
      <x:c r="F629" s="73" t="s">
        <x:v>5165</x:v>
      </x:c>
      <x:c r="G629" s="73" t="n">
        <x:v>25</x:v>
      </x:c>
      <x:c r="H629" s="73" t="n">
        <x:v>50</x:v>
      </x:c>
      <x:c r="I629" s="73" t="s">
        <x:v>72</x:v>
      </x:c>
      <x:c r="J629" s="73" t="n">
        <x:v>2023</x:v>
      </x:c>
      <x:c r="K629" s="73" t="n">
        <x:v>7</x:v>
      </x:c>
      <x:c r="L629" s="73" t="n">
        <x:v>6</x:v>
      </x:c>
      <x:c r="M629" s="73" t="n">
        <x:v>14</x:v>
      </x:c>
      <x:c r="N629" s="73" t="s">
        <x:v>3260</x:v>
      </x:c>
    </x:row>
    <x:row r="630" ht="15" hidden="0">
      <x:c r="A630" s="73" t="s">
        <x:v>5166</x:v>
      </x:c>
      <x:c r="B630" s="73" t="s">
        <x:v>3261</x:v>
      </x:c>
      <x:c r="C630" s="73" t="s">
        <x:v>2763</x:v>
      </x:c>
      <x:c r="D630" s="73" t="s">
        <x:v>5167</x:v>
      </x:c>
      <x:c r="E630" s="73" t="s">
        <x:v>3390</x:v>
      </x:c>
      <x:c r="F630" s="73" t="s">
        <x:v>5168</x:v>
      </x:c>
      <x:c r="G630" s="73" t="n">
        <x:v>22</x:v>
      </x:c>
      <x:c r="H630" s="73" t="n">
        <x:v>45</x:v>
      </x:c>
      <x:c r="I630" s="73" t="s">
        <x:v>3396</x:v>
      </x:c>
      <x:c r="J630" s="73" t="n">
        <x:v>2023</x:v>
      </x:c>
      <x:c r="K630" s="73" t="n">
        <x:v>7</x:v>
      </x:c>
      <x:c r="L630" s="73" t="n">
        <x:v>7</x:v>
      </x:c>
      <x:c r="M630" s="73" t="n">
        <x:v>19</x:v>
      </x:c>
      <x:c r="N630" s="73" t="s">
        <x:v>3260</x:v>
      </x:c>
    </x:row>
    <x:row r="631" ht="15" hidden="0">
      <x:c r="A631" s="73" t="s">
        <x:v>5169</x:v>
      </x:c>
      <x:c r="B631" s="73" t="s">
        <x:v>3263</x:v>
      </x:c>
      <x:c r="C631" s="73" t="s">
        <x:v>2767</x:v>
      </x:c>
      <x:c r="D631" s="73" t="s">
        <x:v>5170</x:v>
      </x:c>
      <x:c r="E631" s="73" t="s">
        <x:v>3382</x:v>
      </x:c>
      <x:c r="F631" s="73" t="s">
        <x:v>5171</x:v>
      </x:c>
      <x:c r="G631" s="73" t="n">
        <x:v>30</x:v>
      </x:c>
      <x:c r="H631" s="73" t="n">
        <x:v>60</x:v>
      </x:c>
      <x:c r="I631" s="73" t="s">
        <x:v>3387</x:v>
      </x:c>
      <x:c r="J631" s="73" t="n">
        <x:v>2023</x:v>
      </x:c>
      <x:c r="K631" s="73" t="n">
        <x:v>7</x:v>
      </x:c>
      <x:c r="L631" s="73" t="n">
        <x:v>8</x:v>
      </x:c>
      <x:c r="M631" s="73" t="n">
        <x:v>16</x:v>
      </x:c>
      <x:c r="N631" s="73" t="s">
        <x:v>3260</x:v>
      </x:c>
    </x:row>
    <x:row r="632" ht="15" hidden="0">
      <x:c r="A632" s="73" t="s">
        <x:v>5172</x:v>
      </x:c>
      <x:c r="B632" s="73" t="s">
        <x:v>3261</x:v>
      </x:c>
      <x:c r="C632" s="73" t="s">
        <x:v>2771</x:v>
      </x:c>
      <x:c r="D632" s="73" t="s">
        <x:v>5173</x:v>
      </x:c>
      <x:c r="E632" s="73" t="s">
        <x:v>3394</x:v>
      </x:c>
      <x:c r="F632" s="73" t="s">
        <x:v>5174</x:v>
      </x:c>
      <x:c r="G632" s="73" t="n">
        <x:v>20</x:v>
      </x:c>
      <x:c r="H632" s="73" t="n">
        <x:v>40</x:v>
      </x:c>
      <x:c r="I632" s="73" t="s">
        <x:v>72</x:v>
      </x:c>
      <x:c r="J632" s="73" t="n">
        <x:v>2023</x:v>
      </x:c>
      <x:c r="K632" s="73" t="n">
        <x:v>7</x:v>
      </x:c>
      <x:c r="L632" s="73" t="n">
        <x:v>9</x:v>
      </x:c>
      <x:c r="M632" s="73" t="n">
        <x:v>22</x:v>
      </x:c>
      <x:c r="N632" s="73" t="s">
        <x:v>3260</x:v>
      </x:c>
    </x:row>
    <x:row r="633" ht="15" hidden="0">
      <x:c r="A633" s="73" t="s">
        <x:v>5175</x:v>
      </x:c>
      <x:c r="B633" s="73" t="s">
        <x:v>3262</x:v>
      </x:c>
      <x:c r="C633" s="73" t="s">
        <x:v>2775</x:v>
      </x:c>
      <x:c r="D633" s="73" t="s">
        <x:v>5176</x:v>
      </x:c>
      <x:c r="E633" s="73" t="s">
        <x:v>3390</x:v>
      </x:c>
      <x:c r="F633" s="73" t="s">
        <x:v>5177</x:v>
      </x:c>
      <x:c r="G633" s="73" t="n">
        <x:v>28</x:v>
      </x:c>
      <x:c r="H633" s="73" t="n">
        <x:v>55</x:v>
      </x:c>
      <x:c r="I633" s="73" t="s">
        <x:v>3396</x:v>
      </x:c>
      <x:c r="J633" s="73" t="n">
        <x:v>2023</x:v>
      </x:c>
      <x:c r="K633" s="73" t="n">
        <x:v>7</x:v>
      </x:c>
      <x:c r="L633" s="73" t="n">
        <x:v>10</x:v>
      </x:c>
      <x:c r="M633" s="73" t="n">
        <x:v>14</x:v>
      </x:c>
      <x:c r="N633" s="73" t="s">
        <x:v>3260</x:v>
      </x:c>
    </x:row>
    <x:row r="634" ht="15" hidden="0">
      <x:c r="A634" s="73" t="s">
        <x:v>5178</x:v>
      </x:c>
      <x:c r="B634" s="73" t="s">
        <x:v>3264</x:v>
      </x:c>
      <x:c r="C634" s="73" t="s">
        <x:v>2779</x:v>
      </x:c>
      <x:c r="D634" s="73" t="s">
        <x:v>5179</x:v>
      </x:c>
      <x:c r="E634" s="73" t="s">
        <x:v>3382</x:v>
      </x:c>
      <x:c r="F634" s="73" t="s">
        <x:v>5180</x:v>
      </x:c>
      <x:c r="G634" s="73" t="n">
        <x:v>22</x:v>
      </x:c>
      <x:c r="H634" s="73" t="n">
        <x:v>45</x:v>
      </x:c>
      <x:c r="I634" s="73" t="s">
        <x:v>3387</x:v>
      </x:c>
      <x:c r="J634" s="73" t="n">
        <x:v>2023</x:v>
      </x:c>
      <x:c r="K634" s="73" t="n">
        <x:v>7</x:v>
      </x:c>
      <x:c r="L634" s="73" t="n">
        <x:v>11</x:v>
      </x:c>
      <x:c r="M634" s="73" t="n">
        <x:v>18</x:v>
      </x:c>
      <x:c r="N634" s="73" t="s">
        <x:v>3260</x:v>
      </x:c>
    </x:row>
    <x:row r="635" ht="15" hidden="0">
      <x:c r="A635" s="73" t="s">
        <x:v>5181</x:v>
      </x:c>
      <x:c r="B635" s="73" t="s">
        <x:v>3262</x:v>
      </x:c>
      <x:c r="C635" s="73" t="s">
        <x:v>2783</x:v>
      </x:c>
      <x:c r="D635" s="73" t="s">
        <x:v>5182</x:v>
      </x:c>
      <x:c r="E635" s="73" t="s">
        <x:v>3394</x:v>
      </x:c>
      <x:c r="F635" s="73" t="s">
        <x:v>5183</x:v>
      </x:c>
      <x:c r="G635" s="73" t="n">
        <x:v>25</x:v>
      </x:c>
      <x:c r="H635" s="73" t="n">
        <x:v>50</x:v>
      </x:c>
      <x:c r="I635" s="73" t="s">
        <x:v>72</x:v>
      </x:c>
      <x:c r="J635" s="73" t="n">
        <x:v>2023</x:v>
      </x:c>
      <x:c r="K635" s="73" t="n">
        <x:v>7</x:v>
      </x:c>
      <x:c r="L635" s="73" t="n">
        <x:v>12</x:v>
      </x:c>
      <x:c r="M635" s="73" t="n">
        <x:v>13</x:v>
      </x:c>
      <x:c r="N635" s="73" t="s">
        <x:v>3260</x:v>
      </x:c>
    </x:row>
    <x:row r="636" ht="15" hidden="0">
      <x:c r="A636" s="73" t="s">
        <x:v>5184</x:v>
      </x:c>
      <x:c r="B636" s="73" t="s">
        <x:v>3261</x:v>
      </x:c>
      <x:c r="C636" s="73" t="s">
        <x:v>2787</x:v>
      </x:c>
      <x:c r="D636" s="73" t="s">
        <x:v>5185</x:v>
      </x:c>
      <x:c r="E636" s="73" t="s">
        <x:v>3390</x:v>
      </x:c>
      <x:c r="F636" s="73" t="s">
        <x:v>5186</x:v>
      </x:c>
      <x:c r="G636" s="73" t="n">
        <x:v>35</x:v>
      </x:c>
      <x:c r="H636" s="73" t="n">
        <x:v>70</x:v>
      </x:c>
      <x:c r="I636" s="73" t="s">
        <x:v>3396</x:v>
      </x:c>
      <x:c r="J636" s="73" t="n">
        <x:v>2023</x:v>
      </x:c>
      <x:c r="K636" s="73" t="n">
        <x:v>7</x:v>
      </x:c>
      <x:c r="L636" s="73" t="n">
        <x:v>13</x:v>
      </x:c>
      <x:c r="M636" s="73" t="n">
        <x:v>20</x:v>
      </x:c>
      <x:c r="N636" s="73" t="s">
        <x:v>3260</x:v>
      </x:c>
    </x:row>
    <x:row r="637" ht="15" hidden="0">
      <x:c r="A637" s="73" t="s">
        <x:v>5187</x:v>
      </x:c>
      <x:c r="B637" s="73" t="s">
        <x:v>3261</x:v>
      </x:c>
      <x:c r="C637" s="73" t="s">
        <x:v>2791</x:v>
      </x:c>
      <x:c r="D637" s="73" t="s">
        <x:v>5188</x:v>
      </x:c>
      <x:c r="E637" s="73" t="s">
        <x:v>3382</x:v>
      </x:c>
      <x:c r="F637" s="73" t="s">
        <x:v>5189</x:v>
      </x:c>
      <x:c r="G637" s="73" t="n">
        <x:v>20</x:v>
      </x:c>
      <x:c r="H637" s="73" t="n">
        <x:v>40</x:v>
      </x:c>
      <x:c r="I637" s="73" t="s">
        <x:v>72</x:v>
      </x:c>
      <x:c r="J637" s="73" t="n">
        <x:v>2023</x:v>
      </x:c>
      <x:c r="K637" s="73" t="n">
        <x:v>7</x:v>
      </x:c>
      <x:c r="L637" s="73" t="n">
        <x:v>14</x:v>
      </x:c>
      <x:c r="M637" s="73" t="n">
        <x:v>16</x:v>
      </x:c>
      <x:c r="N637" s="73" t="s">
        <x:v>3260</x:v>
      </x:c>
    </x:row>
    <x:row r="638" ht="15" hidden="0">
      <x:c r="A638" s="73" t="s">
        <x:v>5190</x:v>
      </x:c>
      <x:c r="B638" s="73" t="s">
        <x:v>3261</x:v>
      </x:c>
      <x:c r="C638" s="73" t="s">
        <x:v>2795</x:v>
      </x:c>
      <x:c r="D638" s="73" t="s">
        <x:v>5191</x:v>
      </x:c>
      <x:c r="E638" s="73" t="s">
        <x:v>3394</x:v>
      </x:c>
      <x:c r="F638" s="73" t="s">
        <x:v>5192</x:v>
      </x:c>
      <x:c r="G638" s="73" t="n">
        <x:v>28</x:v>
      </x:c>
      <x:c r="H638" s="73" t="n">
        <x:v>55</x:v>
      </x:c>
      <x:c r="I638" s="73" t="s">
        <x:v>3387</x:v>
      </x:c>
      <x:c r="J638" s="73" t="n">
        <x:v>2023</x:v>
      </x:c>
      <x:c r="K638" s="73" t="n">
        <x:v>7</x:v>
      </x:c>
      <x:c r="L638" s="73" t="n">
        <x:v>15</x:v>
      </x:c>
      <x:c r="M638" s="73" t="n">
        <x:v>19</x:v>
      </x:c>
      <x:c r="N638" s="73" t="s">
        <x:v>3260</x:v>
      </x:c>
    </x:row>
    <x:row r="639" ht="15" hidden="0">
      <x:c r="A639" s="73" t="s">
        <x:v>5193</x:v>
      </x:c>
      <x:c r="B639" s="73" t="s">
        <x:v>3264</x:v>
      </x:c>
      <x:c r="C639" s="73" t="s">
        <x:v>2799</x:v>
      </x:c>
      <x:c r="D639" s="73" t="s">
        <x:v>5194</x:v>
      </x:c>
      <x:c r="E639" s="73" t="s">
        <x:v>3390</x:v>
      </x:c>
      <x:c r="F639" s="73" t="s">
        <x:v>5195</x:v>
      </x:c>
      <x:c r="G639" s="73" t="n">
        <x:v>30</x:v>
      </x:c>
      <x:c r="H639" s="73" t="n">
        <x:v>60</x:v>
      </x:c>
      <x:c r="I639" s="73" t="s">
        <x:v>72</x:v>
      </x:c>
      <x:c r="J639" s="73" t="n">
        <x:v>2023</x:v>
      </x:c>
      <x:c r="K639" s="73" t="n">
        <x:v>7</x:v>
      </x:c>
      <x:c r="L639" s="73" t="n">
        <x:v>16</x:v>
      </x:c>
      <x:c r="M639" s="73" t="n">
        <x:v>14</x:v>
      </x:c>
      <x:c r="N639" s="73" t="s">
        <x:v>3260</x:v>
      </x:c>
    </x:row>
    <x:row r="640" ht="15" hidden="0">
      <x:c r="A640" s="73" t="s">
        <x:v>5196</x:v>
      </x:c>
      <x:c r="B640" s="73" t="s">
        <x:v>3265</x:v>
      </x:c>
      <x:c r="C640" s="73" t="s">
        <x:v>2803</x:v>
      </x:c>
      <x:c r="D640" s="73" t="s">
        <x:v>5197</x:v>
      </x:c>
      <x:c r="E640" s="73" t="s">
        <x:v>3382</x:v>
      </x:c>
      <x:c r="F640" s="73" t="s">
        <x:v>5198</x:v>
      </x:c>
      <x:c r="G640" s="73" t="n">
        <x:v>18</x:v>
      </x:c>
      <x:c r="H640" s="73" t="n">
        <x:v>35</x:v>
      </x:c>
      <x:c r="I640" s="73" t="s">
        <x:v>3396</x:v>
      </x:c>
      <x:c r="J640" s="73" t="n">
        <x:v>2023</x:v>
      </x:c>
      <x:c r="K640" s="73" t="n">
        <x:v>7</x:v>
      </x:c>
      <x:c r="L640" s="73" t="n">
        <x:v>17</x:v>
      </x:c>
      <x:c r="M640" s="73" t="n">
        <x:v>22</x:v>
      </x:c>
      <x:c r="N640" s="73" t="s">
        <x:v>3260</x:v>
      </x:c>
    </x:row>
    <x:row r="641" ht="15" hidden="0">
      <x:c r="A641" s="73" t="s">
        <x:v>5199</x:v>
      </x:c>
      <x:c r="B641" s="73" t="s">
        <x:v>3261</x:v>
      </x:c>
      <x:c r="C641" s="73" t="s">
        <x:v>2807</x:v>
      </x:c>
      <x:c r="D641" s="73" t="s">
        <x:v>5200</x:v>
      </x:c>
      <x:c r="E641" s="73" t="s">
        <x:v>3394</x:v>
      </x:c>
      <x:c r="F641" s="73" t="s">
        <x:v>5144</x:v>
      </x:c>
      <x:c r="G641" s="73" t="n">
        <x:v>25</x:v>
      </x:c>
      <x:c r="H641" s="73" t="n">
        <x:v>50</x:v>
      </x:c>
      <x:c r="I641" s="73" t="s">
        <x:v>72</x:v>
      </x:c>
      <x:c r="J641" s="73" t="n">
        <x:v>2023</x:v>
      </x:c>
      <x:c r="K641" s="73" t="n">
        <x:v>7</x:v>
      </x:c>
      <x:c r="L641" s="73" t="n">
        <x:v>18</x:v>
      </x:c>
      <x:c r="M641" s="73" t="n">
        <x:v>16</x:v>
      </x:c>
      <x:c r="N641" s="73" t="s">
        <x:v>3260</x:v>
      </x:c>
    </x:row>
    <x:row r="642" ht="15" hidden="0">
      <x:c r="A642" s="73" t="s">
        <x:v>5201</x:v>
      </x:c>
      <x:c r="B642" s="73" t="s">
        <x:v>3264</x:v>
      </x:c>
      <x:c r="C642" s="73" t="s">
        <x:v>2810</x:v>
      </x:c>
      <x:c r="D642" s="73" t="s">
        <x:v>5202</x:v>
      </x:c>
      <x:c r="E642" s="73" t="s">
        <x:v>3390</x:v>
      </x:c>
      <x:c r="F642" s="73" t="s">
        <x:v>5203</x:v>
      </x:c>
      <x:c r="G642" s="73" t="n">
        <x:v>22</x:v>
      </x:c>
      <x:c r="H642" s="73" t="n">
        <x:v>45</x:v>
      </x:c>
      <x:c r="I642" s="73" t="s">
        <x:v>3396</x:v>
      </x:c>
      <x:c r="J642" s="73" t="n">
        <x:v>2023</x:v>
      </x:c>
      <x:c r="K642" s="73" t="n">
        <x:v>7</x:v>
      </x:c>
      <x:c r="L642" s="73" t="n">
        <x:v>19</x:v>
      </x:c>
      <x:c r="M642" s="73" t="n">
        <x:v>19</x:v>
      </x:c>
      <x:c r="N642" s="73" t="s">
        <x:v>3260</x:v>
      </x:c>
    </x:row>
    <x:row r="643" ht="15" hidden="0">
      <x:c r="A643" s="73" t="s">
        <x:v>5204</x:v>
      </x:c>
      <x:c r="B643" s="73" t="s">
        <x:v>3262</x:v>
      </x:c>
      <x:c r="C643" s="73" t="s">
        <x:v>2814</x:v>
      </x:c>
      <x:c r="D643" s="73" t="s">
        <x:v>5205</x:v>
      </x:c>
      <x:c r="E643" s="73" t="s">
        <x:v>3382</x:v>
      </x:c>
      <x:c r="F643" s="73" t="s">
        <x:v>5206</x:v>
      </x:c>
      <x:c r="G643" s="73" t="n">
        <x:v>30</x:v>
      </x:c>
      <x:c r="H643" s="73" t="n">
        <x:v>60</x:v>
      </x:c>
      <x:c r="I643" s="73" t="s">
        <x:v>3387</x:v>
      </x:c>
      <x:c r="J643" s="73" t="n">
        <x:v>2023</x:v>
      </x:c>
      <x:c r="K643" s="73" t="n">
        <x:v>7</x:v>
      </x:c>
      <x:c r="L643" s="73" t="n">
        <x:v>20</x:v>
      </x:c>
      <x:c r="M643" s="73" t="n">
        <x:v>17</x:v>
      </x:c>
      <x:c r="N643" s="73" t="s">
        <x:v>3260</x:v>
      </x:c>
    </x:row>
    <x:row r="644" ht="15" hidden="0">
      <x:c r="A644" s="73" t="s">
        <x:v>5207</x:v>
      </x:c>
      <x:c r="B644" s="73" t="s">
        <x:v>3366</x:v>
      </x:c>
      <x:c r="C644" s="73" t="s">
        <x:v>2819</x:v>
      </x:c>
      <x:c r="D644" s="73" t="s">
        <x:v>5208</x:v>
      </x:c>
      <x:c r="E644" s="73" t="s">
        <x:v>3390</x:v>
      </x:c>
      <x:c r="F644" s="73" t="s">
        <x:v>5209</x:v>
      </x:c>
      <x:c r="G644" s="73" t="n">
        <x:v>20</x:v>
      </x:c>
      <x:c r="H644" s="73" t="n">
        <x:v>40</x:v>
      </x:c>
      <x:c r="I644" s="73" t="s">
        <x:v>72</x:v>
      </x:c>
      <x:c r="J644" s="73" t="n">
        <x:v>2023</x:v>
      </x:c>
      <x:c r="K644" s="73" t="n">
        <x:v>8</x:v>
      </x:c>
      <x:c r="L644" s="73" t="n">
        <x:v>1</x:v>
      </x:c>
      <x:c r="M644" s="73" t="n">
        <x:v>13</x:v>
      </x:c>
      <x:c r="N644" s="73" t="s">
        <x:v>3260</x:v>
      </x:c>
    </x:row>
    <x:row r="645" ht="15" hidden="0">
      <x:c r="A645" s="73" t="s">
        <x:v>5210</x:v>
      </x:c>
      <x:c r="B645" s="73" t="s">
        <x:v>3262</x:v>
      </x:c>
      <x:c r="C645" s="73" t="s">
        <x:v>2823</x:v>
      </x:c>
      <x:c r="D645" s="73" t="s">
        <x:v>5211</x:v>
      </x:c>
      <x:c r="E645" s="73" t="s">
        <x:v>3382</x:v>
      </x:c>
      <x:c r="F645" s="73" t="s">
        <x:v>5212</x:v>
      </x:c>
      <x:c r="G645" s="73" t="n">
        <x:v>25</x:v>
      </x:c>
      <x:c r="H645" s="73" t="n">
        <x:v>50</x:v>
      </x:c>
      <x:c r="I645" s="73" t="s">
        <x:v>3396</x:v>
      </x:c>
      <x:c r="J645" s="73" t="n">
        <x:v>2023</x:v>
      </x:c>
      <x:c r="K645" s="73" t="n">
        <x:v>8</x:v>
      </x:c>
      <x:c r="L645" s="73" t="n">
        <x:v>2</x:v>
      </x:c>
      <x:c r="M645" s="73" t="n">
        <x:v>14</x:v>
      </x:c>
      <x:c r="N645" s="73" t="s">
        <x:v>3260</x:v>
      </x:c>
    </x:row>
    <x:row r="646" ht="15" hidden="0">
      <x:c r="A646" s="73" t="s">
        <x:v>5213</x:v>
      </x:c>
      <x:c r="B646" s="73" t="s">
        <x:v>3262</x:v>
      </x:c>
      <x:c r="C646" s="73" t="s">
        <x:v>2827</x:v>
      </x:c>
      <x:c r="D646" s="73" t="s">
        <x:v>5214</x:v>
      </x:c>
      <x:c r="E646" s="73" t="s">
        <x:v>3394</x:v>
      </x:c>
      <x:c r="F646" s="73" t="s">
        <x:v>5215</x:v>
      </x:c>
      <x:c r="G646" s="73" t="n">
        <x:v>18</x:v>
      </x:c>
      <x:c r="H646" s="73" t="n">
        <x:v>35</x:v>
      </x:c>
      <x:c r="I646" s="73" t="s">
        <x:v>3387</x:v>
      </x:c>
      <x:c r="J646" s="73" t="n">
        <x:v>2023</x:v>
      </x:c>
      <x:c r="K646" s="73" t="n">
        <x:v>8</x:v>
      </x:c>
      <x:c r="L646" s="73" t="n">
        <x:v>3</x:v>
      </x:c>
      <x:c r="M646" s="73" t="n">
        <x:v>12</x:v>
      </x:c>
      <x:c r="N646" s="73" t="s">
        <x:v>3260</x:v>
      </x:c>
    </x:row>
    <x:row r="647" ht="15" hidden="0">
      <x:c r="A647" s="73" t="s">
        <x:v>5216</x:v>
      </x:c>
      <x:c r="B647" s="73" t="s">
        <x:v>3261</x:v>
      </x:c>
      <x:c r="C647" s="73" t="s">
        <x:v>2831</x:v>
      </x:c>
      <x:c r="D647" s="73" t="s">
        <x:v>5217</x:v>
      </x:c>
      <x:c r="E647" s="73" t="s">
        <x:v>3390</x:v>
      </x:c>
      <x:c r="F647" s="73" t="s">
        <x:v>5218</x:v>
      </x:c>
      <x:c r="G647" s="73" t="n">
        <x:v>22</x:v>
      </x:c>
      <x:c r="H647" s="73" t="n">
        <x:v>45</x:v>
      </x:c>
      <x:c r="I647" s="73" t="s">
        <x:v>72</x:v>
      </x:c>
      <x:c r="J647" s="73" t="n">
        <x:v>2023</x:v>
      </x:c>
      <x:c r="K647" s="73" t="n">
        <x:v>8</x:v>
      </x:c>
      <x:c r="L647" s="73" t="n">
        <x:v>4</x:v>
      </x:c>
      <x:c r="M647" s="73" t="n">
        <x:v>16</x:v>
      </x:c>
      <x:c r="N647" s="73" t="s">
        <x:v>3260</x:v>
      </x:c>
    </x:row>
    <x:row r="648" ht="15" hidden="0">
      <x:c r="A648" s="73" t="s">
        <x:v>5219</x:v>
      </x:c>
      <x:c r="B648" s="73" t="s">
        <x:v>3262</x:v>
      </x:c>
      <x:c r="C648" s="73" t="s">
        <x:v>2835</x:v>
      </x:c>
      <x:c r="D648" s="73" t="s">
        <x:v>5220</x:v>
      </x:c>
      <x:c r="E648" s="73" t="s">
        <x:v>3382</x:v>
      </x:c>
      <x:c r="F648" s="73" t="s">
        <x:v>5221</x:v>
      </x:c>
      <x:c r="G648" s="73" t="n">
        <x:v>30</x:v>
      </x:c>
      <x:c r="H648" s="73" t="n">
        <x:v>60</x:v>
      </x:c>
      <x:c r="I648" s="73" t="s">
        <x:v>3387</x:v>
      </x:c>
      <x:c r="J648" s="73" t="n">
        <x:v>2023</x:v>
      </x:c>
      <x:c r="K648" s="73" t="n">
        <x:v>8</x:v>
      </x:c>
      <x:c r="L648" s="73" t="n">
        <x:v>5</x:v>
      </x:c>
      <x:c r="M648" s="73" t="n">
        <x:v>19</x:v>
      </x:c>
      <x:c r="N648" s="73" t="s">
        <x:v>3260</x:v>
      </x:c>
    </x:row>
    <x:row r="649" ht="15" hidden="0">
      <x:c r="A649" s="73" t="s">
        <x:v>5222</x:v>
      </x:c>
      <x:c r="B649" s="73" t="s">
        <x:v>3260</x:v>
      </x:c>
      <x:c r="C649" s="73" t="s">
        <x:v>2840</x:v>
      </x:c>
      <x:c r="D649" s="73" t="s">
        <x:v>5223</x:v>
      </x:c>
      <x:c r="E649" s="73" t="s">
        <x:v>3394</x:v>
      </x:c>
      <x:c r="F649" s="73" t="s">
        <x:v>5224</x:v>
      </x:c>
      <x:c r="G649" s="73" t="n">
        <x:v>28</x:v>
      </x:c>
      <x:c r="H649" s="73" t="n">
        <x:v>55</x:v>
      </x:c>
      <x:c r="I649" s="73" t="s">
        <x:v>72</x:v>
      </x:c>
      <x:c r="J649" s="73" t="n">
        <x:v>2023</x:v>
      </x:c>
      <x:c r="K649" s="73" t="n">
        <x:v>8</x:v>
      </x:c>
      <x:c r="L649" s="73" t="n">
        <x:v>6</x:v>
      </x:c>
      <x:c r="M649" s="73" t="n">
        <x:v>14</x:v>
      </x:c>
      <x:c r="N649" s="73" t="s">
        <x:v>3260</x:v>
      </x:c>
    </x:row>
    <x:row r="650" ht="15" hidden="0">
      <x:c r="A650" s="73" t="s">
        <x:v>5225</x:v>
      </x:c>
      <x:c r="B650" s="73" t="s">
        <x:v>3194</x:v>
      </x:c>
      <x:c r="C650" s="73" t="s">
        <x:v>2845</x:v>
      </x:c>
      <x:c r="D650" s="73" t="s">
        <x:v>5226</x:v>
      </x:c>
      <x:c r="E650" s="73" t="s">
        <x:v>3390</x:v>
      </x:c>
      <x:c r="F650" s="73" t="s">
        <x:v>5227</x:v>
      </x:c>
      <x:c r="G650" s="73" t="n">
        <x:v>22</x:v>
      </x:c>
      <x:c r="H650" s="73" t="n">
        <x:v>45</x:v>
      </x:c>
      <x:c r="I650" s="73" t="s">
        <x:v>3396</x:v>
      </x:c>
      <x:c r="J650" s="73" t="n">
        <x:v>2023</x:v>
      </x:c>
      <x:c r="K650" s="73" t="n">
        <x:v>8</x:v>
      </x:c>
      <x:c r="L650" s="73" t="n">
        <x:v>7</x:v>
      </x:c>
      <x:c r="M650" s="73" t="n">
        <x:v>19</x:v>
      </x:c>
      <x:c r="N650" s="73" t="s">
        <x:v>3189</x:v>
      </x:c>
    </x:row>
    <x:row r="651" ht="15" hidden="0">
      <x:c r="A651" s="73" t="s">
        <x:v>5228</x:v>
      </x:c>
      <x:c r="B651" s="73" t="s">
        <x:v>3262</x:v>
      </x:c>
      <x:c r="C651" s="73" t="s">
        <x:v>2849</x:v>
      </x:c>
      <x:c r="D651" s="73" t="s">
        <x:v>5229</x:v>
      </x:c>
      <x:c r="E651" s="73" t="s">
        <x:v>3382</x:v>
      </x:c>
      <x:c r="F651" s="73" t="s">
        <x:v>5230</x:v>
      </x:c>
      <x:c r="G651" s="73" t="n">
        <x:v>30</x:v>
      </x:c>
      <x:c r="H651" s="73" t="n">
        <x:v>60</x:v>
      </x:c>
      <x:c r="I651" s="73" t="s">
        <x:v>3387</x:v>
      </x:c>
      <x:c r="J651" s="73" t="n">
        <x:v>2023</x:v>
      </x:c>
      <x:c r="K651" s="73" t="n">
        <x:v>8</x:v>
      </x:c>
      <x:c r="L651" s="73" t="n">
        <x:v>8</x:v>
      </x:c>
      <x:c r="M651" s="73" t="n">
        <x:v>16</x:v>
      </x:c>
      <x:c r="N651" s="73" t="s">
        <x:v>3260</x:v>
      </x:c>
    </x:row>
    <x:row r="652" ht="15" hidden="0">
      <x:c r="A652" s="73" t="s">
        <x:v>5231</x:v>
      </x:c>
      <x:c r="B652" s="73" t="s">
        <x:v>3261</x:v>
      </x:c>
      <x:c r="C652" s="73" t="s">
        <x:v>2853</x:v>
      </x:c>
      <x:c r="D652" s="73" t="s">
        <x:v>5232</x:v>
      </x:c>
      <x:c r="E652" s="73" t="s">
        <x:v>3394</x:v>
      </x:c>
      <x:c r="F652" s="73" t="s">
        <x:v>5233</x:v>
      </x:c>
      <x:c r="G652" s="73" t="n">
        <x:v>20</x:v>
      </x:c>
      <x:c r="H652" s="73" t="n">
        <x:v>40</x:v>
      </x:c>
      <x:c r="I652" s="73" t="s">
        <x:v>72</x:v>
      </x:c>
      <x:c r="J652" s="73" t="n">
        <x:v>2023</x:v>
      </x:c>
      <x:c r="K652" s="73" t="n">
        <x:v>8</x:v>
      </x:c>
      <x:c r="L652" s="73" t="n">
        <x:v>9</x:v>
      </x:c>
      <x:c r="M652" s="73" t="n">
        <x:v>22</x:v>
      </x:c>
      <x:c r="N652" s="73" t="s">
        <x:v>3260</x:v>
      </x:c>
    </x:row>
    <x:row r="653" ht="15" hidden="0">
      <x:c r="A653" s="73" t="s">
        <x:v>5234</x:v>
      </x:c>
      <x:c r="B653" s="73" t="s">
        <x:v>3261</x:v>
      </x:c>
      <x:c r="C653" s="73" t="s">
        <x:v>2857</x:v>
      </x:c>
      <x:c r="D653" s="73" t="s">
        <x:v>5235</x:v>
      </x:c>
      <x:c r="E653" s="73" t="s">
        <x:v>3390</x:v>
      </x:c>
      <x:c r="F653" s="73" t="s">
        <x:v>5236</x:v>
      </x:c>
      <x:c r="G653" s="73" t="n">
        <x:v>28</x:v>
      </x:c>
      <x:c r="H653" s="73" t="n">
        <x:v>55</x:v>
      </x:c>
      <x:c r="I653" s="73" t="s">
        <x:v>3396</x:v>
      </x:c>
      <x:c r="J653" s="73" t="n">
        <x:v>2023</x:v>
      </x:c>
      <x:c r="K653" s="73" t="n">
        <x:v>8</x:v>
      </x:c>
      <x:c r="L653" s="73" t="n">
        <x:v>10</x:v>
      </x:c>
      <x:c r="M653" s="73" t="n">
        <x:v>14</x:v>
      </x:c>
      <x:c r="N653" s="73" t="s">
        <x:v>3260</x:v>
      </x:c>
    </x:row>
    <x:row r="654" ht="15" hidden="0">
      <x:c r="A654" s="73" t="s">
        <x:v>5237</x:v>
      </x:c>
      <x:c r="B654" s="73" t="s">
        <x:v>3261</x:v>
      </x:c>
      <x:c r="C654" s="73" t="s">
        <x:v>2861</x:v>
      </x:c>
      <x:c r="D654" s="73" t="s">
        <x:v>5238</x:v>
      </x:c>
      <x:c r="E654" s="73" t="s">
        <x:v>3382</x:v>
      </x:c>
      <x:c r="F654" s="73" t="s">
        <x:v>5239</x:v>
      </x:c>
      <x:c r="G654" s="73" t="n">
        <x:v>22</x:v>
      </x:c>
      <x:c r="H654" s="73" t="n">
        <x:v>45</x:v>
      </x:c>
      <x:c r="I654" s="73" t="s">
        <x:v>3387</x:v>
      </x:c>
      <x:c r="J654" s="73" t="n">
        <x:v>2023</x:v>
      </x:c>
      <x:c r="K654" s="73" t="n">
        <x:v>8</x:v>
      </x:c>
      <x:c r="L654" s="73" t="n">
        <x:v>11</x:v>
      </x:c>
      <x:c r="M654" s="73" t="n">
        <x:v>18</x:v>
      </x:c>
      <x:c r="N654" s="73" t="s">
        <x:v>3260</x:v>
      </x:c>
    </x:row>
    <x:row r="655" ht="15" hidden="0">
      <x:c r="A655" s="73" t="s">
        <x:v>5240</x:v>
      </x:c>
      <x:c r="B655" s="73" t="s">
        <x:v>3262</x:v>
      </x:c>
      <x:c r="C655" s="73" t="s">
        <x:v>2865</x:v>
      </x:c>
      <x:c r="D655" s="73" t="s">
        <x:v>5241</x:v>
      </x:c>
      <x:c r="E655" s="73" t="s">
        <x:v>3394</x:v>
      </x:c>
      <x:c r="F655" s="73" t="s">
        <x:v>5242</x:v>
      </x:c>
      <x:c r="G655" s="73" t="n">
        <x:v>25</x:v>
      </x:c>
      <x:c r="H655" s="73" t="n">
        <x:v>50</x:v>
      </x:c>
      <x:c r="I655" s="73" t="s">
        <x:v>72</x:v>
      </x:c>
      <x:c r="J655" s="73" t="n">
        <x:v>2023</x:v>
      </x:c>
      <x:c r="K655" s="73" t="n">
        <x:v>8</x:v>
      </x:c>
      <x:c r="L655" s="73" t="n">
        <x:v>12</x:v>
      </x:c>
      <x:c r="M655" s="73" t="n">
        <x:v>13</x:v>
      </x:c>
      <x:c r="N655" s="73" t="s">
        <x:v>3260</x:v>
      </x:c>
    </x:row>
    <x:row r="656" ht="15" hidden="0">
      <x:c r="A656" s="73" t="s">
        <x:v>5243</x:v>
      </x:c>
      <x:c r="B656" s="73" t="s">
        <x:v>3262</x:v>
      </x:c>
      <x:c r="C656" s="73" t="s">
        <x:v>2869</x:v>
      </x:c>
      <x:c r="D656" s="73" t="s">
        <x:v>5244</x:v>
      </x:c>
      <x:c r="E656" s="73" t="s">
        <x:v>3390</x:v>
      </x:c>
      <x:c r="F656" s="73" t="s">
        <x:v>5245</x:v>
      </x:c>
      <x:c r="G656" s="73" t="n">
        <x:v>35</x:v>
      </x:c>
      <x:c r="H656" s="73" t="n">
        <x:v>70</x:v>
      </x:c>
      <x:c r="I656" s="73" t="s">
        <x:v>3396</x:v>
      </x:c>
      <x:c r="J656" s="73" t="n">
        <x:v>2023</x:v>
      </x:c>
      <x:c r="K656" s="73" t="n">
        <x:v>8</x:v>
      </x:c>
      <x:c r="L656" s="73" t="n">
        <x:v>13</x:v>
      </x:c>
      <x:c r="M656" s="73" t="n">
        <x:v>20</x:v>
      </x:c>
      <x:c r="N656" s="73" t="s">
        <x:v>3260</x:v>
      </x:c>
    </x:row>
    <x:row r="657" ht="15" hidden="0">
      <x:c r="A657" s="73" t="s">
        <x:v>5246</x:v>
      </x:c>
      <x:c r="B657" s="73" t="s">
        <x:v>3261</x:v>
      </x:c>
      <x:c r="C657" s="73" t="s">
        <x:v>2873</x:v>
      </x:c>
      <x:c r="D657" s="73" t="s">
        <x:v>5247</x:v>
      </x:c>
      <x:c r="E657" s="73" t="s">
        <x:v>3382</x:v>
      </x:c>
      <x:c r="F657" s="73" t="s">
        <x:v>5248</x:v>
      </x:c>
      <x:c r="G657" s="73" t="n">
        <x:v>20</x:v>
      </x:c>
      <x:c r="H657" s="73" t="n">
        <x:v>40</x:v>
      </x:c>
      <x:c r="I657" s="73" t="s">
        <x:v>72</x:v>
      </x:c>
      <x:c r="J657" s="73" t="n">
        <x:v>2023</x:v>
      </x:c>
      <x:c r="K657" s="73" t="n">
        <x:v>8</x:v>
      </x:c>
      <x:c r="L657" s="73" t="n">
        <x:v>14</x:v>
      </x:c>
      <x:c r="M657" s="73" t="n">
        <x:v>16</x:v>
      </x:c>
      <x:c r="N657" s="73" t="s">
        <x:v>3260</x:v>
      </x:c>
    </x:row>
    <x:row r="658" ht="15" hidden="0">
      <x:c r="A658" s="73" t="s">
        <x:v>5249</x:v>
      </x:c>
      <x:c r="B658" s="73" t="s">
        <x:v>3262</x:v>
      </x:c>
      <x:c r="C658" s="73" t="s">
        <x:v>2877</x:v>
      </x:c>
      <x:c r="D658" s="73" t="s">
        <x:v>5250</x:v>
      </x:c>
      <x:c r="E658" s="73" t="s">
        <x:v>3394</x:v>
      </x:c>
      <x:c r="F658" s="73" t="s">
        <x:v>5251</x:v>
      </x:c>
      <x:c r="G658" s="73" t="n">
        <x:v>28</x:v>
      </x:c>
      <x:c r="H658" s="73" t="n">
        <x:v>55</x:v>
      </x:c>
      <x:c r="I658" s="73" t="s">
        <x:v>3387</x:v>
      </x:c>
      <x:c r="J658" s="73" t="n">
        <x:v>2023</x:v>
      </x:c>
      <x:c r="K658" s="73" t="n">
        <x:v>8</x:v>
      </x:c>
      <x:c r="L658" s="73" t="n">
        <x:v>15</x:v>
      </x:c>
      <x:c r="M658" s="73" t="n">
        <x:v>19</x:v>
      </x:c>
      <x:c r="N658" s="73" t="s">
        <x:v>3260</x:v>
      </x:c>
    </x:row>
    <x:row r="659" ht="15" hidden="0">
      <x:c r="A659" s="73" t="s">
        <x:v>5252</x:v>
      </x:c>
      <x:c r="B659" s="73" t="s">
        <x:v>3313</x:v>
      </x:c>
      <x:c r="C659" s="73" t="s">
        <x:v>2882</x:v>
      </x:c>
      <x:c r="D659" s="73" t="s">
        <x:v>5253</x:v>
      </x:c>
      <x:c r="E659" s="73" t="s">
        <x:v>3390</x:v>
      </x:c>
      <x:c r="F659" s="73" t="s">
        <x:v>5254</x:v>
      </x:c>
      <x:c r="G659" s="73" t="n">
        <x:v>30</x:v>
      </x:c>
      <x:c r="H659" s="73" t="n">
        <x:v>60</x:v>
      </x:c>
      <x:c r="I659" s="73" t="s">
        <x:v>72</x:v>
      </x:c>
      <x:c r="J659" s="73" t="n">
        <x:v>2023</x:v>
      </x:c>
      <x:c r="K659" s="73" t="n">
        <x:v>8</x:v>
      </x:c>
      <x:c r="L659" s="73" t="n">
        <x:v>16</x:v>
      </x:c>
      <x:c r="M659" s="73" t="n">
        <x:v>14</x:v>
      </x:c>
      <x:c r="N659" s="73" t="s">
        <x:v>3260</x:v>
      </x:c>
    </x:row>
    <x:row r="660" ht="15" hidden="0">
      <x:c r="A660" s="73" t="s">
        <x:v>5255</x:v>
      </x:c>
      <x:c r="B660" s="73" t="s">
        <x:v>3262</x:v>
      </x:c>
      <x:c r="C660" s="73" t="s">
        <x:v>2886</x:v>
      </x:c>
      <x:c r="D660" s="73" t="s">
        <x:v>5256</x:v>
      </x:c>
      <x:c r="E660" s="73" t="s">
        <x:v>3382</x:v>
      </x:c>
      <x:c r="F660" s="73" t="s">
        <x:v>5257</x:v>
      </x:c>
      <x:c r="G660" s="73" t="n">
        <x:v>18</x:v>
      </x:c>
      <x:c r="H660" s="73" t="n">
        <x:v>35</x:v>
      </x:c>
      <x:c r="I660" s="73" t="s">
        <x:v>3396</x:v>
      </x:c>
      <x:c r="J660" s="73" t="n">
        <x:v>2023</x:v>
      </x:c>
      <x:c r="K660" s="73" t="n">
        <x:v>8</x:v>
      </x:c>
      <x:c r="L660" s="73" t="n">
        <x:v>17</x:v>
      </x:c>
      <x:c r="M660" s="73" t="n">
        <x:v>22</x:v>
      </x:c>
      <x:c r="N660" s="73" t="s">
        <x:v>3260</x:v>
      </x:c>
    </x:row>
    <x:row r="661" ht="15" hidden="0">
      <x:c r="A661" s="73" t="s">
        <x:v>5258</x:v>
      </x:c>
      <x:c r="B661" s="73" t="s">
        <x:v>3194</x:v>
      </x:c>
      <x:c r="C661" s="73" t="s">
        <x:v>2890</x:v>
      </x:c>
      <x:c r="D661" s="73" t="s">
        <x:v>5259</x:v>
      </x:c>
      <x:c r="E661" s="73" t="s">
        <x:v>3394</x:v>
      </x:c>
      <x:c r="F661" s="73" t="s">
        <x:v>5260</x:v>
      </x:c>
      <x:c r="G661" s="73" t="n">
        <x:v>25</x:v>
      </x:c>
      <x:c r="H661" s="73" t="n">
        <x:v>50</x:v>
      </x:c>
      <x:c r="I661" s="73" t="s">
        <x:v>72</x:v>
      </x:c>
      <x:c r="J661" s="73" t="n">
        <x:v>2023</x:v>
      </x:c>
      <x:c r="K661" s="73" t="n">
        <x:v>8</x:v>
      </x:c>
      <x:c r="L661" s="73" t="n">
        <x:v>18</x:v>
      </x:c>
      <x:c r="M661" s="73" t="n">
        <x:v>16</x:v>
      </x:c>
      <x:c r="N661" s="73" t="s">
        <x:v>3189</x:v>
      </x:c>
    </x:row>
    <x:row r="662" ht="15" hidden="0">
      <x:c r="A662" s="73" t="s">
        <x:v>5261</x:v>
      </x:c>
      <x:c r="B662" s="73" t="s">
        <x:v>3194</x:v>
      </x:c>
      <x:c r="C662" s="73" t="s">
        <x:v>2894</x:v>
      </x:c>
      <x:c r="D662" s="73" t="s">
        <x:v>5262</x:v>
      </x:c>
      <x:c r="E662" s="73" t="s">
        <x:v>3390</x:v>
      </x:c>
      <x:c r="F662" s="73" t="s">
        <x:v>5263</x:v>
      </x:c>
      <x:c r="G662" s="73" t="n">
        <x:v>22</x:v>
      </x:c>
      <x:c r="H662" s="73" t="n">
        <x:v>45</x:v>
      </x:c>
      <x:c r="I662" s="73" t="s">
        <x:v>3396</x:v>
      </x:c>
      <x:c r="J662" s="73" t="n">
        <x:v>2023</x:v>
      </x:c>
      <x:c r="K662" s="73" t="n">
        <x:v>8</x:v>
      </x:c>
      <x:c r="L662" s="73" t="n">
        <x:v>19</x:v>
      </x:c>
      <x:c r="M662" s="73" t="n">
        <x:v>19</x:v>
      </x:c>
      <x:c r="N662" s="73" t="s">
        <x:v>3189</x:v>
      </x:c>
    </x:row>
    <x:row r="663" ht="15" hidden="0">
      <x:c r="A663" s="73" t="s">
        <x:v>5264</x:v>
      </x:c>
      <x:c r="B663" s="73" t="s">
        <x:v>3194</x:v>
      </x:c>
      <x:c r="C663" s="73" t="s">
        <x:v>2898</x:v>
      </x:c>
      <x:c r="D663" s="73" t="s">
        <x:v>5265</x:v>
      </x:c>
      <x:c r="E663" s="73" t="s">
        <x:v>3382</x:v>
      </x:c>
      <x:c r="F663" s="73" t="s">
        <x:v>5266</x:v>
      </x:c>
      <x:c r="G663" s="73" t="n">
        <x:v>30</x:v>
      </x:c>
      <x:c r="H663" s="73" t="n">
        <x:v>60</x:v>
      </x:c>
      <x:c r="I663" s="73" t="s">
        <x:v>3387</x:v>
      </x:c>
      <x:c r="J663" s="73" t="n">
        <x:v>2023</x:v>
      </x:c>
      <x:c r="K663" s="73" t="n">
        <x:v>8</x:v>
      </x:c>
      <x:c r="L663" s="73" t="n">
        <x:v>20</x:v>
      </x:c>
      <x:c r="M663" s="73" t="n">
        <x:v>17</x:v>
      </x:c>
      <x:c r="N663" s="73" t="s">
        <x:v>3189</x:v>
      </x:c>
    </x:row>
    <x:row r="664" ht="15" hidden="0">
      <x:c r="A664" s="73" t="s">
        <x:v>5267</x:v>
      </x:c>
      <x:c r="B664" s="73" t="s">
        <x:v>3261</x:v>
      </x:c>
      <x:c r="C664" s="73" t="s">
        <x:v>2902</x:v>
      </x:c>
      <x:c r="D664" s="73" t="s">
        <x:v>5268</x:v>
      </x:c>
      <x:c r="E664" s="73" t="s">
        <x:v>3390</x:v>
      </x:c>
      <x:c r="F664" s="73" t="s">
        <x:v>5269</x:v>
      </x:c>
      <x:c r="G664" s="73" t="n">
        <x:v>15</x:v>
      </x:c>
      <x:c r="H664" s="73" t="n">
        <x:v>30</x:v>
      </x:c>
      <x:c r="I664" s="73" t="s">
        <x:v>72</x:v>
      </x:c>
      <x:c r="J664" s="73" t="n">
        <x:v>2023</x:v>
      </x:c>
      <x:c r="K664" s="73" t="n">
        <x:v>8</x:v>
      </x:c>
      <x:c r="L664" s="73" t="n">
        <x:v>21</x:v>
      </x:c>
      <x:c r="M664" s="73" t="n">
        <x:v>15</x:v>
      </x:c>
      <x:c r="N664" s="73" t="s">
        <x:v>3260</x:v>
      </x:c>
    </x:row>
    <x:row r="665" ht="15" hidden="0">
      <x:c r="A665" s="73" t="s">
        <x:v>5270</x:v>
      </x:c>
      <x:c r="B665" s="73" t="s">
        <x:v>3262</x:v>
      </x:c>
      <x:c r="C665" s="73" t="s">
        <x:v>2906</x:v>
      </x:c>
      <x:c r="D665" s="73" t="s">
        <x:v>5271</x:v>
      </x:c>
      <x:c r="E665" s="73" t="s">
        <x:v>3394</x:v>
      </x:c>
      <x:c r="F665" s="73" t="s">
        <x:v>5272</x:v>
      </x:c>
      <x:c r="G665" s="73" t="n">
        <x:v>22</x:v>
      </x:c>
      <x:c r="H665" s="73" t="n">
        <x:v>40</x:v>
      </x:c>
      <x:c r="I665" s="73" t="s">
        <x:v>3387</x:v>
      </x:c>
      <x:c r="J665" s="73" t="n">
        <x:v>2023</x:v>
      </x:c>
      <x:c r="K665" s="73" t="n">
        <x:v>8</x:v>
      </x:c>
      <x:c r="L665" s="73" t="n">
        <x:v>22</x:v>
      </x:c>
      <x:c r="M665" s="73" t="n">
        <x:v>12</x:v>
      </x:c>
      <x:c r="N665" s="73" t="s">
        <x:v>3260</x:v>
      </x:c>
    </x:row>
    <x:row r="666" ht="15" hidden="0">
      <x:c r="A666" s="73" t="s">
        <x:v>5273</x:v>
      </x:c>
      <x:c r="B666" s="73" t="s">
        <x:v>3313</x:v>
      </x:c>
      <x:c r="C666" s="73" t="s">
        <x:v>2910</x:v>
      </x:c>
      <x:c r="D666" s="73" t="s">
        <x:v>5274</x:v>
      </x:c>
      <x:c r="E666" s="73" t="s">
        <x:v>3382</x:v>
      </x:c>
      <x:c r="F666" s="73" t="s">
        <x:v>5275</x:v>
      </x:c>
      <x:c r="G666" s="73" t="n">
        <x:v>28</x:v>
      </x:c>
      <x:c r="H666" s="73" t="n">
        <x:v>55</x:v>
      </x:c>
      <x:c r="I666" s="73" t="s">
        <x:v>72</x:v>
      </x:c>
      <x:c r="J666" s="73" t="n">
        <x:v>2023</x:v>
      </x:c>
      <x:c r="K666" s="73" t="n">
        <x:v>8</x:v>
      </x:c>
      <x:c r="L666" s="73" t="n">
        <x:v>23</x:v>
      </x:c>
      <x:c r="M666" s="73" t="n">
        <x:v>16</x:v>
      </x:c>
      <x:c r="N666" s="73" t="s">
        <x:v>3260</x:v>
      </x:c>
    </x:row>
    <x:row r="667" ht="15" hidden="0">
      <x:c r="A667" s="73" t="s">
        <x:v>5276</x:v>
      </x:c>
      <x:c r="B667" s="73" t="s">
        <x:v>3262</x:v>
      </x:c>
      <x:c r="C667" s="73" t="s">
        <x:v>2914</x:v>
      </x:c>
      <x:c r="D667" s="73" t="s">
        <x:v>5277</x:v>
      </x:c>
      <x:c r="E667" s="73" t="s">
        <x:v>3390</x:v>
      </x:c>
      <x:c r="F667" s="73" t="s">
        <x:v>5278</x:v>
      </x:c>
      <x:c r="G667" s="73" t="n">
        <x:v>20</x:v>
      </x:c>
      <x:c r="H667" s="73" t="n">
        <x:v>38</x:v>
      </x:c>
      <x:c r="I667" s="73" t="s">
        <x:v>3396</x:v>
      </x:c>
      <x:c r="J667" s="73" t="n">
        <x:v>2023</x:v>
      </x:c>
      <x:c r="K667" s="73" t="n">
        <x:v>8</x:v>
      </x:c>
      <x:c r="L667" s="73" t="n">
        <x:v>24</x:v>
      </x:c>
      <x:c r="M667" s="73" t="n">
        <x:v>18</x:v>
      </x:c>
      <x:c r="N667" s="73" t="s">
        <x:v>3260</x:v>
      </x:c>
    </x:row>
    <x:row r="668" ht="15" hidden="0">
      <x:c r="A668" s="73" t="s">
        <x:v>5279</x:v>
      </x:c>
      <x:c r="B668" s="73" t="s">
        <x:v>3261</x:v>
      </x:c>
      <x:c r="C668" s="73" t="s">
        <x:v>2918</x:v>
      </x:c>
      <x:c r="D668" s="73" t="s">
        <x:v>5280</x:v>
      </x:c>
      <x:c r="E668" s="73" t="s">
        <x:v>3394</x:v>
      </x:c>
      <x:c r="F668" s="73" t="s">
        <x:v>5281</x:v>
      </x:c>
      <x:c r="G668" s="73" t="n">
        <x:v>25</x:v>
      </x:c>
      <x:c r="H668" s="73" t="n">
        <x:v>50</x:v>
      </x:c>
      <x:c r="I668" s="73" t="s">
        <x:v>3387</x:v>
      </x:c>
      <x:c r="J668" s="73" t="n">
        <x:v>2023</x:v>
      </x:c>
      <x:c r="K668" s="73" t="n">
        <x:v>8</x:v>
      </x:c>
      <x:c r="L668" s="73" t="n">
        <x:v>25</x:v>
      </x:c>
      <x:c r="M668" s="73" t="n">
        <x:v>14</x:v>
      </x:c>
      <x:c r="N668" s="73" t="s">
        <x:v>3260</x:v>
      </x:c>
    </x:row>
    <x:row r="669" ht="15" hidden="0">
      <x:c r="A669" s="73" t="s">
        <x:v>5282</x:v>
      </x:c>
      <x:c r="B669" s="73" t="s">
        <x:v>3194</x:v>
      </x:c>
      <x:c r="C669" s="73" t="s">
        <x:v>2922</x:v>
      </x:c>
      <x:c r="D669" s="73" t="s">
        <x:v>5283</x:v>
      </x:c>
      <x:c r="E669" s="73" t="s">
        <x:v>3382</x:v>
      </x:c>
      <x:c r="F669" s="73" t="s">
        <x:v>5284</x:v>
      </x:c>
      <x:c r="G669" s="73" t="n">
        <x:v>18</x:v>
      </x:c>
      <x:c r="H669" s="73" t="n">
        <x:v>35</x:v>
      </x:c>
      <x:c r="I669" s="73" t="s">
        <x:v>72</x:v>
      </x:c>
      <x:c r="J669" s="73" t="n">
        <x:v>2023</x:v>
      </x:c>
      <x:c r="K669" s="73" t="n">
        <x:v>8</x:v>
      </x:c>
      <x:c r="L669" s="73" t="n">
        <x:v>26</x:v>
      </x:c>
      <x:c r="M669" s="73" t="n">
        <x:v>17</x:v>
      </x:c>
      <x:c r="N669" s="73" t="s">
        <x:v>3189</x:v>
      </x:c>
    </x:row>
    <x:row r="670" ht="15" hidden="0">
      <x:c r="A670" s="73" t="s">
        <x:v>5285</x:v>
      </x:c>
      <x:c r="B670" s="73" t="s">
        <x:v>3194</x:v>
      </x:c>
      <x:c r="C670" s="73" t="s">
        <x:v>2926</x:v>
      </x:c>
      <x:c r="D670" s="73" t="s">
        <x:v>5286</x:v>
      </x:c>
      <x:c r="E670" s="73" t="s">
        <x:v>3390</x:v>
      </x:c>
      <x:c r="F670" s="73" t="s">
        <x:v>5287</x:v>
      </x:c>
      <x:c r="G670" s="73" t="n">
        <x:v>22</x:v>
      </x:c>
      <x:c r="H670" s="73" t="n">
        <x:v>45</x:v>
      </x:c>
      <x:c r="I670" s="73" t="s">
        <x:v>3396</x:v>
      </x:c>
      <x:c r="J670" s="73" t="n">
        <x:v>2023</x:v>
      </x:c>
      <x:c r="K670" s="73" t="n">
        <x:v>8</x:v>
      </x:c>
      <x:c r="L670" s="73" t="n">
        <x:v>27</x:v>
      </x:c>
      <x:c r="M670" s="73" t="n">
        <x:v>20</x:v>
      </x:c>
      <x:c r="N670" s="73" t="s">
        <x:v>3189</x:v>
      </x:c>
    </x:row>
    <x:row r="671" ht="15" hidden="0">
      <x:c r="A671" s="73" t="s">
        <x:v>5288</x:v>
      </x:c>
      <x:c r="B671" s="73" t="s">
        <x:v>3261</x:v>
      </x:c>
      <x:c r="C671" s="73" t="s">
        <x:v>2930</x:v>
      </x:c>
      <x:c r="D671" s="73" t="s">
        <x:v>5289</x:v>
      </x:c>
      <x:c r="E671" s="73" t="s">
        <x:v>3382</x:v>
      </x:c>
      <x:c r="F671" s="73" t="s">
        <x:v>5290</x:v>
      </x:c>
      <x:c r="G671" s="73" t="n">
        <x:v>18</x:v>
      </x:c>
      <x:c r="H671" s="73" t="n">
        <x:v>36</x:v>
      </x:c>
      <x:c r="I671" s="73" t="s">
        <x:v>72</x:v>
      </x:c>
      <x:c r="J671" s="73" t="n">
        <x:v>2023</x:v>
      </x:c>
      <x:c r="K671" s="73" t="n">
        <x:v>8</x:v>
      </x:c>
      <x:c r="L671" s="73" t="n">
        <x:v>28</x:v>
      </x:c>
      <x:c r="M671" s="73" t="n">
        <x:v>16</x:v>
      </x:c>
      <x:c r="N671" s="73" t="s">
        <x:v>3260</x:v>
      </x:c>
    </x:row>
    <x:row r="672" ht="15" hidden="0">
      <x:c r="A672" s="73" t="s">
        <x:v>5291</x:v>
      </x:c>
      <x:c r="B672" s="73" t="s">
        <x:v>3262</x:v>
      </x:c>
      <x:c r="C672" s="73" t="s">
        <x:v>2934</x:v>
      </x:c>
      <x:c r="D672" s="73" t="s">
        <x:v>5292</x:v>
      </x:c>
      <x:c r="E672" s="73" t="s">
        <x:v>3390</x:v>
      </x:c>
      <x:c r="F672" s="73" t="s">
        <x:v>5293</x:v>
      </x:c>
      <x:c r="G672" s="73" t="n">
        <x:v>26</x:v>
      </x:c>
      <x:c r="H672" s="73" t="n">
        <x:v>48</x:v>
      </x:c>
      <x:c r="I672" s="73" t="s">
        <x:v>3387</x:v>
      </x:c>
      <x:c r="J672" s="73" t="n">
        <x:v>2023</x:v>
      </x:c>
      <x:c r="K672" s="73" t="n">
        <x:v>8</x:v>
      </x:c>
      <x:c r="L672" s="73" t="n">
        <x:v>29</x:v>
      </x:c>
      <x:c r="M672" s="73" t="n">
        <x:v>13</x:v>
      </x:c>
      <x:c r="N672" s="73" t="s">
        <x:v>3260</x:v>
      </x:c>
    </x:row>
    <x:row r="673" ht="15" hidden="0">
      <x:c r="A673" s="73" t="s">
        <x:v>5294</x:v>
      </x:c>
      <x:c r="B673" s="73" t="s">
        <x:v>3261</x:v>
      </x:c>
      <x:c r="C673" s="73" t="s">
        <x:v>2938</x:v>
      </x:c>
      <x:c r="D673" s="73" t="s">
        <x:v>5295</x:v>
      </x:c>
      <x:c r="E673" s="73" t="s">
        <x:v>3394</x:v>
      </x:c>
      <x:c r="F673" s="73" t="s">
        <x:v>5296</x:v>
      </x:c>
      <x:c r="G673" s="73" t="n">
        <x:v>20</x:v>
      </x:c>
      <x:c r="H673" s="73" t="n">
        <x:v>40</x:v>
      </x:c>
      <x:c r="I673" s="73" t="s">
        <x:v>72</x:v>
      </x:c>
      <x:c r="J673" s="73" t="n">
        <x:v>2023</x:v>
      </x:c>
      <x:c r="K673" s="73" t="n">
        <x:v>8</x:v>
      </x:c>
      <x:c r="L673" s="73" t="n">
        <x:v>30</x:v>
      </x:c>
      <x:c r="M673" s="73" t="n">
        <x:v>17</x:v>
      </x:c>
      <x:c r="N673" s="73" t="s">
        <x:v>3260</x:v>
      </x:c>
    </x:row>
    <x:row r="674" ht="15" hidden="0">
      <x:c r="A674" s="73" t="s">
        <x:v>5297</x:v>
      </x:c>
      <x:c r="B674" s="73" t="s">
        <x:v>3262</x:v>
      </x:c>
      <x:c r="C674" s="73" t="s">
        <x:v>2942</x:v>
      </x:c>
      <x:c r="D674" s="73" t="s">
        <x:v>5298</x:v>
      </x:c>
      <x:c r="E674" s="73" t="s">
        <x:v>3382</x:v>
      </x:c>
      <x:c r="F674" s="73" t="s">
        <x:v>5299</x:v>
      </x:c>
      <x:c r="G674" s="73" t="n">
        <x:v>24</x:v>
      </x:c>
      <x:c r="H674" s="73" t="n">
        <x:v>42</x:v>
      </x:c>
      <x:c r="I674" s="73" t="s">
        <x:v>3396</x:v>
      </x:c>
      <x:c r="J674" s="73" t="n">
        <x:v>2023</x:v>
      </x:c>
      <x:c r="K674" s="73" t="n">
        <x:v>8</x:v>
      </x:c>
      <x:c r="L674" s="73" t="n">
        <x:v>31</x:v>
      </x:c>
      <x:c r="M674" s="73" t="n">
        <x:v>20</x:v>
      </x:c>
      <x:c r="N674" s="73" t="s">
        <x:v>3260</x:v>
      </x:c>
    </x:row>
    <x:row r="675" ht="15" hidden="0">
      <x:c r="A675" s="73" t="s">
        <x:v>5300</x:v>
      </x:c>
      <x:c r="B675" s="73" t="s">
        <x:v>3261</x:v>
      </x:c>
      <x:c r="C675" s="73" t="s">
        <x:v>2946</x:v>
      </x:c>
      <x:c r="D675" s="73" t="s">
        <x:v>5301</x:v>
      </x:c>
      <x:c r="E675" s="73" t="s">
        <x:v>3390</x:v>
      </x:c>
      <x:c r="F675" s="73" t="s">
        <x:v>5302</x:v>
      </x:c>
      <x:c r="G675" s="73" t="n">
        <x:v>21</x:v>
      </x:c>
      <x:c r="H675" s="73" t="n">
        <x:v>39</x:v>
      </x:c>
      <x:c r="I675" s="73" t="s">
        <x:v>3387</x:v>
      </x:c>
      <x:c r="J675" s="73" t="n">
        <x:v>2023</x:v>
      </x:c>
      <x:c r="K675" s="73" t="n">
        <x:v>9</x:v>
      </x:c>
      <x:c r="L675" s="73" t="n">
        <x:v>1</x:v>
      </x:c>
      <x:c r="M675" s="73" t="n">
        <x:v>14</x:v>
      </x:c>
      <x:c r="N675" s="73" t="s">
        <x:v>3260</x:v>
      </x:c>
    </x:row>
    <x:row r="676" ht="15" hidden="0">
      <x:c r="A676" s="73" t="s">
        <x:v>5303</x:v>
      </x:c>
      <x:c r="B676" s="73" t="s">
        <x:v>3194</x:v>
      </x:c>
      <x:c r="C676" s="73" t="s">
        <x:v>2950</x:v>
      </x:c>
      <x:c r="D676" s="73" t="s">
        <x:v>5304</x:v>
      </x:c>
      <x:c r="E676" s="73" t="s">
        <x:v>3394</x:v>
      </x:c>
      <x:c r="F676" s="73" t="s">
        <x:v>5305</x:v>
      </x:c>
      <x:c r="G676" s="73" t="n">
        <x:v>17</x:v>
      </x:c>
      <x:c r="H676" s="73" t="n">
        <x:v>33</x:v>
      </x:c>
      <x:c r="I676" s="73" t="s">
        <x:v>72</x:v>
      </x:c>
      <x:c r="J676" s="73" t="n">
        <x:v>2023</x:v>
      </x:c>
      <x:c r="K676" s="73" t="n">
        <x:v>9</x:v>
      </x:c>
      <x:c r="L676" s="73" t="n">
        <x:v>2</x:v>
      </x:c>
      <x:c r="M676" s="73" t="n">
        <x:v>18</x:v>
      </x:c>
      <x:c r="N676" s="73" t="s">
        <x:v>3189</x:v>
      </x:c>
    </x:row>
    <x:row r="677" ht="15" hidden="0">
      <x:c r="A677" s="73" t="s">
        <x:v>5306</x:v>
      </x:c>
      <x:c r="B677" s="73" t="s">
        <x:v>3262</x:v>
      </x:c>
      <x:c r="C677" s="73" t="s">
        <x:v>2954</x:v>
      </x:c>
      <x:c r="D677" s="73" t="s">
        <x:v>5307</x:v>
      </x:c>
      <x:c r="E677" s="73" t="s">
        <x:v>3382</x:v>
      </x:c>
      <x:c r="F677" s="73" t="s">
        <x:v>5308</x:v>
      </x:c>
      <x:c r="G677" s="73" t="n">
        <x:v>23</x:v>
      </x:c>
      <x:c r="H677" s="73" t="n">
        <x:v>44</x:v>
      </x:c>
      <x:c r="I677" s="73" t="s">
        <x:v>3396</x:v>
      </x:c>
      <x:c r="J677" s="73" t="n">
        <x:v>2023</x:v>
      </x:c>
      <x:c r="K677" s="73" t="n">
        <x:v>9</x:v>
      </x:c>
      <x:c r="L677" s="73" t="n">
        <x:v>3</x:v>
      </x:c>
      <x:c r="M677" s="73" t="n">
        <x:v>22</x:v>
      </x:c>
      <x:c r="N677" s="73" t="s">
        <x:v>3260</x:v>
      </x:c>
    </x:row>
    <x:row r="678" ht="15" hidden="0">
      <x:c r="A678" s="73" t="s">
        <x:v>5309</x:v>
      </x:c>
      <x:c r="B678" s="73" t="s">
        <x:v>3261</x:v>
      </x:c>
      <x:c r="C678" s="73" t="s">
        <x:v>2958</x:v>
      </x:c>
      <x:c r="D678" s="73" t="s">
        <x:v>5310</x:v>
      </x:c>
      <x:c r="E678" s="73" t="s">
        <x:v>3390</x:v>
      </x:c>
      <x:c r="F678" s="73" t="s">
        <x:v>5311</x:v>
      </x:c>
      <x:c r="G678" s="73" t="n">
        <x:v>19</x:v>
      </x:c>
      <x:c r="H678" s="73" t="n">
        <x:v>37</x:v>
      </x:c>
      <x:c r="I678" s="73" t="s">
        <x:v>72</x:v>
      </x:c>
      <x:c r="J678" s="73" t="n">
        <x:v>2023</x:v>
      </x:c>
      <x:c r="K678" s="73" t="n">
        <x:v>9</x:v>
      </x:c>
      <x:c r="L678" s="73" t="n">
        <x:v>4</x:v>
      </x:c>
      <x:c r="M678" s="73" t="n">
        <x:v>15</x:v>
      </x:c>
      <x:c r="N678" s="73" t="s">
        <x:v>3260</x:v>
      </x:c>
    </x:row>
    <x:row r="679" ht="15" hidden="0">
      <x:c r="A679" s="73" t="s">
        <x:v>5312</x:v>
      </x:c>
      <x:c r="B679" s="73" t="s">
        <x:v>3262</x:v>
      </x:c>
      <x:c r="C679" s="73" t="s">
        <x:v>2962</x:v>
      </x:c>
      <x:c r="D679" s="73" t="s">
        <x:v>5313</x:v>
      </x:c>
      <x:c r="E679" s="73" t="s">
        <x:v>3382</x:v>
      </x:c>
      <x:c r="F679" s="73" t="s">
        <x:v>5314</x:v>
      </x:c>
      <x:c r="G679" s="73" t="n">
        <x:v>27</x:v>
      </x:c>
      <x:c r="H679" s="73" t="n">
        <x:v>52</x:v>
      </x:c>
      <x:c r="I679" s="73" t="s">
        <x:v>3387</x:v>
      </x:c>
      <x:c r="J679" s="73" t="n">
        <x:v>2023</x:v>
      </x:c>
      <x:c r="K679" s="73" t="n">
        <x:v>9</x:v>
      </x:c>
      <x:c r="L679" s="73" t="n">
        <x:v>5</x:v>
      </x:c>
      <x:c r="M679" s="73" t="n">
        <x:v>12</x:v>
      </x:c>
      <x:c r="N679" s="73" t="s">
        <x:v>3260</x:v>
      </x:c>
    </x:row>
    <x:row r="680" ht="15" hidden="0">
      <x:c r="A680" s="73" t="s">
        <x:v>5315</x:v>
      </x:c>
      <x:c r="B680" s="73" t="s">
        <x:v>3261</x:v>
      </x:c>
      <x:c r="C680" s="73" t="s">
        <x:v>2966</x:v>
      </x:c>
      <x:c r="D680" s="73" t="s">
        <x:v>5316</x:v>
      </x:c>
      <x:c r="E680" s="73" t="s">
        <x:v>3394</x:v>
      </x:c>
      <x:c r="F680" s="73" t="s">
        <x:v>5317</x:v>
      </x:c>
      <x:c r="G680" s="73" t="n">
        <x:v>22</x:v>
      </x:c>
      <x:c r="H680" s="73" t="n">
        <x:v>43</x:v>
      </x:c>
      <x:c r="I680" s="73" t="s">
        <x:v>3396</x:v>
      </x:c>
      <x:c r="J680" s="73" t="n">
        <x:v>2023</x:v>
      </x:c>
      <x:c r="K680" s="73" t="n">
        <x:v>9</x:v>
      </x:c>
      <x:c r="L680" s="73" t="n">
        <x:v>6</x:v>
      </x:c>
      <x:c r="M680" s="73" t="n">
        <x:v>16</x:v>
      </x:c>
      <x:c r="N680" s="73" t="s">
        <x:v>3260</x:v>
      </x:c>
    </x:row>
    <x:row r="681" ht="15" hidden="0">
      <x:c r="A681" s="73" t="s">
        <x:v>5318</x:v>
      </x:c>
      <x:c r="B681" s="73" t="s">
        <x:v>3262</x:v>
      </x:c>
      <x:c r="C681" s="73" t="s">
        <x:v>2970</x:v>
      </x:c>
      <x:c r="D681" s="73" t="s">
        <x:v>5319</x:v>
      </x:c>
      <x:c r="E681" s="73" t="s">
        <x:v>3390</x:v>
      </x:c>
      <x:c r="F681" s="73" t="s">
        <x:v>5320</x:v>
      </x:c>
      <x:c r="G681" s="73" t="n">
        <x:v>20</x:v>
      </x:c>
      <x:c r="H681" s="73" t="n">
        <x:v>39</x:v>
      </x:c>
      <x:c r="I681" s="73" t="s">
        <x:v>72</x:v>
      </x:c>
      <x:c r="J681" s="73" t="n">
        <x:v>2023</x:v>
      </x:c>
      <x:c r="K681" s="73" t="n">
        <x:v>9</x:v>
      </x:c>
      <x:c r="L681" s="73" t="n">
        <x:v>7</x:v>
      </x:c>
      <x:c r="M681" s="73" t="n">
        <x:v>18</x:v>
      </x:c>
      <x:c r="N681" s="73" t="s">
        <x:v>3260</x:v>
      </x:c>
    </x:row>
    <x:row r="682" ht="15" hidden="0">
      <x:c r="A682" s="73" t="s">
        <x:v>5321</x:v>
      </x:c>
      <x:c r="B682" s="73" t="s">
        <x:v>3261</x:v>
      </x:c>
      <x:c r="C682" s="73" t="s">
        <x:v>2974</x:v>
      </x:c>
      <x:c r="D682" s="73" t="s">
        <x:v>5322</x:v>
      </x:c>
      <x:c r="E682" s="73" t="s">
        <x:v>3394</x:v>
      </x:c>
      <x:c r="F682" s="73" t="s">
        <x:v>5323</x:v>
      </x:c>
      <x:c r="G682" s="73" t="n">
        <x:v>26</x:v>
      </x:c>
      <x:c r="H682" s="73" t="n">
        <x:v>48</x:v>
      </x:c>
      <x:c r="I682" s="73" t="s">
        <x:v>3387</x:v>
      </x:c>
      <x:c r="J682" s="73" t="n">
        <x:v>2023</x:v>
      </x:c>
      <x:c r="K682" s="73" t="n">
        <x:v>9</x:v>
      </x:c>
      <x:c r="L682" s="73" t="n">
        <x:v>8</x:v>
      </x:c>
      <x:c r="M682" s="73" t="n">
        <x:v>14</x:v>
      </x:c>
      <x:c r="N682" s="73" t="s">
        <x:v>3260</x:v>
      </x:c>
    </x:row>
    <x:row r="683" ht="15" hidden="0">
      <x:c r="A683" s="73" t="s">
        <x:v>5324</x:v>
      </x:c>
      <x:c r="B683" s="73" t="s">
        <x:v>3194</x:v>
      </x:c>
      <x:c r="C683" s="73" t="s">
        <x:v>2978</x:v>
      </x:c>
      <x:c r="D683" s="73" t="s">
        <x:v>5325</x:v>
      </x:c>
      <x:c r="E683" s="73" t="s">
        <x:v>3382</x:v>
      </x:c>
      <x:c r="F683" s="73" t="s">
        <x:v>5326</x:v>
      </x:c>
      <x:c r="G683" s="73" t="n">
        <x:v>16</x:v>
      </x:c>
      <x:c r="H683" s="73" t="n">
        <x:v>32</x:v>
      </x:c>
      <x:c r="I683" s="73" t="s">
        <x:v>72</x:v>
      </x:c>
      <x:c r="J683" s="73" t="n">
        <x:v>2023</x:v>
      </x:c>
      <x:c r="K683" s="73" t="n">
        <x:v>9</x:v>
      </x:c>
      <x:c r="L683" s="73" t="n">
        <x:v>9</x:v>
      </x:c>
      <x:c r="M683" s="73" t="n">
        <x:v>17</x:v>
      </x:c>
      <x:c r="N683" s="73" t="s">
        <x:v>3189</x:v>
      </x:c>
    </x:row>
    <x:row r="684" ht="15" hidden="0">
      <x:c r="A684" s="73" t="s">
        <x:v>5327</x:v>
      </x:c>
      <x:c r="B684" s="73" t="s">
        <x:v>3262</x:v>
      </x:c>
      <x:c r="C684" s="73" t="s">
        <x:v>2982</x:v>
      </x:c>
      <x:c r="D684" s="73" t="s">
        <x:v>5328</x:v>
      </x:c>
      <x:c r="E684" s="73" t="s">
        <x:v>3390</x:v>
      </x:c>
      <x:c r="F684" s="73" t="s">
        <x:v>5329</x:v>
      </x:c>
      <x:c r="G684" s="73" t="n">
        <x:v>23</x:v>
      </x:c>
      <x:c r="H684" s="73" t="n">
        <x:v>42</x:v>
      </x:c>
      <x:c r="I684" s="73" t="s">
        <x:v>3396</x:v>
      </x:c>
      <x:c r="J684" s="73" t="n">
        <x:v>2023</x:v>
      </x:c>
      <x:c r="K684" s="73" t="n">
        <x:v>9</x:v>
      </x:c>
      <x:c r="L684" s="73" t="n">
        <x:v>10</x:v>
      </x:c>
      <x:c r="M684" s="73" t="n">
        <x:v>20</x:v>
      </x:c>
      <x:c r="N684" s="73" t="s">
        <x:v>3260</x:v>
      </x:c>
    </x:row>
    <x:row r="685" ht="15" hidden="0">
      <x:c r="A685" s="73" t="s">
        <x:v>5330</x:v>
      </x:c>
      <x:c r="B685" s="73" t="s">
        <x:v>3192</x:v>
      </x:c>
      <x:c r="C685" s="73" t="s">
        <x:v>2987</x:v>
      </x:c>
      <x:c r="D685" s="73" t="s">
        <x:v>5331</x:v>
      </x:c>
      <x:c r="E685" s="73" t="s">
        <x:v>3382</x:v>
      </x:c>
      <x:c r="F685" s="73" t="s">
        <x:v>5332</x:v>
      </x:c>
      <x:c r="G685" s="73" t="n">
        <x:v>15</x:v>
      </x:c>
      <x:c r="H685" s="73" t="n">
        <x:v>28</x:v>
      </x:c>
      <x:c r="I685" s="73" t="s">
        <x:v>72</x:v>
      </x:c>
      <x:c r="J685" s="73" t="n">
        <x:v>2023</x:v>
      </x:c>
      <x:c r="K685" s="73" t="n">
        <x:v>9</x:v>
      </x:c>
      <x:c r="L685" s="73" t="n">
        <x:v>11</x:v>
      </x:c>
      <x:c r="M685" s="73" t="n">
        <x:v>15</x:v>
      </x:c>
      <x:c r="N685" s="73" t="s">
        <x:v>3189</x:v>
      </x:c>
    </x:row>
    <x:row r="686" ht="15" hidden="0">
      <x:c r="A686" s="73" t="s">
        <x:v>5333</x:v>
      </x:c>
      <x:c r="B686" s="73" t="s">
        <x:v>3197</x:v>
      </x:c>
      <x:c r="C686" s="73" t="s">
        <x:v>2992</x:v>
      </x:c>
      <x:c r="D686" s="73" t="s">
        <x:v>5334</x:v>
      </x:c>
      <x:c r="E686" s="73" t="s">
        <x:v>3390</x:v>
      </x:c>
      <x:c r="F686" s="73" t="s">
        <x:v>5335</x:v>
      </x:c>
      <x:c r="G686" s="73" t="n">
        <x:v>18</x:v>
      </x:c>
      <x:c r="H686" s="73" t="n">
        <x:v>36</x:v>
      </x:c>
      <x:c r="I686" s="73" t="s">
        <x:v>3387</x:v>
      </x:c>
      <x:c r="J686" s="73" t="n">
        <x:v>2023</x:v>
      </x:c>
      <x:c r="K686" s="73" t="n">
        <x:v>9</x:v>
      </x:c>
      <x:c r="L686" s="73" t="n">
        <x:v>12</x:v>
      </x:c>
      <x:c r="M686" s="73" t="n">
        <x:v>12</x:v>
      </x:c>
      <x:c r="N686" s="73" t="s">
        <x:v>3189</x:v>
      </x:c>
    </x:row>
    <x:row r="687" ht="15" hidden="0">
      <x:c r="A687" s="73" t="s">
        <x:v>5336</x:v>
      </x:c>
      <x:c r="B687" s="73" t="s">
        <x:v>3195</x:v>
      </x:c>
      <x:c r="C687" s="73" t="s">
        <x:v>2997</x:v>
      </x:c>
      <x:c r="D687" s="73" t="s">
        <x:v>5337</x:v>
      </x:c>
      <x:c r="E687" s="73" t="s">
        <x:v>3394</x:v>
      </x:c>
      <x:c r="F687" s="73" t="s">
        <x:v>5338</x:v>
      </x:c>
      <x:c r="G687" s="73" t="n">
        <x:v>20</x:v>
      </x:c>
      <x:c r="H687" s="73" t="n">
        <x:v>40</x:v>
      </x:c>
      <x:c r="I687" s="73" t="s">
        <x:v>3396</x:v>
      </x:c>
      <x:c r="J687" s="73" t="n">
        <x:v>2023</x:v>
      </x:c>
      <x:c r="K687" s="73" t="n">
        <x:v>9</x:v>
      </x:c>
      <x:c r="L687" s="73" t="n">
        <x:v>13</x:v>
      </x:c>
      <x:c r="M687" s="73" t="n">
        <x:v>16</x:v>
      </x:c>
      <x:c r="N687" s="73" t="s">
        <x:v>3189</x:v>
      </x:c>
    </x:row>
    <x:row r="688" ht="15" hidden="0">
      <x:c r="A688" s="73" t="s">
        <x:v>5339</x:v>
      </x:c>
      <x:c r="B688" s="73" t="s">
        <x:v>3192</x:v>
      </x:c>
      <x:c r="C688" s="73" t="s">
        <x:v>3001</x:v>
      </x:c>
      <x:c r="D688" s="73" t="s">
        <x:v>5340</x:v>
      </x:c>
      <x:c r="E688" s="73" t="s">
        <x:v>3382</x:v>
      </x:c>
      <x:c r="F688" s="73" t="s">
        <x:v>5341</x:v>
      </x:c>
      <x:c r="G688" s="73" t="n">
        <x:v>17</x:v>
      </x:c>
      <x:c r="H688" s="73" t="n">
        <x:v>34</x:v>
      </x:c>
      <x:c r="I688" s="73" t="s">
        <x:v>72</x:v>
      </x:c>
      <x:c r="J688" s="73" t="n">
        <x:v>2023</x:v>
      </x:c>
      <x:c r="K688" s="73" t="n">
        <x:v>9</x:v>
      </x:c>
      <x:c r="L688" s="73" t="n">
        <x:v>14</x:v>
      </x:c>
      <x:c r="M688" s="73" t="n">
        <x:v>18</x:v>
      </x:c>
      <x:c r="N688" s="73" t="s">
        <x:v>3189</x:v>
      </x:c>
    </x:row>
    <x:row r="689" ht="15" hidden="0">
      <x:c r="A689" s="73" t="s">
        <x:v>5342</x:v>
      </x:c>
      <x:c r="B689" s="73" t="s">
        <x:v>3197</x:v>
      </x:c>
      <x:c r="C689" s="73" t="s">
        <x:v>3005</x:v>
      </x:c>
      <x:c r="D689" s="73" t="s">
        <x:v>5343</x:v>
      </x:c>
      <x:c r="E689" s="73" t="s">
        <x:v>3390</x:v>
      </x:c>
      <x:c r="F689" s="73" t="s">
        <x:v>5344</x:v>
      </x:c>
      <x:c r="G689" s="73" t="n">
        <x:v>21</x:v>
      </x:c>
      <x:c r="H689" s="73" t="n">
        <x:v>41</x:v>
      </x:c>
      <x:c r="I689" s="73" t="s">
        <x:v>3387</x:v>
      </x:c>
      <x:c r="J689" s="73" t="n">
        <x:v>2023</x:v>
      </x:c>
      <x:c r="K689" s="73" t="n">
        <x:v>9</x:v>
      </x:c>
      <x:c r="L689" s="73" t="n">
        <x:v>15</x:v>
      </x:c>
      <x:c r="M689" s="73" t="n">
        <x:v>14</x:v>
      </x:c>
      <x:c r="N689" s="73" t="s">
        <x:v>3189</x:v>
      </x:c>
    </x:row>
    <x:row r="690" ht="15" hidden="0">
      <x:c r="A690" s="73" t="s">
        <x:v>5345</x:v>
      </x:c>
      <x:c r="B690" s="73" t="s">
        <x:v>3195</x:v>
      </x:c>
      <x:c r="C690" s="73" t="s">
        <x:v>3009</x:v>
      </x:c>
      <x:c r="D690" s="73" t="s">
        <x:v>5346</x:v>
      </x:c>
      <x:c r="E690" s="73" t="s">
        <x:v>3394</x:v>
      </x:c>
      <x:c r="F690" s="73" t="s">
        <x:v>5347</x:v>
      </x:c>
      <x:c r="G690" s="73" t="n">
        <x:v>19</x:v>
      </x:c>
      <x:c r="H690" s="73" t="n">
        <x:v>38</x:v>
      </x:c>
      <x:c r="I690" s="73" t="s">
        <x:v>3396</x:v>
      </x:c>
      <x:c r="J690" s="73" t="n">
        <x:v>2023</x:v>
      </x:c>
      <x:c r="K690" s="73" t="n">
        <x:v>9</x:v>
      </x:c>
      <x:c r="L690" s="73" t="n">
        <x:v>16</x:v>
      </x:c>
      <x:c r="M690" s="73" t="n">
        <x:v>17</x:v>
      </x:c>
      <x:c r="N690" s="73" t="s">
        <x:v>3189</x:v>
      </x:c>
    </x:row>
    <x:row r="691" ht="15" hidden="0">
      <x:c r="A691" s="73" t="s">
        <x:v>5348</x:v>
      </x:c>
      <x:c r="B691" s="73" t="s">
        <x:v>3192</x:v>
      </x:c>
      <x:c r="C691" s="73" t="s">
        <x:v>3013</x:v>
      </x:c>
      <x:c r="D691" s="73" t="s">
        <x:v>5349</x:v>
      </x:c>
      <x:c r="E691" s="73" t="s">
        <x:v>3382</x:v>
      </x:c>
      <x:c r="F691" s="73" t="s">
        <x:v>5350</x:v>
      </x:c>
      <x:c r="G691" s="73" t="n">
        <x:v>22</x:v>
      </x:c>
      <x:c r="H691" s="73" t="n">
        <x:v>44</x:v>
      </x:c>
      <x:c r="I691" s="73" t="s">
        <x:v>72</x:v>
      </x:c>
      <x:c r="J691" s="73" t="n">
        <x:v>2023</x:v>
      </x:c>
      <x:c r="K691" s="73" t="n">
        <x:v>9</x:v>
      </x:c>
      <x:c r="L691" s="73" t="n">
        <x:v>17</x:v>
      </x:c>
      <x:c r="M691" s="73" t="n">
        <x:v>20</x:v>
      </x:c>
      <x:c r="N691" s="73" t="s">
        <x:v>3189</x:v>
      </x:c>
    </x:row>
    <x:row r="692" ht="15" hidden="0">
      <x:c r="A692" s="73" t="s">
        <x:v>5351</x:v>
      </x:c>
      <x:c r="B692" s="73" t="s">
        <x:v>3192</x:v>
      </x:c>
      <x:c r="C692" s="73" t="s">
        <x:v>3017</x:v>
      </x:c>
      <x:c r="D692" s="73" t="s">
        <x:v>5352</x:v>
      </x:c>
      <x:c r="E692" s="73" t="s">
        <x:v>3390</x:v>
      </x:c>
      <x:c r="F692" s="73" t="s">
        <x:v>5353</x:v>
      </x:c>
      <x:c r="G692" s="73" t="n">
        <x:v>16</x:v>
      </x:c>
      <x:c r="H692" s="73" t="n">
        <x:v>31</x:v>
      </x:c>
      <x:c r="I692" s="73" t="s">
        <x:v>3387</x:v>
      </x:c>
      <x:c r="J692" s="73" t="n">
        <x:v>2023</x:v>
      </x:c>
      <x:c r="K692" s="73" t="n">
        <x:v>9</x:v>
      </x:c>
      <x:c r="L692" s="73" t="n">
        <x:v>18</x:v>
      </x:c>
      <x:c r="M692" s="73" t="n">
        <x:v>22</x:v>
      </x:c>
      <x:c r="N692" s="73" t="s">
        <x:v>3189</x:v>
      </x:c>
    </x:row>
    <x:row r="693" ht="15" hidden="0">
      <x:c r="A693" s="73" t="s">
        <x:v>5354</x:v>
      </x:c>
      <x:c r="B693" s="73" t="s">
        <x:v>3197</x:v>
      </x:c>
      <x:c r="C693" s="73" t="s">
        <x:v>3021</x:v>
      </x:c>
      <x:c r="D693" s="73" t="s">
        <x:v>5355</x:v>
      </x:c>
      <x:c r="E693" s="73" t="s">
        <x:v>3394</x:v>
      </x:c>
      <x:c r="F693" s="73" t="s">
        <x:v>5356</x:v>
      </x:c>
      <x:c r="G693" s="73" t="n">
        <x:v>14</x:v>
      </x:c>
      <x:c r="H693" s="73" t="n">
        <x:v>27</x:v>
      </x:c>
      <x:c r="I693" s="73" t="s">
        <x:v>3396</x:v>
      </x:c>
      <x:c r="J693" s="73" t="n">
        <x:v>2023</x:v>
      </x:c>
      <x:c r="K693" s="73" t="n">
        <x:v>9</x:v>
      </x:c>
      <x:c r="L693" s="73" t="n">
        <x:v>19</x:v>
      </x:c>
      <x:c r="M693" s="73" t="n">
        <x:v>15</x:v>
      </x:c>
      <x:c r="N693" s="73" t="s">
        <x:v>3189</x:v>
      </x:c>
    </x:row>
    <x:row r="694" ht="15" hidden="0">
      <x:c r="A694" s="73" t="s">
        <x:v>5357</x:v>
      </x:c>
      <x:c r="B694" s="73" t="s">
        <x:v>3195</x:v>
      </x:c>
      <x:c r="C694" s="73" t="s">
        <x:v>3025</x:v>
      </x:c>
      <x:c r="D694" s="73" t="s">
        <x:v>5358</x:v>
      </x:c>
      <x:c r="E694" s="73" t="s">
        <x:v>3382</x:v>
      </x:c>
      <x:c r="F694" s="73" t="s">
        <x:v>5359</x:v>
      </x:c>
      <x:c r="G694" s="73" t="n">
        <x:v>18</x:v>
      </x:c>
      <x:c r="H694" s="73" t="n">
        <x:v>35</x:v>
      </x:c>
      <x:c r="I694" s="73" t="s">
        <x:v>72</x:v>
      </x:c>
      <x:c r="J694" s="73" t="n">
        <x:v>2023</x:v>
      </x:c>
      <x:c r="K694" s="73" t="n">
        <x:v>9</x:v>
      </x:c>
      <x:c r="L694" s="73" t="n">
        <x:v>20</x:v>
      </x:c>
      <x:c r="M694" s="73" t="n">
        <x:v>12</x:v>
      </x:c>
      <x:c r="N694" s="73" t="s">
        <x:v>3189</x:v>
      </x:c>
    </x:row>
    <x:row r="695" ht="15" hidden="0">
      <x:c r="A695" s="73" t="s">
        <x:v>5360</x:v>
      </x:c>
      <x:c r="B695" s="73" t="s">
        <x:v>3192</x:v>
      </x:c>
      <x:c r="C695" s="73" t="s">
        <x:v>3029</x:v>
      </x:c>
      <x:c r="D695" s="73" t="s">
        <x:v>5361</x:v>
      </x:c>
      <x:c r="E695" s="73" t="s">
        <x:v>3390</x:v>
      </x:c>
      <x:c r="F695" s="73" t="s">
        <x:v>5362</x:v>
      </x:c>
      <x:c r="G695" s="73" t="n">
        <x:v>20</x:v>
      </x:c>
      <x:c r="H695" s="73" t="n">
        <x:v>39</x:v>
      </x:c>
      <x:c r="I695" s="73" t="s">
        <x:v>3387</x:v>
      </x:c>
      <x:c r="J695" s="73" t="n">
        <x:v>2023</x:v>
      </x:c>
      <x:c r="K695" s="73" t="n">
        <x:v>9</x:v>
      </x:c>
      <x:c r="L695" s="73" t="n">
        <x:v>21</x:v>
      </x:c>
      <x:c r="M695" s="73" t="n">
        <x:v>16</x:v>
      </x:c>
      <x:c r="N695" s="73" t="s">
        <x:v>3189</x:v>
      </x:c>
    </x:row>
    <x:row r="696" ht="15" hidden="0">
      <x:c r="A696" s="73" t="s">
        <x:v>5363</x:v>
      </x:c>
      <x:c r="B696" s="73" t="s">
        <x:v>3197</x:v>
      </x:c>
      <x:c r="C696" s="73" t="s">
        <x:v>3033</x:v>
      </x:c>
      <x:c r="D696" s="73" t="s">
        <x:v>5364</x:v>
      </x:c>
      <x:c r="E696" s="73" t="s">
        <x:v>3394</x:v>
      </x:c>
      <x:c r="F696" s="73" t="s">
        <x:v>5365</x:v>
      </x:c>
      <x:c r="G696" s="73" t="n">
        <x:v>23</x:v>
      </x:c>
      <x:c r="H696" s="73" t="n">
        <x:v>46</x:v>
      </x:c>
      <x:c r="I696" s="73" t="s">
        <x:v>3396</x:v>
      </x:c>
      <x:c r="J696" s="73" t="n">
        <x:v>2023</x:v>
      </x:c>
      <x:c r="K696" s="73" t="n">
        <x:v>9</x:v>
      </x:c>
      <x:c r="L696" s="73" t="n">
        <x:v>22</x:v>
      </x:c>
      <x:c r="M696" s="73" t="n">
        <x:v>18</x:v>
      </x:c>
      <x:c r="N696" s="73" t="s">
        <x:v>3189</x:v>
      </x:c>
    </x:row>
    <x:row r="697" ht="15" hidden="0">
      <x:c r="A697" s="73" t="s">
        <x:v>5366</x:v>
      </x:c>
      <x:c r="B697" s="73" t="s">
        <x:v>3195</x:v>
      </x:c>
      <x:c r="C697" s="73" t="s">
        <x:v>3037</x:v>
      </x:c>
      <x:c r="D697" s="73" t="s">
        <x:v>5367</x:v>
      </x:c>
      <x:c r="E697" s="73" t="s">
        <x:v>3382</x:v>
      </x:c>
      <x:c r="F697" s="73" t="s">
        <x:v>5368</x:v>
      </x:c>
      <x:c r="G697" s="73" t="n">
        <x:v>25</x:v>
      </x:c>
      <x:c r="H697" s="73" t="n">
        <x:v>50</x:v>
      </x:c>
      <x:c r="I697" s="73" t="s">
        <x:v>72</x:v>
      </x:c>
      <x:c r="J697" s="73" t="n">
        <x:v>2023</x:v>
      </x:c>
      <x:c r="K697" s="73" t="n">
        <x:v>9</x:v>
      </x:c>
      <x:c r="L697" s="73" t="n">
        <x:v>23</x:v>
      </x:c>
      <x:c r="M697" s="73" t="n">
        <x:v>14</x:v>
      </x:c>
      <x:c r="N697" s="73" t="s">
        <x:v>3189</x:v>
      </x:c>
    </x:row>
    <x:row r="698" ht="15" hidden="0">
      <x:c r="A698" s="73" t="s">
        <x:v>5369</x:v>
      </x:c>
      <x:c r="B698" s="73" t="s">
        <x:v>3192</x:v>
      </x:c>
      <x:c r="C698" s="73" t="s">
        <x:v>3041</x:v>
      </x:c>
      <x:c r="D698" s="73" t="s">
        <x:v>5370</x:v>
      </x:c>
      <x:c r="E698" s="73" t="s">
        <x:v>3390</x:v>
      </x:c>
      <x:c r="F698" s="73" t="s">
        <x:v>5371</x:v>
      </x:c>
      <x:c r="G698" s="73" t="n">
        <x:v>21</x:v>
      </x:c>
      <x:c r="H698" s="73" t="n">
        <x:v>42</x:v>
      </x:c>
      <x:c r="I698" s="73" t="s">
        <x:v>3387</x:v>
      </x:c>
      <x:c r="J698" s="73" t="n">
        <x:v>2023</x:v>
      </x:c>
      <x:c r="K698" s="73" t="n">
        <x:v>9</x:v>
      </x:c>
      <x:c r="L698" s="73" t="n">
        <x:v>24</x:v>
      </x:c>
      <x:c r="M698" s="73" t="n">
        <x:v>17</x:v>
      </x:c>
      <x:c r="N698" s="73" t="s">
        <x:v>3189</x:v>
      </x:c>
    </x:row>
    <x:row r="699" ht="15" hidden="0">
      <x:c r="A699" s="73" t="s">
        <x:v>5372</x:v>
      </x:c>
      <x:c r="B699" s="73" t="s">
        <x:v>3192</x:v>
      </x:c>
      <x:c r="C699" s="73" t="s">
        <x:v>3045</x:v>
      </x:c>
      <x:c r="D699" s="73" t="s">
        <x:v>5373</x:v>
      </x:c>
      <x:c r="E699" s="73" t="s">
        <x:v>3394</x:v>
      </x:c>
      <x:c r="F699" s="73" t="s">
        <x:v>5374</x:v>
      </x:c>
      <x:c r="G699" s="73" t="n">
        <x:v>19</x:v>
      </x:c>
      <x:c r="H699" s="73" t="n">
        <x:v>37</x:v>
      </x:c>
      <x:c r="I699" s="73" t="s">
        <x:v>3396</x:v>
      </x:c>
      <x:c r="J699" s="73" t="n">
        <x:v>2023</x:v>
      </x:c>
      <x:c r="K699" s="73" t="n">
        <x:v>9</x:v>
      </x:c>
      <x:c r="L699" s="73" t="n">
        <x:v>25</x:v>
      </x:c>
      <x:c r="M699" s="73" t="n">
        <x:v>20</x:v>
      </x:c>
      <x:c r="N699" s="73" t="s">
        <x:v>3189</x:v>
      </x:c>
    </x:row>
    <x:row r="700" ht="15" hidden="0">
      <x:c r="A700" s="73" t="s">
        <x:v>5375</x:v>
      </x:c>
      <x:c r="B700" s="73" t="s">
        <x:v>3197</x:v>
      </x:c>
      <x:c r="C700" s="73" t="s">
        <x:v>3049</x:v>
      </x:c>
      <x:c r="D700" s="73" t="s">
        <x:v>5376</x:v>
      </x:c>
      <x:c r="E700" s="73" t="s">
        <x:v>3382</x:v>
      </x:c>
      <x:c r="F700" s="73" t="s">
        <x:v>5377</x:v>
      </x:c>
      <x:c r="G700" s="73" t="n">
        <x:v>16</x:v>
      </x:c>
      <x:c r="H700" s="73" t="n">
        <x:v>32</x:v>
      </x:c>
      <x:c r="I700" s="73" t="s">
        <x:v>72</x:v>
      </x:c>
      <x:c r="J700" s="73" t="n">
        <x:v>2023</x:v>
      </x:c>
      <x:c r="K700" s="73" t="n">
        <x:v>9</x:v>
      </x:c>
      <x:c r="L700" s="73" t="n">
        <x:v>26</x:v>
      </x:c>
      <x:c r="M700" s="73" t="n">
        <x:v>14</x:v>
      </x:c>
      <x:c r="N700" s="73" t="s">
        <x:v>3189</x:v>
      </x:c>
    </x:row>
    <x:row r="701" ht="15" hidden="0">
      <x:c r="A701" s="73" t="s">
        <x:v>5378</x:v>
      </x:c>
      <x:c r="B701" s="73" t="s">
        <x:v>3195</x:v>
      </x:c>
      <x:c r="C701" s="73" t="s">
        <x:v>3053</x:v>
      </x:c>
      <x:c r="D701" s="73" t="s">
        <x:v>5379</x:v>
      </x:c>
      <x:c r="E701" s="73" t="s">
        <x:v>3390</x:v>
      </x:c>
      <x:c r="F701" s="73" t="s">
        <x:v>5380</x:v>
      </x:c>
      <x:c r="G701" s="73" t="n">
        <x:v>18</x:v>
      </x:c>
      <x:c r="H701" s="73" t="n">
        <x:v>36</x:v>
      </x:c>
      <x:c r="I701" s="73" t="s">
        <x:v>3387</x:v>
      </x:c>
      <x:c r="J701" s="73" t="n">
        <x:v>2023</x:v>
      </x:c>
      <x:c r="K701" s="73" t="n">
        <x:v>9</x:v>
      </x:c>
      <x:c r="L701" s="73" t="n">
        <x:v>27</x:v>
      </x:c>
      <x:c r="M701" s="73" t="n">
        <x:v>17</x:v>
      </x:c>
      <x:c r="N701" s="73" t="s">
        <x:v>3189</x:v>
      </x:c>
    </x:row>
    <x:row r="702" ht="15" hidden="0">
      <x:c r="A702" s="73" t="s">
        <x:v>5381</x:v>
      </x:c>
      <x:c r="B702" s="73" t="s">
        <x:v>3192</x:v>
      </x:c>
      <x:c r="C702" s="73" t="s">
        <x:v>3057</x:v>
      </x:c>
      <x:c r="D702" s="73" t="s">
        <x:v>5382</x:v>
      </x:c>
      <x:c r="E702" s="73" t="s">
        <x:v>3394</x:v>
      </x:c>
      <x:c r="F702" s="73" t="s">
        <x:v>5383</x:v>
      </x:c>
      <x:c r="G702" s="73" t="n">
        <x:v>21</x:v>
      </x:c>
      <x:c r="H702" s="73" t="n">
        <x:v>41</x:v>
      </x:c>
      <x:c r="I702" s="73" t="s">
        <x:v>3396</x:v>
      </x:c>
      <x:c r="J702" s="73" t="n">
        <x:v>2023</x:v>
      </x:c>
      <x:c r="K702" s="73" t="n">
        <x:v>9</x:v>
      </x:c>
      <x:c r="L702" s="73" t="n">
        <x:v>28</x:v>
      </x:c>
      <x:c r="M702" s="73" t="n">
        <x:v>22</x:v>
      </x:c>
      <x:c r="N702" s="73" t="s">
        <x:v>3189</x:v>
      </x:c>
    </x:row>
    <x:row r="703" ht="15" hidden="0">
      <x:c r="A703" s="73" t="s">
        <x:v>5384</x:v>
      </x:c>
      <x:c r="B703" s="73" t="s">
        <x:v>3197</x:v>
      </x:c>
      <x:c r="C703" s="73" t="s">
        <x:v>3061</x:v>
      </x:c>
      <x:c r="D703" s="73" t="s">
        <x:v>5385</x:v>
      </x:c>
      <x:c r="E703" s="73" t="s">
        <x:v>3382</x:v>
      </x:c>
      <x:c r="F703" s="73" t="s">
        <x:v>5386</x:v>
      </x:c>
      <x:c r="G703" s="73" t="n">
        <x:v>24</x:v>
      </x:c>
      <x:c r="H703" s="73" t="n">
        <x:v>48</x:v>
      </x:c>
      <x:c r="I703" s="73" t="s">
        <x:v>72</x:v>
      </x:c>
      <x:c r="J703" s="73" t="n">
        <x:v>2023</x:v>
      </x:c>
      <x:c r="K703" s="73" t="n">
        <x:v>9</x:v>
      </x:c>
      <x:c r="L703" s="73" t="n">
        <x:v>29</x:v>
      </x:c>
      <x:c r="M703" s="73" t="n">
        <x:v>15</x:v>
      </x:c>
      <x:c r="N703" s="73" t="s">
        <x:v>3189</x:v>
      </x:c>
    </x:row>
    <x:row r="704" ht="15" hidden="0">
      <x:c r="A704" s="73" t="s">
        <x:v>5387</x:v>
      </x:c>
      <x:c r="B704" s="73" t="s">
        <x:v>3195</x:v>
      </x:c>
      <x:c r="C704" s="73" t="s">
        <x:v>3065</x:v>
      </x:c>
      <x:c r="D704" s="73" t="s">
        <x:v>5388</x:v>
      </x:c>
      <x:c r="E704" s="73" t="s">
        <x:v>3390</x:v>
      </x:c>
      <x:c r="F704" s="73" t="s">
        <x:v>5389</x:v>
      </x:c>
      <x:c r="G704" s="73" t="n">
        <x:v>22</x:v>
      </x:c>
      <x:c r="H704" s="73" t="n">
        <x:v>43</x:v>
      </x:c>
      <x:c r="I704" s="73" t="s">
        <x:v>3387</x:v>
      </x:c>
      <x:c r="J704" s="73" t="n">
        <x:v>2023</x:v>
      </x:c>
      <x:c r="K704" s="73" t="n">
        <x:v>9</x:v>
      </x:c>
      <x:c r="L704" s="73" t="n">
        <x:v>30</x:v>
      </x:c>
      <x:c r="M704" s="73" t="n">
        <x:v>18</x:v>
      </x:c>
      <x:c r="N704" s="73" t="s">
        <x:v>3189</x:v>
      </x:c>
    </x:row>
    <x:row r="705" ht="15" hidden="0">
      <x:c r="A705" s="73" t="s">
        <x:v>5390</x:v>
      </x:c>
      <x:c r="B705" s="73" t="s">
        <x:v>3192</x:v>
      </x:c>
      <x:c r="C705" s="73" t="s">
        <x:v>3069</x:v>
      </x:c>
      <x:c r="D705" s="73" t="s">
        <x:v>5391</x:v>
      </x:c>
      <x:c r="E705" s="73" t="s">
        <x:v>3394</x:v>
      </x:c>
      <x:c r="F705" s="73" t="s">
        <x:v>5392</x:v>
      </x:c>
      <x:c r="G705" s="73" t="n">
        <x:v>20</x:v>
      </x:c>
      <x:c r="H705" s="73" t="n">
        <x:v>39</x:v>
      </x:c>
      <x:c r="I705" s="73" t="s">
        <x:v>3396</x:v>
      </x:c>
      <x:c r="J705" s="73" t="n">
        <x:v>2023</x:v>
      </x:c>
      <x:c r="K705" s="73" t="n">
        <x:v>10</x:v>
      </x:c>
      <x:c r="L705" s="73" t="n">
        <x:v>1</x:v>
      </x:c>
      <x:c r="M705" s="73" t="n">
        <x:v>14</x:v>
      </x:c>
      <x:c r="N705" s="73" t="s">
        <x:v>3189</x:v>
      </x:c>
    </x:row>
    <x:row r="706" ht="15" hidden="0">
      <x:c r="A706" s="73" t="s">
        <x:v>5393</x:v>
      </x:c>
      <x:c r="B706" s="73" t="s">
        <x:v>3244</x:v>
      </x:c>
      <x:c r="C706" s="73" t="s">
        <x:v>3074</x:v>
      </x:c>
      <x:c r="D706" s="73" t="s">
        <x:v>5394</x:v>
      </x:c>
      <x:c r="E706" s="73" t="s">
        <x:v>3390</x:v>
      </x:c>
      <x:c r="F706" s="73" t="s">
        <x:v>5395</x:v>
      </x:c>
      <x:c r="G706" s="73" t="n">
        <x:v>23</x:v>
      </x:c>
      <x:c r="H706" s="73" t="n">
        <x:v>42</x:v>
      </x:c>
      <x:c r="I706" s="73" t="s">
        <x:v>72</x:v>
      </x:c>
      <x:c r="J706" s="73" t="n">
        <x:v>2023</x:v>
      </x:c>
      <x:c r="K706" s="73" t="n">
        <x:v>10</x:v>
      </x:c>
      <x:c r="L706" s="73" t="n">
        <x:v>2</x:v>
      </x:c>
      <x:c r="M706" s="73" t="n">
        <x:v>16</x:v>
      </x:c>
      <x:c r="N706" s="73" t="s">
        <x:v>3244</x:v>
      </x:c>
    </x:row>
    <x:row r="707" ht="15" hidden="0">
      <x:c r="A707" s="73" t="s">
        <x:v>5396</x:v>
      </x:c>
      <x:c r="B707" s="73" t="s">
        <x:v>3244</x:v>
      </x:c>
      <x:c r="C707" s="73" t="s">
        <x:v>3078</x:v>
      </x:c>
      <x:c r="D707" s="73" t="s">
        <x:v>5397</x:v>
      </x:c>
      <x:c r="E707" s="73" t="s">
        <x:v>3382</x:v>
      </x:c>
      <x:c r="F707" s="73" t="s">
        <x:v>5398</x:v>
      </x:c>
      <x:c r="G707" s="73" t="n">
        <x:v>26</x:v>
      </x:c>
      <x:c r="H707" s="73" t="n">
        <x:v>50</x:v>
      </x:c>
      <x:c r="I707" s="73" t="s">
        <x:v>3387</x:v>
      </x:c>
      <x:c r="J707" s="73" t="n">
        <x:v>2023</x:v>
      </x:c>
      <x:c r="K707" s="73" t="n">
        <x:v>10</x:v>
      </x:c>
      <x:c r="L707" s="73" t="n">
        <x:v>3</x:v>
      </x:c>
      <x:c r="M707" s="73" t="n">
        <x:v>12</x:v>
      </x:c>
      <x:c r="N707" s="73" t="s">
        <x:v>3244</x:v>
      </x:c>
    </x:row>
    <x:row r="708" ht="15" hidden="0">
      <x:c r="A708" s="73" t="s">
        <x:v>5399</x:v>
      </x:c>
      <x:c r="B708" s="73" t="s">
        <x:v>3244</x:v>
      </x:c>
      <x:c r="C708" s="73" t="s">
        <x:v>3082</x:v>
      </x:c>
      <x:c r="D708" s="73" t="s">
        <x:v>5400</x:v>
      </x:c>
      <x:c r="E708" s="73" t="s">
        <x:v>3394</x:v>
      </x:c>
      <x:c r="F708" s="73" t="s">
        <x:v>5401</x:v>
      </x:c>
      <x:c r="G708" s="73" t="n">
        <x:v>19</x:v>
      </x:c>
      <x:c r="H708" s="73" t="n">
        <x:v>38</x:v>
      </x:c>
      <x:c r="I708" s="73" t="s">
        <x:v>3396</x:v>
      </x:c>
      <x:c r="J708" s="73" t="n">
        <x:v>2023</x:v>
      </x:c>
      <x:c r="K708" s="73" t="n">
        <x:v>10</x:v>
      </x:c>
      <x:c r="L708" s="73" t="n">
        <x:v>4</x:v>
      </x:c>
      <x:c r="M708" s="73" t="n">
        <x:v>18</x:v>
      </x:c>
      <x:c r="N708" s="73" t="s">
        <x:v>3244</x:v>
      </x:c>
    </x:row>
    <x:row r="709" ht="15" hidden="0">
      <x:c r="A709" s="73" t="s">
        <x:v>5402</x:v>
      </x:c>
      <x:c r="B709" s="73" t="s">
        <x:v>3244</x:v>
      </x:c>
      <x:c r="C709" s="73" t="s">
        <x:v>3086</x:v>
      </x:c>
      <x:c r="D709" s="73" t="s">
        <x:v>5403</x:v>
      </x:c>
      <x:c r="E709" s="73" t="s">
        <x:v>3390</x:v>
      </x:c>
      <x:c r="F709" s="73" t="s">
        <x:v>5404</x:v>
      </x:c>
      <x:c r="G709" s="73" t="n">
        <x:v>21</x:v>
      </x:c>
      <x:c r="H709" s="73" t="n">
        <x:v>43</x:v>
      </x:c>
      <x:c r="I709" s="73" t="s">
        <x:v>72</x:v>
      </x:c>
      <x:c r="J709" s="73" t="n">
        <x:v>2023</x:v>
      </x:c>
      <x:c r="K709" s="73" t="n">
        <x:v>10</x:v>
      </x:c>
      <x:c r="L709" s="73" t="n">
        <x:v>5</x:v>
      </x:c>
      <x:c r="M709" s="73" t="n">
        <x:v>14</x:v>
      </x:c>
      <x:c r="N709" s="73" t="s">
        <x:v>3244</x:v>
      </x:c>
    </x:row>
    <x:row r="710" ht="15" hidden="0">
      <x:c r="A710" s="73" t="s">
        <x:v>5405</x:v>
      </x:c>
      <x:c r="B710" s="73" t="s">
        <x:v>3244</x:v>
      </x:c>
      <x:c r="C710" s="73" t="s">
        <x:v>3090</x:v>
      </x:c>
      <x:c r="D710" s="73" t="s">
        <x:v>5406</x:v>
      </x:c>
      <x:c r="E710" s="73" t="s">
        <x:v>3382</x:v>
      </x:c>
      <x:c r="F710" s="73" t="s">
        <x:v>5407</x:v>
      </x:c>
      <x:c r="G710" s="73" t="n">
        <x:v>18</x:v>
      </x:c>
      <x:c r="H710" s="73" t="n">
        <x:v>36</x:v>
      </x:c>
      <x:c r="I710" s="73" t="s">
        <x:v>3387</x:v>
      </x:c>
      <x:c r="J710" s="73" t="n">
        <x:v>2023</x:v>
      </x:c>
      <x:c r="K710" s="73" t="n">
        <x:v>10</x:v>
      </x:c>
      <x:c r="L710" s="73" t="n">
        <x:v>6</x:v>
      </x:c>
      <x:c r="M710" s="73" t="n">
        <x:v>17</x:v>
      </x:c>
      <x:c r="N710" s="73" t="s">
        <x:v>3244</x:v>
      </x:c>
    </x:row>
    <x:row r="711" ht="15" hidden="0">
      <x:c r="A711" s="73" t="s">
        <x:v>5408</x:v>
      </x:c>
      <x:c r="B711" s="73" t="s">
        <x:v>3244</x:v>
      </x:c>
      <x:c r="C711" s="73" t="s">
        <x:v>3094</x:v>
      </x:c>
      <x:c r="D711" s="73" t="s">
        <x:v>5409</x:v>
      </x:c>
      <x:c r="E711" s="73" t="s">
        <x:v>3390</x:v>
      </x:c>
      <x:c r="F711" s="73" t="s">
        <x:v>5410</x:v>
      </x:c>
      <x:c r="G711" s="73" t="n">
        <x:v>22</x:v>
      </x:c>
      <x:c r="H711" s="73" t="n">
        <x:v>45</x:v>
      </x:c>
      <x:c r="I711" s="73" t="s">
        <x:v>3396</x:v>
      </x:c>
      <x:c r="J711" s="73" t="n">
        <x:v>2023</x:v>
      </x:c>
      <x:c r="K711" s="73" t="n">
        <x:v>10</x:v>
      </x:c>
      <x:c r="L711" s="73" t="n">
        <x:v>7</x:v>
      </x:c>
      <x:c r="M711" s="73" t="n">
        <x:v>20</x:v>
      </x:c>
      <x:c r="N711" s="73" t="s">
        <x:v>3244</x:v>
      </x:c>
    </x:row>
    <x:row r="712" ht="15" hidden="0">
      <x:c r="A712" s="73" t="s">
        <x:v>5411</x:v>
      </x:c>
      <x:c r="B712" s="73" t="s">
        <x:v>3244</x:v>
      </x:c>
      <x:c r="C712" s="73" t="s">
        <x:v>3098</x:v>
      </x:c>
      <x:c r="D712" s="73" t="s">
        <x:v>5412</x:v>
      </x:c>
      <x:c r="E712" s="73" t="s">
        <x:v>3394</x:v>
      </x:c>
      <x:c r="F712" s="73" t="s">
        <x:v>5413</x:v>
      </x:c>
      <x:c r="G712" s="73" t="n">
        <x:v>24</x:v>
      </x:c>
      <x:c r="H712" s="73" t="n">
        <x:v>48</x:v>
      </x:c>
      <x:c r="I712" s="73" t="s">
        <x:v>72</x:v>
      </x:c>
      <x:c r="J712" s="73" t="n">
        <x:v>2023</x:v>
      </x:c>
      <x:c r="K712" s="73" t="n">
        <x:v>10</x:v>
      </x:c>
      <x:c r="L712" s="73" t="n">
        <x:v>8</x:v>
      </x:c>
      <x:c r="M712" s="73" t="n">
        <x:v>15</x:v>
      </x:c>
      <x:c r="N712" s="73" t="s">
        <x:v>3244</x:v>
      </x:c>
    </x:row>
    <x:row r="713" ht="15" hidden="0">
      <x:c r="A713" s="73" t="s">
        <x:v>5414</x:v>
      </x:c>
      <x:c r="B713" s="73" t="s">
        <x:v>3244</x:v>
      </x:c>
      <x:c r="C713" s="73" t="s">
        <x:v>3102</x:v>
      </x:c>
      <x:c r="D713" s="73" t="s">
        <x:v>5415</x:v>
      </x:c>
      <x:c r="E713" s="73" t="s">
        <x:v>3382</x:v>
      </x:c>
      <x:c r="F713" s="73" t="s">
        <x:v>5416</x:v>
      </x:c>
      <x:c r="G713" s="73" t="n">
        <x:v>20</x:v>
      </x:c>
      <x:c r="H713" s="73" t="n">
        <x:v>40</x:v>
      </x:c>
      <x:c r="I713" s="73" t="s">
        <x:v>3387</x:v>
      </x:c>
      <x:c r="J713" s="73" t="n">
        <x:v>2023</x:v>
      </x:c>
      <x:c r="K713" s="73" t="n">
        <x:v>10</x:v>
      </x:c>
      <x:c r="L713" s="73" t="n">
        <x:v>9</x:v>
      </x:c>
      <x:c r="M713" s="73" t="n">
        <x:v>22</x:v>
      </x:c>
      <x:c r="N713" s="73" t="s">
        <x:v>3244</x:v>
      </x:c>
    </x:row>
    <x:row r="714" ht="15" hidden="0">
      <x:c r="A714" s="73" t="s">
        <x:v>5417</x:v>
      </x:c>
      <x:c r="B714" s="73" t="s">
        <x:v>3244</x:v>
      </x:c>
      <x:c r="C714" s="73" t="s">
        <x:v>3106</x:v>
      </x:c>
      <x:c r="D714" s="73" t="s">
        <x:v>5418</x:v>
      </x:c>
      <x:c r="E714" s="73" t="s">
        <x:v>3390</x:v>
      </x:c>
      <x:c r="F714" s="73" t="s">
        <x:v>5419</x:v>
      </x:c>
      <x:c r="G714" s="73" t="n">
        <x:v>25</x:v>
      </x:c>
      <x:c r="H714" s="73" t="n">
        <x:v>49</x:v>
      </x:c>
      <x:c r="I714" s="73" t="s">
        <x:v>3396</x:v>
      </x:c>
      <x:c r="J714" s="73" t="n">
        <x:v>2023</x:v>
      </x:c>
      <x:c r="K714" s="73" t="n">
        <x:v>10</x:v>
      </x:c>
      <x:c r="L714" s="73" t="n">
        <x:v>10</x:v>
      </x:c>
      <x:c r="M714" s="73" t="n">
        <x:v>14</x:v>
      </x:c>
      <x:c r="N714" s="73" t="s">
        <x:v>3244</x:v>
      </x:c>
    </x:row>
    <x:row r="715" ht="15" hidden="0">
      <x:c r="A715" s="73" t="s">
        <x:v>5420</x:v>
      </x:c>
      <x:c r="B715" s="73" t="s">
        <x:v>3244</x:v>
      </x:c>
      <x:c r="C715" s="73" t="s">
        <x:v>3110</x:v>
      </x:c>
      <x:c r="D715" s="73" t="s">
        <x:v>5421</x:v>
      </x:c>
      <x:c r="E715" s="73" t="s">
        <x:v>3394</x:v>
      </x:c>
      <x:c r="F715" s="73" t="s">
        <x:v>5422</x:v>
      </x:c>
      <x:c r="G715" s="73" t="n">
        <x:v>19</x:v>
      </x:c>
      <x:c r="H715" s="73" t="n">
        <x:v>37</x:v>
      </x:c>
      <x:c r="I715" s="73" t="s">
        <x:v>72</x:v>
      </x:c>
      <x:c r="J715" s="73" t="n">
        <x:v>2023</x:v>
      </x:c>
      <x:c r="K715" s="73" t="n">
        <x:v>10</x:v>
      </x:c>
      <x:c r="L715" s="73" t="n">
        <x:v>11</x:v>
      </x:c>
      <x:c r="M715" s="73" t="n">
        <x:v>16</x:v>
      </x:c>
      <x:c r="N715" s="73" t="s">
        <x:v>3244</x:v>
      </x:c>
    </x:row>
    <x:row r="716" ht="15" hidden="0">
      <x:c r="A716" s="73" t="s">
        <x:v>5423</x:v>
      </x:c>
      <x:c r="B716" s="73" t="s">
        <x:v>3244</x:v>
      </x:c>
      <x:c r="C716" s="73" t="s">
        <x:v>3114</x:v>
      </x:c>
      <x:c r="D716" s="73" t="s">
        <x:v>5424</x:v>
      </x:c>
      <x:c r="E716" s="73" t="s">
        <x:v>3382</x:v>
      </x:c>
      <x:c r="F716" s="73" t="s">
        <x:v>5425</x:v>
      </x:c>
      <x:c r="G716" s="73" t="n">
        <x:v>23</x:v>
      </x:c>
      <x:c r="H716" s="73" t="n">
        <x:v>44</x:v>
      </x:c>
      <x:c r="I716" s="73" t="s">
        <x:v>3387</x:v>
      </x:c>
      <x:c r="J716" s="73" t="n">
        <x:v>2023</x:v>
      </x:c>
      <x:c r="K716" s="73" t="n">
        <x:v>10</x:v>
      </x:c>
      <x:c r="L716" s="73" t="n">
        <x:v>12</x:v>
      </x:c>
      <x:c r="M716" s="73" t="n">
        <x:v>18</x:v>
      </x:c>
      <x:c r="N716" s="73" t="s">
        <x:v>3244</x:v>
      </x:c>
    </x:row>
    <x:row r="717" ht="15" hidden="0">
      <x:c r="A717" s="73" t="s">
        <x:v>5426</x:v>
      </x:c>
      <x:c r="B717" s="73" t="s">
        <x:v>3244</x:v>
      </x:c>
      <x:c r="C717" s="73" t="s">
        <x:v>3118</x:v>
      </x:c>
      <x:c r="D717" s="73" t="s">
        <x:v>5427</x:v>
      </x:c>
      <x:c r="E717" s="73" t="s">
        <x:v>3390</x:v>
      </x:c>
      <x:c r="F717" s="73" t="s">
        <x:v>5428</x:v>
      </x:c>
      <x:c r="G717" s="73" t="n">
        <x:v>20</x:v>
      </x:c>
      <x:c r="H717" s="73" t="n">
        <x:v>39</x:v>
      </x:c>
      <x:c r="I717" s="73" t="s">
        <x:v>3396</x:v>
      </x:c>
      <x:c r="J717" s="73" t="n">
        <x:v>2023</x:v>
      </x:c>
      <x:c r="K717" s="73" t="n">
        <x:v>10</x:v>
      </x:c>
      <x:c r="L717" s="73" t="n">
        <x:v>13</x:v>
      </x:c>
      <x:c r="M717" s="73" t="n">
        <x:v>12</x:v>
      </x:c>
      <x:c r="N717" s="73" t="s">
        <x:v>3244</x:v>
      </x:c>
    </x:row>
    <x:row r="718" ht="15" hidden="0">
      <x:c r="A718" s="73" t="s">
        <x:v>5429</x:v>
      </x:c>
      <x:c r="B718" s="73" t="s">
        <x:v>3244</x:v>
      </x:c>
      <x:c r="C718" s="73" t="s">
        <x:v>3122</x:v>
      </x:c>
      <x:c r="D718" s="73" t="s">
        <x:v>5430</x:v>
      </x:c>
      <x:c r="E718" s="73" t="s">
        <x:v>3394</x:v>
      </x:c>
      <x:c r="F718" s="73" t="s">
        <x:v>5431</x:v>
      </x:c>
      <x:c r="G718" s="73" t="n">
        <x:v>18</x:v>
      </x:c>
      <x:c r="H718" s="73" t="n">
        <x:v>35</x:v>
      </x:c>
      <x:c r="I718" s="73" t="s">
        <x:v>72</x:v>
      </x:c>
      <x:c r="J718" s="73" t="n">
        <x:v>2023</x:v>
      </x:c>
      <x:c r="K718" s="73" t="n">
        <x:v>10</x:v>
      </x:c>
      <x:c r="L718" s="73" t="n">
        <x:v>14</x:v>
      </x:c>
      <x:c r="M718" s="73" t="n">
        <x:v>17</x:v>
      </x:c>
      <x:c r="N718" s="73" t="s">
        <x:v>3244</x:v>
      </x:c>
    </x:row>
    <x:row r="719" ht="15" hidden="0">
      <x:c r="A719" s="73" t="s">
        <x:v>5432</x:v>
      </x:c>
      <x:c r="B719" s="73" t="s">
        <x:v>3244</x:v>
      </x:c>
      <x:c r="C719" s="73" t="s">
        <x:v>3126</x:v>
      </x:c>
      <x:c r="D719" s="73" t="s">
        <x:v>5433</x:v>
      </x:c>
      <x:c r="E719" s="73" t="s">
        <x:v>3382</x:v>
      </x:c>
      <x:c r="F719" s="73" t="s">
        <x:v>5434</x:v>
      </x:c>
      <x:c r="G719" s="73" t="n">
        <x:v>22</x:v>
      </x:c>
      <x:c r="H719" s="73" t="n">
        <x:v>43</x:v>
      </x:c>
      <x:c r="I719" s="73" t="s">
        <x:v>3387</x:v>
      </x:c>
      <x:c r="J719" s="73" t="n">
        <x:v>2023</x:v>
      </x:c>
      <x:c r="K719" s="73" t="n">
        <x:v>10</x:v>
      </x:c>
      <x:c r="L719" s="73" t="n">
        <x:v>15</x:v>
      </x:c>
      <x:c r="M719" s="73" t="n">
        <x:v>20</x:v>
      </x:c>
      <x:c r="N719" s="73" t="s">
        <x:v>3244</x:v>
      </x:c>
    </x:row>
    <x:row r="720" ht="15" hidden="0">
      <x:c r="A720" s="73" t="s">
        <x:v>5435</x:v>
      </x:c>
      <x:c r="B720" s="73" t="s">
        <x:v>3267</x:v>
      </x:c>
      <x:c r="C720" s="73" t="s">
        <x:v>3131</x:v>
      </x:c>
      <x:c r="D720" s="73" t="s">
        <x:v>5436</x:v>
      </x:c>
      <x:c r="E720" s="73" t="s">
        <x:v>3390</x:v>
      </x:c>
      <x:c r="F720" s="73" t="s">
        <x:v>5437</x:v>
      </x:c>
      <x:c r="G720" s="73" t="n">
        <x:v>27</x:v>
      </x:c>
      <x:c r="H720" s="73" t="n">
        <x:v>52</x:v>
      </x:c>
      <x:c r="I720" s="73" t="s">
        <x:v>3396</x:v>
      </x:c>
      <x:c r="J720" s="73" t="n">
        <x:v>2023</x:v>
      </x:c>
      <x:c r="K720" s="73" t="n">
        <x:v>10</x:v>
      </x:c>
      <x:c r="L720" s="73" t="n">
        <x:v>16</x:v>
      </x:c>
      <x:c r="M720" s="73" t="n">
        <x:v>15</x:v>
      </x:c>
      <x:c r="N720" s="73" t="s">
        <x:v>3260</x:v>
      </x:c>
    </x:row>
    <x:row r="721" ht="15" hidden="0">
      <x:c r="A721" s="73" t="s">
        <x:v>5438</x:v>
      </x:c>
      <x:c r="B721" s="73" t="s">
        <x:v>3267</x:v>
      </x:c>
      <x:c r="C721" s="73" t="s">
        <x:v>3135</x:v>
      </x:c>
      <x:c r="D721" s="73" t="s">
        <x:v>5439</x:v>
      </x:c>
      <x:c r="E721" s="73" t="s">
        <x:v>3382</x:v>
      </x:c>
      <x:c r="F721" s="73" t="s">
        <x:v>5440</x:v>
      </x:c>
      <x:c r="G721" s="73" t="n">
        <x:v>24</x:v>
      </x:c>
      <x:c r="H721" s="73" t="n">
        <x:v>48</x:v>
      </x:c>
      <x:c r="I721" s="73" t="s">
        <x:v>72</x:v>
      </x:c>
      <x:c r="J721" s="73" t="n">
        <x:v>2023</x:v>
      </x:c>
      <x:c r="K721" s="73" t="n">
        <x:v>10</x:v>
      </x:c>
      <x:c r="L721" s="73" t="n">
        <x:v>17</x:v>
      </x:c>
      <x:c r="M721" s="73" t="n">
        <x:v>12</x:v>
      </x:c>
      <x:c r="N721" s="73" t="s">
        <x:v>3260</x:v>
      </x:c>
    </x:row>
    <x:row r="722" ht="15" hidden="0">
      <x:c r="A722" s="73" t="s">
        <x:v>5441</x:v>
      </x:c>
      <x:c r="B722" s="73" t="s">
        <x:v>3267</x:v>
      </x:c>
      <x:c r="C722" s="73" t="s">
        <x:v>3139</x:v>
      </x:c>
      <x:c r="D722" s="73" t="s">
        <x:v>5442</x:v>
      </x:c>
      <x:c r="E722" s="73" t="s">
        <x:v>3394</x:v>
      </x:c>
      <x:c r="F722" s="73" t="s">
        <x:v>5443</x:v>
      </x:c>
      <x:c r="G722" s="73" t="n">
        <x:v>19</x:v>
      </x:c>
      <x:c r="H722" s="73" t="n">
        <x:v>38</x:v>
      </x:c>
      <x:c r="I722" s="73" t="s">
        <x:v>3387</x:v>
      </x:c>
      <x:c r="J722" s="73" t="n">
        <x:v>2023</x:v>
      </x:c>
      <x:c r="K722" s="73" t="n">
        <x:v>10</x:v>
      </x:c>
      <x:c r="L722" s="73" t="n">
        <x:v>18</x:v>
      </x:c>
      <x:c r="M722" s="73" t="n">
        <x:v>16</x:v>
      </x:c>
      <x:c r="N722" s="73" t="s">
        <x:v>3260</x:v>
      </x:c>
    </x:row>
    <x:row r="723" ht="15" hidden="0">
      <x:c r="A723" s="73" t="s">
        <x:v>5444</x:v>
      </x:c>
      <x:c r="B723" s="73" t="s">
        <x:v>3267</x:v>
      </x:c>
      <x:c r="C723" s="73" t="s">
        <x:v>3143</x:v>
      </x:c>
      <x:c r="D723" s="73" t="s">
        <x:v>5445</x:v>
      </x:c>
      <x:c r="E723" s="73" t="s">
        <x:v>3390</x:v>
      </x:c>
      <x:c r="F723" s="73" t="s">
        <x:v>5446</x:v>
      </x:c>
      <x:c r="G723" s="73" t="n">
        <x:v>21</x:v>
      </x:c>
      <x:c r="H723" s="73" t="n">
        <x:v>42</x:v>
      </x:c>
      <x:c r="I723" s="73" t="s">
        <x:v>3396</x:v>
      </x:c>
      <x:c r="J723" s="73" t="n">
        <x:v>2023</x:v>
      </x:c>
      <x:c r="K723" s="73" t="n">
        <x:v>10</x:v>
      </x:c>
      <x:c r="L723" s="73" t="n">
        <x:v>19</x:v>
      </x:c>
      <x:c r="M723" s="73" t="n">
        <x:v>18</x:v>
      </x:c>
      <x:c r="N723" s="73" t="s">
        <x:v>3260</x:v>
      </x:c>
    </x:row>
    <x:row r="724" ht="15" hidden="0">
      <x:c r="A724" s="73" t="s">
        <x:v>5447</x:v>
      </x:c>
      <x:c r="B724" s="73" t="s">
        <x:v>3267</x:v>
      </x:c>
      <x:c r="C724" s="73" t="s">
        <x:v>3147</x:v>
      </x:c>
      <x:c r="D724" s="73" t="s">
        <x:v>5448</x:v>
      </x:c>
      <x:c r="E724" s="73" t="s">
        <x:v>3382</x:v>
      </x:c>
      <x:c r="F724" s="73" t="s">
        <x:v>5449</x:v>
      </x:c>
      <x:c r="G724" s="73" t="n">
        <x:v>26</x:v>
      </x:c>
      <x:c r="H724" s="73" t="n">
        <x:v>50</x:v>
      </x:c>
      <x:c r="I724" s="73" t="s">
        <x:v>72</x:v>
      </x:c>
      <x:c r="J724" s="73" t="n">
        <x:v>2023</x:v>
      </x:c>
      <x:c r="K724" s="73" t="n">
        <x:v>10</x:v>
      </x:c>
      <x:c r="L724" s="73" t="n">
        <x:v>20</x:v>
      </x:c>
      <x:c r="M724" s="73" t="n">
        <x:v>14</x:v>
      </x:c>
      <x:c r="N724" s="73" t="s">
        <x:v>3260</x:v>
      </x:c>
    </x:row>
    <x:row r="725" ht="15" hidden="0">
      <x:c r="A725" s="73" t="s">
        <x:v>5450</x:v>
      </x:c>
      <x:c r="B725" s="73" t="s">
        <x:v>3267</x:v>
      </x:c>
      <x:c r="C725" s="73" t="s">
        <x:v>3151</x:v>
      </x:c>
      <x:c r="D725" s="73" t="s">
        <x:v>5451</x:v>
      </x:c>
      <x:c r="E725" s="73" t="s">
        <x:v>3394</x:v>
      </x:c>
      <x:c r="F725" s="73" t="s">
        <x:v>5452</x:v>
      </x:c>
      <x:c r="G725" s="73" t="n">
        <x:v>23</x:v>
      </x:c>
      <x:c r="H725" s="73" t="n">
        <x:v>45</x:v>
      </x:c>
      <x:c r="I725" s="73" t="s">
        <x:v>3387</x:v>
      </x:c>
      <x:c r="J725" s="73" t="n">
        <x:v>2023</x:v>
      </x:c>
      <x:c r="K725" s="73" t="n">
        <x:v>10</x:v>
      </x:c>
      <x:c r="L725" s="73" t="n">
        <x:v>21</x:v>
      </x:c>
      <x:c r="M725" s="73" t="n">
        <x:v>17</x:v>
      </x:c>
      <x:c r="N725" s="73" t="s">
        <x:v>3260</x:v>
      </x:c>
    </x:row>
    <x:row r="726" ht="15" hidden="0">
      <x:c r="A726" s="73" t="s">
        <x:v>5453</x:v>
      </x:c>
      <x:c r="B726" s="73" t="s">
        <x:v>3267</x:v>
      </x:c>
      <x:c r="C726" s="73" t="s">
        <x:v>3155</x:v>
      </x:c>
      <x:c r="D726" s="73" t="s">
        <x:v>5454</x:v>
      </x:c>
      <x:c r="E726" s="73" t="s">
        <x:v>3390</x:v>
      </x:c>
      <x:c r="F726" s="73" t="s">
        <x:v>5455</x:v>
      </x:c>
      <x:c r="G726" s="73" t="n">
        <x:v>22</x:v>
      </x:c>
      <x:c r="H726" s="73" t="n">
        <x:v>43</x:v>
      </x:c>
      <x:c r="I726" s="73" t="s">
        <x:v>3396</x:v>
      </x:c>
      <x:c r="J726" s="73" t="n">
        <x:v>2023</x:v>
      </x:c>
      <x:c r="K726" s="73" t="n">
        <x:v>10</x:v>
      </x:c>
      <x:c r="L726" s="73" t="n">
        <x:v>22</x:v>
      </x:c>
      <x:c r="M726" s="73" t="n">
        <x:v>20</x:v>
      </x:c>
      <x:c r="N726" s="73" t="s">
        <x:v>3260</x:v>
      </x:c>
    </x:row>
    <x:row r="727" ht="15" hidden="0">
      <x:c r="A727" s="73" t="s">
        <x:v>5456</x:v>
      </x:c>
      <x:c r="B727" s="73" t="s">
        <x:v>3267</x:v>
      </x:c>
      <x:c r="C727" s="73" t="s">
        <x:v>3159</x:v>
      </x:c>
      <x:c r="D727" s="73" t="s">
        <x:v>5457</x:v>
      </x:c>
      <x:c r="E727" s="73" t="s">
        <x:v>3390</x:v>
      </x:c>
      <x:c r="F727" s="73" t="s">
        <x:v>5458</x:v>
      </x:c>
      <x:c r="G727" s="73" t="n">
        <x:v>23</x:v>
      </x:c>
      <x:c r="H727" s="73" t="n">
        <x:v>44</x:v>
      </x:c>
      <x:c r="I727" s="73" t="s">
        <x:v>72</x:v>
      </x:c>
      <x:c r="J727" s="73" t="n">
        <x:v>2015</x:v>
      </x:c>
      <x:c r="K727" s="73" t="n">
        <x:v>11</x:v>
      </x:c>
      <x:c r="L727" s="73" t="n">
        <x:v>10</x:v>
      </x:c>
      <x:c r="M727" s="73" t="n">
        <x:v>16</x:v>
      </x:c>
      <x:c r="N727" s="73" t="s">
        <x:v>3260</x:v>
      </x:c>
    </x:row>
    <x:row r="728" ht="15" hidden="0">
      <x:c r="A728" s="73" t="s">
        <x:v>5459</x:v>
      </x:c>
      <x:c r="B728" s="73" t="s">
        <x:v>3267</x:v>
      </x:c>
      <x:c r="C728" s="73" t="s">
        <x:v>3163</x:v>
      </x:c>
      <x:c r="D728" s="73" t="s">
        <x:v>5460</x:v>
      </x:c>
      <x:c r="E728" s="73" t="s">
        <x:v>3382</x:v>
      </x:c>
      <x:c r="F728" s="73" t="s">
        <x:v>5461</x:v>
      </x:c>
      <x:c r="G728" s="73" t="n">
        <x:v>26</x:v>
      </x:c>
      <x:c r="H728" s="73" t="n">
        <x:v>51</x:v>
      </x:c>
      <x:c r="I728" s="73" t="s">
        <x:v>3387</x:v>
      </x:c>
      <x:c r="J728" s="73" t="n">
        <x:v>2016</x:v>
      </x:c>
      <x:c r="K728" s="73" t="n">
        <x:v>9</x:v>
      </x:c>
      <x:c r="L728" s="73" t="n">
        <x:v>14</x:v>
      </x:c>
      <x:c r="M728" s="73" t="n">
        <x:v>12</x:v>
      </x:c>
      <x:c r="N728" s="73" t="s">
        <x:v>3260</x:v>
      </x:c>
    </x:row>
    <x:row r="729" ht="15" hidden="0">
      <x:c r="A729" s="73" t="s">
        <x:v>5462</x:v>
      </x:c>
      <x:c r="B729" s="73" t="s">
        <x:v>3267</x:v>
      </x:c>
      <x:c r="C729" s="73" t="s">
        <x:v>3167</x:v>
      </x:c>
      <x:c r="D729" s="73" t="s">
        <x:v>5463</x:v>
      </x:c>
      <x:c r="E729" s="73" t="s">
        <x:v>3394</x:v>
      </x:c>
      <x:c r="F729" s="73" t="s">
        <x:v>5464</x:v>
      </x:c>
      <x:c r="G729" s="73" t="n">
        <x:v>20</x:v>
      </x:c>
      <x:c r="H729" s="73" t="n">
        <x:v>39</x:v>
      </x:c>
      <x:c r="I729" s="73" t="s">
        <x:v>3396</x:v>
      </x:c>
      <x:c r="J729" s="73" t="n">
        <x:v>2017</x:v>
      </x:c>
      <x:c r="K729" s="73" t="n">
        <x:v>8</x:v>
      </x:c>
      <x:c r="L729" s="73" t="n">
        <x:v>18</x:v>
      </x:c>
      <x:c r="M729" s="73" t="n">
        <x:v>18</x:v>
      </x:c>
      <x:c r="N729" s="73" t="s">
        <x:v>3260</x:v>
      </x:c>
    </x:row>
    <x:row r="730" ht="15" hidden="0">
      <x:c r="A730" s="73" t="s">
        <x:v>5465</x:v>
      </x:c>
      <x:c r="B730" s="73" t="s">
        <x:v>3267</x:v>
      </x:c>
      <x:c r="C730" s="73" t="s">
        <x:v>3171</x:v>
      </x:c>
      <x:c r="D730" s="73" t="s">
        <x:v>5466</x:v>
      </x:c>
      <x:c r="E730" s="73" t="s">
        <x:v>3390</x:v>
      </x:c>
      <x:c r="F730" s="73" t="s">
        <x:v>5467</x:v>
      </x:c>
      <x:c r="G730" s="73" t="n">
        <x:v>25</x:v>
      </x:c>
      <x:c r="H730" s="73" t="n">
        <x:v>48</x:v>
      </x:c>
      <x:c r="I730" s="73" t="s">
        <x:v>72</x:v>
      </x:c>
      <x:c r="J730" s="73" t="n">
        <x:v>2018</x:v>
      </x:c>
      <x:c r="K730" s="73" t="n">
        <x:v>6</x:v>
      </x:c>
      <x:c r="L730" s="73" t="n">
        <x:v>22</x:v>
      </x:c>
      <x:c r="M730" s="73" t="n">
        <x:v>14</x:v>
      </x:c>
      <x:c r="N730" s="73" t="s">
        <x:v>3260</x:v>
      </x:c>
    </x:row>
    <x:row r="731" ht="15" hidden="0">
      <x:c r="A731" s="73" t="s">
        <x:v>5468</x:v>
      </x:c>
      <x:c r="B731" s="73" t="s">
        <x:v>3267</x:v>
      </x:c>
      <x:c r="C731" s="73" t="s">
        <x:v>1594</x:v>
      </x:c>
      <x:c r="D731" s="73" t="s">
        <x:v>5469</x:v>
      </x:c>
      <x:c r="E731" s="73" t="s">
        <x:v>3382</x:v>
      </x:c>
      <x:c r="F731" s="73" t="s">
        <x:v>5470</x:v>
      </x:c>
      <x:c r="G731" s="73" t="n">
        <x:v>22</x:v>
      </x:c>
      <x:c r="H731" s="73" t="n">
        <x:v>42</x:v>
      </x:c>
      <x:c r="I731" s="73" t="s">
        <x:v>3387</x:v>
      </x:c>
      <x:c r="J731" s="73" t="n">
        <x:v>2019</x:v>
      </x:c>
      <x:c r="K731" s="73" t="n">
        <x:v>4</x:v>
      </x:c>
      <x:c r="L731" s="73" t="n">
        <x:v>5</x:v>
      </x:c>
      <x:c r="M731" s="73" t="n">
        <x:v>17</x:v>
      </x:c>
      <x:c r="N731" s="73" t="s">
        <x:v>3260</x:v>
      </x:c>
    </x:row>
    <x:row r="732" ht="15" hidden="0">
      <x:c r="A732" s="73" t="s">
        <x:v>5471</x:v>
      </x:c>
      <x:c r="B732" s="73" t="s">
        <x:v>3267</x:v>
      </x:c>
      <x:c r="C732" s="73" t="s">
        <x:v>3178</x:v>
      </x:c>
      <x:c r="D732" s="73" t="s">
        <x:v>5472</x:v>
      </x:c>
      <x:c r="E732" s="73" t="s">
        <x:v>3394</x:v>
      </x:c>
      <x:c r="F732" s="73" t="s">
        <x:v>5473</x:v>
      </x:c>
      <x:c r="G732" s="73" t="n">
        <x:v>21</x:v>
      </x:c>
      <x:c r="H732" s="73" t="n">
        <x:v>43</x:v>
      </x:c>
      <x:c r="I732" s="73" t="s">
        <x:v>3396</x:v>
      </x:c>
      <x:c r="J732" s="73" t="n">
        <x:v>2020</x:v>
      </x:c>
      <x:c r="K732" s="73" t="n">
        <x:v>2</x:v>
      </x:c>
      <x:c r="L732" s="73" t="n">
        <x:v>29</x:v>
      </x:c>
      <x:c r="M732" s="73" t="n">
        <x:v>20</x:v>
      </x:c>
      <x:c r="N732" s="73" t="s">
        <x:v>3260</x:v>
      </x:c>
    </x:row>
    <x:row r="733" ht="15" hidden="0">
      <x:c r="A733" s="73" t="s">
        <x:v>5474</x:v>
      </x:c>
      <x:c r="B733" s="73" t="s">
        <x:v>3267</x:v>
      </x:c>
      <x:c r="C733" s="73" t="s">
        <x:v>3182</x:v>
      </x:c>
      <x:c r="D733" s="73" t="s">
        <x:v>5475</x:v>
      </x:c>
      <x:c r="E733" s="73" t="s">
        <x:v>3390</x:v>
      </x:c>
      <x:c r="F733" s="73" t="s">
        <x:v>5476</x:v>
      </x:c>
      <x:c r="G733" s="73" t="n">
        <x:v>24</x:v>
      </x:c>
      <x:c r="H733" s="73" t="n">
        <x:v>47</x:v>
      </x:c>
      <x:c r="I733" s="73" t="s">
        <x:v>72</x:v>
      </x:c>
      <x:c r="J733" s="73" t="n">
        <x:v>2020</x:v>
      </x:c>
      <x:c r="K733" s="73" t="n">
        <x:v>11</x:v>
      </x:c>
      <x:c r="L733" s="73" t="n">
        <x:v>15</x:v>
      </x:c>
      <x:c r="M733" s="73" t="n">
        <x:v>15</x:v>
      </x:c>
      <x:c r="N733" s="73" t="s">
        <x:v>3260</x:v>
      </x:c>
    </x:row>
  </x:sheetData>
  <x:pageMargins left="0.7" right="0.7" top="0.75" bottom="0.75" header="0.3" footer="0.3"/>
  <x:tableParts count="1">
    <x:tablePart xmlns:r="http://schemas.openxmlformats.org/officeDocument/2006/relationships" r:id="R55c440bf2e4647cc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2" max="2" width="38" hidden="0" customWidth="1"/>
    <x:col min="3" max="4" width="16" hidden="0" customWidth="1"/>
    <x:col min="3" max="3" width="18" hidden="0" customWidth="1"/>
    <x:col min="4" max="4" width="18" hidden="0" customWidth="1"/>
  </x:cols>
  <x:sheetData>
    <x:row r="2" ht="17.350000381469727" hidden="0">
      <x:c r="A2" s="107"/>
      <x:c r="B2" s="121" t="str">
        <x:v>Descriptive Statistics: Likes and Retweets</x:v>
      </x:c>
      <x:c r="C2" s="107"/>
      <x:c r="D2" s="107"/>
      <x:c r="E2" s="107"/>
    </x:row>
    <x:row r="3" ht="15" hidden="0">
      <x:c r="A3" s="107"/>
      <x:c r="B3" s="122" t="str">
        <x:v>Summary statistics calculated from Cleaned_Data.</x:v>
      </x:c>
      <x:c r="C3" s="107"/>
      <x:c r="D3" s="107"/>
      <x:c r="E3" s="107"/>
    </x:row>
    <x:row r="4">
      <x:c r="A4" s="107"/>
      <x:c r="B4" s="107"/>
      <x:c r="C4" s="107"/>
      <x:c r="D4" s="107"/>
      <x:c r="E4" s="107"/>
    </x:row>
    <x:row r="5" ht="15" hidden="0">
      <x:c r="A5" s="46"/>
      <x:c r="B5" s="51" t="s">
        <x:v>5477</x:v>
      </x:c>
      <x:c r="C5" s="51" t="s">
        <x:v>9</x:v>
      </x:c>
      <x:c r="D5" s="123" t="s">
        <x:v>8</x:v>
      </x:c>
      <x:c r="E5" s="107"/>
    </x:row>
    <x:row r="6" ht="15" hidden="0">
      <x:c r="A6" s="107"/>
      <x:c r="B6" s="149" t="s">
        <x:v>5478</x:v>
      </x:c>
      <x:c r="C6" s="150" t="n">
        <x:f aca="0">COUNT(Cleaned_Data!$H$2:$H$733)</x:f>
        <x:v>732</x:v>
      </x:c>
      <x:c r="D6" s="151" t="n">
        <x:f aca="0">COUNT(Cleaned_Data!$G$2:$G$733)</x:f>
        <x:v>732</x:v>
      </x:c>
      <x:c r="E6" s="107"/>
    </x:row>
    <x:row r="7" ht="15" hidden="0">
      <x:c r="A7" s="107"/>
      <x:c r="B7" s="152" t="s">
        <x:v>5479</x:v>
      </x:c>
      <x:c r="C7" s="153" t="n">
        <x:f aca="0">AVERAGE(Cleaned_Data!$H$2:$H$733)</x:f>
        <x:v>42.90163934426229</x:v>
      </x:c>
      <x:c r="D7" s="154" t="n">
        <x:f aca="0">AVERAGE(Cleaned_Data!$G$2:$G$733)</x:f>
        <x:v>21.508196721311474</x:v>
      </x:c>
      <x:c r="E7" s="107"/>
    </x:row>
    <x:row r="8" ht="15" hidden="0">
      <x:c r="A8" s="107"/>
      <x:c r="B8" s="152" t="s">
        <x:v>5480</x:v>
      </x:c>
      <x:c r="C8" s="153" t="n">
        <x:f aca="0">MEDIAN(Cleaned_Data!$H$2:$H$733)</x:f>
        <x:v>43</x:v>
      </x:c>
      <x:c r="D8" s="154" t="n">
        <x:f aca="0">MEDIAN(Cleaned_Data!$G$2:$G$733)</x:f>
        <x:v>22</x:v>
      </x:c>
      <x:c r="E8" s="107"/>
    </x:row>
    <x:row r="9" ht="15" hidden="0">
      <x:c r="A9" s="107"/>
      <x:c r="B9" s="152" t="s">
        <x:v>5481</x:v>
      </x:c>
      <x:c r="C9" s="153" t="n">
        <x:f aca="0"/>
        <x:v>45</x:v>
      </x:c>
      <x:c r="D9" s="154" t="n">
        <x:f aca="0"/>
        <x:v>22</x:v>
      </x:c>
      <x:c r="E9" s="107"/>
    </x:row>
    <x:row r="10" ht="15" hidden="0">
      <x:c r="A10" s="107"/>
      <x:c r="B10" s="152" t="s">
        <x:v>5482</x:v>
      </x:c>
      <x:c r="C10" s="153" t="n">
        <x:f aca="0">STDEV(Cleaned_Data!$H$2:$H$733)</x:f>
        <x:v>14.089848390888744</x:v>
      </x:c>
      <x:c r="D10" s="154" t="n">
        <x:f aca="0">STDEV(Cleaned_Data!$G$2:$G$733)</x:f>
        <x:v>7.061286414470437</x:v>
      </x:c>
      <x:c r="E10" s="107"/>
    </x:row>
    <x:row r="11" ht="15" hidden="0">
      <x:c r="A11" s="107"/>
      <x:c r="B11" s="152" t="s">
        <x:v>5483</x:v>
      </x:c>
      <x:c r="C11" s="153" t="n">
        <x:f aca="0">VAR(Cleaned_Data!$H$2:$H$733)</x:f>
        <x:v>198.52382767823013</x:v>
      </x:c>
      <x:c r="D11" s="154" t="n">
        <x:f aca="0">VAR(Cleaned_Data!$G$2:$G$733)</x:f>
        <x:v>49.861765827184755</x:v>
      </x:c>
      <x:c r="E11" s="107"/>
    </x:row>
    <x:row r="12" ht="15" hidden="0">
      <x:c r="A12" s="107"/>
      <x:c r="B12" s="152" t="s">
        <x:v>5484</x:v>
      </x:c>
      <x:c r="C12" s="153" t="n">
        <x:f aca="0">MIN(Cleaned_Data!$H$2:$H$733)</x:f>
        <x:v>10</x:v>
      </x:c>
      <x:c r="D12" s="154" t="n">
        <x:f aca="0">MIN(Cleaned_Data!$G$2:$G$733)</x:f>
        <x:v>5</x:v>
      </x:c>
      <x:c r="E12" s="107"/>
    </x:row>
    <x:row r="13" ht="15" hidden="0">
      <x:c r="A13" s="107"/>
      <x:c r="B13" s="152" t="s">
        <x:v>5485</x:v>
      </x:c>
      <x:c r="C13" s="153" t="n">
        <x:f aca="0">MAX(Cleaned_Data!$H$2:$H$733)</x:f>
        <x:v>80</x:v>
      </x:c>
      <x:c r="D13" s="154" t="n">
        <x:f aca="0">MAX(Cleaned_Data!$G$2:$G$733)</x:f>
        <x:v>40</x:v>
      </x:c>
      <x:c r="E13" s="107"/>
    </x:row>
    <x:row r="14" ht="15" hidden="0">
      <x:c r="A14" s="107"/>
      <x:c r="B14" s="155" t="s">
        <x:v>5486</x:v>
      </x:c>
      <x:c r="C14" s="156" t="n">
        <x:f aca="0">MAX(Cleaned_Data!$H$2:$H$733)-MIN(Cleaned_Data!$H$2:$H$733)</x:f>
        <x:v>70</x:v>
      </x:c>
      <x:c r="D14" s="157" t="n">
        <x:f aca="0">MAX(Cleaned_Data!$G$2:$G$733)-MIN(Cleaned_Data!$G$2:$G$733)</x:f>
        <x:v>35</x:v>
      </x:c>
      <x:c r="E14" s="107"/>
    </x:row>
    <x:row r="15">
      <x:c r="A15" s="107"/>
      <x:c r="B15" s="107"/>
      <x:c r="C15" s="107"/>
      <x:c r="D15" s="107"/>
      <x:c r="E15" s="107"/>
    </x:row>
    <x:row r="16" ht="15" hidden="0">
      <x:c r="A16" s="107"/>
      <x:c r="B16" s="127" t="str">
        <x:v>Summary based on the 732 records in Cleaned_Data.</x:v>
      </x:c>
      <x:c r="C16" s="127"/>
      <x:c r="D16" s="127"/>
      <x:c r="E16" s="127"/>
    </x:row>
  </x:sheetData>
  <x:mergeCells>
    <x:mergeCell ref="B16:E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8" width="2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 ht="17.350000381469727" hidden="0">
      <x:c r="A2" s="107"/>
      <x:c r="B2" s="121" t="str">
        <x:v>Sentiment Distribution and Engagement</x:v>
      </x:c>
      <x:c r="C2" s="107"/>
      <x:c r="D2" s="107"/>
      <x:c r="E2" s="107"/>
      <x:c r="F2" s="107"/>
      <x:c r="G2" s="107"/>
      <x:c r="H2" s="107"/>
    </x:row>
    <x:row r="3" ht="15" hidden="0">
      <x:c r="A3" s="107"/>
      <x:c r="B3" s="122" t="str">
        <x:v>Counts, percentages and engagement measures by sentiment group.</x:v>
      </x:c>
      <x:c r="C3" s="107"/>
      <x:c r="D3" s="107"/>
      <x:c r="E3" s="107"/>
      <x:c r="F3" s="107"/>
      <x:c r="G3" s="107"/>
      <x:c r="H3" s="107"/>
    </x:row>
    <x:row r="4">
      <x:c r="A4" s="107"/>
      <x:c r="B4" s="107"/>
      <x:c r="C4" s="107"/>
      <x:c r="D4" s="107"/>
      <x:c r="E4" s="107"/>
      <x:c r="F4" s="107"/>
      <x:c r="G4" s="107"/>
      <x:c r="H4" s="107"/>
    </x:row>
    <x:row r="5" ht="15" hidden="0">
      <x:c r="A5" s="46"/>
      <x:c r="B5" s="51" t="s">
        <x:v>5487</x:v>
      </x:c>
      <x:c r="C5" s="51" t="s">
        <x:v>5488</x:v>
      </x:c>
      <x:c r="D5" s="51" t="s">
        <x:v>5489</x:v>
      </x:c>
      <x:c r="E5" s="51" t="s">
        <x:v>5490</x:v>
      </x:c>
      <x:c r="F5" s="51" t="s">
        <x:v>5491</x:v>
      </x:c>
      <x:c r="G5" s="51" t="s">
        <x:v>5492</x:v>
      </x:c>
      <x:c r="H5" s="123" t="s">
        <x:v>5493</x:v>
      </x:c>
    </x:row>
    <x:row r="6" ht="15" hidden="0">
      <x:c r="A6" s="107"/>
      <x:c r="B6" s="167" t="s">
        <x:v>3260</x:v>
      </x:c>
      <x:c r="C6" s="150" t="n">
        <x:f aca="0">COUNTIF(Cleaned_Data!$N$2:$N$733,B6)</x:f>
        <x:v>474</x:v>
      </x:c>
      <x:c r="D6" s="168" t="n">
        <x:f aca="0">C6/COUNTA(Cleaned_Data!$N$2:$N$733)</x:f>
        <x:v>0.6475409836065574</x:v>
      </x:c>
      <x:c r="E6" s="169" t="n">
        <x:f aca="0">AVERAGEIF(Cleaned_Data!$N$2:$N$733,B6,Cleaned_Data!$H$2:$H$733)</x:f>
        <x:v>45.96835443037975</x:v>
      </x:c>
      <x:c r="F6" s="169" t="n">
        <x:f aca="0">AVERAGEIF(Cleaned_Data!$N$2:$N$733,B6,Cleaned_Data!$G$2:$G$733)</x:f>
        <x:v>23.040084388185655</x:v>
      </x:c>
      <x:c r="G6" s="150" t="n">
        <x:f aca="0">SUMIF(Cleaned_Data!$N$2:$N$733,B6,Cleaned_Data!$H$2:$H$733)</x:f>
        <x:v>21789</x:v>
      </x:c>
      <x:c r="H6" s="151" t="n">
        <x:f aca="0">SUMIF(Cleaned_Data!$N$2:$N$733,B6,Cleaned_Data!$G$2:$G$733)</x:f>
        <x:v>10921</x:v>
      </x:c>
    </x:row>
    <x:row r="7" ht="15" hidden="0">
      <x:c r="A7" s="107"/>
      <x:c r="B7" s="170" t="s">
        <x:v>3189</x:v>
      </x:c>
      <x:c r="C7" s="171" t="n">
        <x:f aca="0">COUNTIF(Cleaned_Data!$N$2:$N$733,B7)</x:f>
        <x:v>195</x:v>
      </x:c>
      <x:c r="D7" s="172" t="n">
        <x:f aca="0">C7/COUNTA(Cleaned_Data!$N$2:$N$733)</x:f>
        <x:v>0.26639344262295084</x:v>
      </x:c>
      <x:c r="E7" s="153" t="n">
        <x:f aca="0">AVERAGEIF(Cleaned_Data!$N$2:$N$733,B7,Cleaned_Data!$H$2:$H$733)</x:f>
        <x:v>35.96923076923077</x:v>
      </x:c>
      <x:c r="F7" s="153" t="n">
        <x:f aca="0">AVERAGEIF(Cleaned_Data!$N$2:$N$733,B7,Cleaned_Data!$G$2:$G$733)</x:f>
        <x:v>18.025641025641026</x:v>
      </x:c>
      <x:c r="G7" s="171" t="n">
        <x:f aca="0">SUMIF(Cleaned_Data!$N$2:$N$733,B7,Cleaned_Data!$H$2:$H$733)</x:f>
        <x:v>7014</x:v>
      </x:c>
      <x:c r="H7" s="173" t="n">
        <x:f aca="0">SUMIF(Cleaned_Data!$N$2:$N$733,B7,Cleaned_Data!$G$2:$G$733)</x:f>
        <x:v>3515</x:v>
      </x:c>
    </x:row>
    <x:row r="8" ht="15" hidden="0">
      <x:c r="A8" s="107"/>
      <x:c r="B8" s="170" t="s">
        <x:v>3244</x:v>
      </x:c>
      <x:c r="C8" s="171" t="n">
        <x:f aca="0">COUNTIF(Cleaned_Data!$N$2:$N$733,B8)</x:f>
        <x:v>63</x:v>
      </x:c>
      <x:c r="D8" s="172" t="n">
        <x:f aca="0">C8/COUNTA(Cleaned_Data!$N$2:$N$733)</x:f>
        <x:v>0.0860655737704918</x:v>
      </x:c>
      <x:c r="E8" s="153" t="n">
        <x:f aca="0">AVERAGEIF(Cleaned_Data!$N$2:$N$733,B8,Cleaned_Data!$H$2:$H$733)</x:f>
        <x:v>41.285714285714285</x:v>
      </x:c>
      <x:c r="F8" s="153" t="n">
        <x:f aca="0">AVERAGEIF(Cleaned_Data!$N$2:$N$733,B8,Cleaned_Data!$G$2:$G$733)</x:f>
        <x:v>20.761904761904763</x:v>
      </x:c>
      <x:c r="G8" s="171" t="n">
        <x:f aca="0">SUMIF(Cleaned_Data!$N$2:$N$733,B8,Cleaned_Data!$H$2:$H$733)</x:f>
        <x:v>2601</x:v>
      </x:c>
      <x:c r="H8" s="173" t="n">
        <x:f aca="0">SUMIF(Cleaned_Data!$N$2:$N$733,B8,Cleaned_Data!$G$2:$G$733)</x:f>
        <x:v>1308</x:v>
      </x:c>
    </x:row>
    <x:row r="9" ht="15" hidden="0">
      <x:c r="A9" s="107"/>
      <x:c r="B9" s="155" t="s">
        <x:v>5494</x:v>
      </x:c>
      <x:c r="C9" s="174" t="n">
        <x:f aca="0">SUM(C6:C8)</x:f>
        <x:v>732</x:v>
      </x:c>
      <x:c r="D9" s="175" t="n">
        <x:f aca="0">SUM(D6:D8)</x:f>
        <x:v>1</x:v>
      </x:c>
      <x:c r="E9" s="176"/>
      <x:c r="F9" s="176"/>
      <x:c r="G9" s="176"/>
      <x:c r="H9" s="17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8" width="2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 ht="17.350000381469727" hidden="0">
      <x:c r="A2" s="107"/>
      <x:c r="B2" s="121" t="str">
        <x:v>Engagement by Platform</x:v>
      </x:c>
      <x:c r="C2" s="107"/>
      <x:c r="D2" s="107"/>
      <x:c r="E2" s="107"/>
      <x:c r="F2" s="107"/>
      <x:c r="G2" s="107"/>
      <x:c r="H2" s="107"/>
    </x:row>
    <x:row r="3" ht="15" hidden="0">
      <x:c r="A3" s="107"/>
      <x:c r="B3" s="122" t="str">
        <x:v>Post volume and engagement measures for each platform.</x:v>
      </x:c>
      <x:c r="C3" s="107"/>
      <x:c r="D3" s="107"/>
      <x:c r="E3" s="107"/>
      <x:c r="F3" s="107"/>
      <x:c r="G3" s="107"/>
      <x:c r="H3" s="107"/>
    </x:row>
    <x:row r="4">
      <x:c r="A4" s="107"/>
      <x:c r="B4" s="107"/>
      <x:c r="C4" s="107"/>
      <x:c r="D4" s="107"/>
      <x:c r="E4" s="107"/>
      <x:c r="F4" s="107"/>
      <x:c r="G4" s="107"/>
      <x:c r="H4" s="107"/>
    </x:row>
    <x:row r="5" ht="15" hidden="0">
      <x:c r="A5" s="46"/>
      <x:c r="B5" s="51" t="s">
        <x:v>6</x:v>
      </x:c>
      <x:c r="C5" s="51" t="s">
        <x:v>5488</x:v>
      </x:c>
      <x:c r="D5" s="51" t="s">
        <x:v>5489</x:v>
      </x:c>
      <x:c r="E5" s="51" t="s">
        <x:v>5490</x:v>
      </x:c>
      <x:c r="F5" s="51" t="s">
        <x:v>5491</x:v>
      </x:c>
      <x:c r="G5" s="51" t="s">
        <x:v>5492</x:v>
      </x:c>
      <x:c r="H5" s="123" t="s">
        <x:v>5493</x:v>
      </x:c>
    </x:row>
    <x:row r="6" ht="15" hidden="0">
      <x:c r="A6" s="107"/>
      <x:c r="B6" s="167" t="s">
        <x:v>3390</x:v>
      </x:c>
      <x:c r="C6" s="150" t="n">
        <x:f aca="0">COUNTIF(Cleaned_Data!$E$2:$E$733,B6)</x:f>
        <x:v>258</x:v>
      </x:c>
      <x:c r="D6" s="168" t="n">
        <x:f aca="0">C6/COUNTA(Cleaned_Data!$E$2:$E$733)</x:f>
        <x:v>0.3524590163934426</x:v>
      </x:c>
      <x:c r="E6" s="169" t="n">
        <x:f aca="0">AVERAGEIF(Cleaned_Data!$E$2:$E$733,B6,Cleaned_Data!$H$2:$H$733)</x:f>
        <x:v>45.08914728682171</x:v>
      </x:c>
      <x:c r="F6" s="169" t="n">
        <x:f aca="0">AVERAGEIF(Cleaned_Data!$E$2:$E$733,B6,Cleaned_Data!$G$2:$G$733)</x:f>
        <x:v>22.600775193798448</x:v>
      </x:c>
      <x:c r="G6" s="150" t="n">
        <x:f aca="0">SUMIF(Cleaned_Data!$E$2:$E$733,B6,Cleaned_Data!$H$2:$H$733)</x:f>
        <x:v>11633</x:v>
      </x:c>
      <x:c r="H6" s="151" t="n">
        <x:f aca="0">SUMIF(Cleaned_Data!$E$2:$E$733,B6,Cleaned_Data!$G$2:$G$733)</x:f>
        <x:v>5831</x:v>
      </x:c>
    </x:row>
    <x:row r="7" ht="15" hidden="0">
      <x:c r="A7" s="107"/>
      <x:c r="B7" s="170" t="s">
        <x:v>3382</x:v>
      </x:c>
      <x:c r="C7" s="171" t="n">
        <x:f aca="0">COUNTIF(Cleaned_Data!$E$2:$E$733,B7)</x:f>
        <x:v>243</x:v>
      </x:c>
      <x:c r="D7" s="172" t="n">
        <x:f aca="0">C7/COUNTA(Cleaned_Data!$E$2:$E$733)</x:f>
        <x:v>0.3319672131147541</x:v>
      </x:c>
      <x:c r="E7" s="153" t="n">
        <x:f aca="0">AVERAGEIF(Cleaned_Data!$E$2:$E$733,B7,Cleaned_Data!$H$2:$H$733)</x:f>
        <x:v>41.559670781893004</x:v>
      </x:c>
      <x:c r="F7" s="153" t="n">
        <x:f aca="0">AVERAGEIF(Cleaned_Data!$E$2:$E$733,B7,Cleaned_Data!$G$2:$G$733)</x:f>
        <x:v>20.86008230452675</x:v>
      </x:c>
      <x:c r="G7" s="171" t="n">
        <x:f aca="0">SUMIF(Cleaned_Data!$E$2:$E$733,B7,Cleaned_Data!$H$2:$H$733)</x:f>
        <x:v>10099</x:v>
      </x:c>
      <x:c r="H7" s="173" t="n">
        <x:f aca="0">SUMIF(Cleaned_Data!$E$2:$E$733,B7,Cleaned_Data!$G$2:$G$733)</x:f>
        <x:v>5069</x:v>
      </x:c>
    </x:row>
    <x:row r="8" ht="15" hidden="0">
      <x:c r="A8" s="107"/>
      <x:c r="B8" s="170" t="s">
        <x:v>3394</x:v>
      </x:c>
      <x:c r="C8" s="171" t="n">
        <x:f aca="0">COUNTIF(Cleaned_Data!$E$2:$E$733,B8)</x:f>
        <x:v>231</x:v>
      </x:c>
      <x:c r="D8" s="172" t="n">
        <x:f aca="0">C8/COUNTA(Cleaned_Data!$E$2:$E$733)</x:f>
        <x:v>0.3155737704918033</x:v>
      </x:c>
      <x:c r="E8" s="153" t="n">
        <x:f aca="0">AVERAGEIF(Cleaned_Data!$E$2:$E$733,B8,Cleaned_Data!$H$2:$H$733)</x:f>
        <x:v>41.87012987012987</x:v>
      </x:c>
      <x:c r="F8" s="153" t="n">
        <x:f aca="0">AVERAGEIF(Cleaned_Data!$E$2:$E$733,B8,Cleaned_Data!$G$2:$G$733)</x:f>
        <x:v>20.96969696969697</x:v>
      </x:c>
      <x:c r="G8" s="171" t="n">
        <x:f aca="0">SUMIF(Cleaned_Data!$E$2:$E$733,B8,Cleaned_Data!$H$2:$H$733)</x:f>
        <x:v>9672</x:v>
      </x:c>
      <x:c r="H8" s="173" t="n">
        <x:f aca="0">SUMIF(Cleaned_Data!$E$2:$E$733,B8,Cleaned_Data!$G$2:$G$733)</x:f>
        <x:v>4844</x:v>
      </x:c>
    </x:row>
    <x:row r="9" ht="15" hidden="0">
      <x:c r="A9" s="107"/>
      <x:c r="B9" s="152" t="s">
        <x:v>5494</x:v>
      </x:c>
      <x:c r="C9" s="189" t="n">
        <x:f aca="0">SUM(C6:C8)</x:f>
        <x:v>732</x:v>
      </x:c>
      <x:c r="D9" s="190"/>
      <x:c r="E9" s="190"/>
      <x:c r="F9" s="190"/>
      <x:c r="G9" s="190"/>
      <x:c r="H9" s="191"/>
    </x:row>
    <x:row r="10">
      <x:c r="A10" s="107"/>
      <x:c r="B10" s="192"/>
      <x:c r="C10" s="190"/>
      <x:c r="D10" s="190"/>
      <x:c r="E10" s="190"/>
      <x:c r="F10" s="190"/>
      <x:c r="G10" s="190"/>
      <x:c r="H10" s="191"/>
    </x:row>
    <x:row r="11">
      <x:c r="A11" s="107"/>
      <x:c r="B11" s="192"/>
      <x:c r="C11" s="190"/>
      <x:c r="D11" s="190"/>
      <x:c r="E11" s="190"/>
      <x:c r="F11" s="190"/>
      <x:c r="G11" s="190"/>
      <x:c r="H11" s="191"/>
    </x:row>
    <x:row r="12" ht="15" hidden="0">
      <x:c r="A12" s="107"/>
      <x:c r="B12" s="152" t="str">
        <x:v>Platform and Sentiment Group Cross-tabulation</x:v>
      </x:c>
      <x:c r="C12" s="190"/>
      <x:c r="D12" s="190"/>
      <x:c r="E12" s="190"/>
      <x:c r="F12" s="190"/>
      <x:c r="G12" s="190"/>
      <x:c r="H12" s="191"/>
    </x:row>
    <x:row r="13" ht="15" hidden="0">
      <x:c r="A13" s="46"/>
      <x:c r="B13" s="193" t="s">
        <x:v>6</x:v>
      </x:c>
      <x:c r="C13" s="194" t="s">
        <x:v>3260</x:v>
      </x:c>
      <x:c r="D13" s="194" t="s">
        <x:v>3189</x:v>
      </x:c>
      <x:c r="E13" s="194" t="s">
        <x:v>3244</x:v>
      </x:c>
      <x:c r="F13" s="194" t="s">
        <x:v>5495</x:v>
      </x:c>
      <x:c r="G13" s="190"/>
      <x:c r="H13" s="191"/>
    </x:row>
    <x:row r="14" ht="15" hidden="0">
      <x:c r="A14" s="107"/>
      <x:c r="B14" s="170" t="s">
        <x:v>3390</x:v>
      </x:c>
      <x:c r="C14" s="171" t="n">
        <x:f aca="0">COUNTIFS(Cleaned_Data!$E$2:$E$733,$B14,Cleaned_Data!$N$2:$N$733,C$13)</x:f>
        <x:v>166</x:v>
      </x:c>
      <x:c r="D14" s="171" t="n">
        <x:f aca="0">COUNTIFS(Cleaned_Data!$E$2:$E$733,$B14,Cleaned_Data!$N$2:$N$733,D$13)</x:f>
        <x:v>68</x:v>
      </x:c>
      <x:c r="E14" s="171" t="n">
        <x:f aca="0">COUNTIFS(Cleaned_Data!$E$2:$E$733,$B14,Cleaned_Data!$N$2:$N$733,E$13)</x:f>
        <x:v>24</x:v>
      </x:c>
      <x:c r="F14" s="171" t="n">
        <x:f aca="0">SUM(C14:E14)</x:f>
        <x:v>258</x:v>
      </x:c>
      <x:c r="G14" s="190"/>
      <x:c r="H14" s="191"/>
    </x:row>
    <x:row r="15" ht="15" hidden="0">
      <x:c r="A15" s="107"/>
      <x:c r="B15" s="170" t="s">
        <x:v>3382</x:v>
      </x:c>
      <x:c r="C15" s="171" t="n">
        <x:f aca="0">COUNTIFS(Cleaned_Data!$E$2:$E$733,$B15,Cleaned_Data!$N$2:$N$733,C$13)</x:f>
        <x:v>155</x:v>
      </x:c>
      <x:c r="D15" s="171" t="n">
        <x:f aca="0">COUNTIFS(Cleaned_Data!$E$2:$E$733,$B15,Cleaned_Data!$N$2:$N$733,D$13)</x:f>
        <x:v>68</x:v>
      </x:c>
      <x:c r="E15" s="171" t="n">
        <x:f aca="0">COUNTIFS(Cleaned_Data!$E$2:$E$733,$B15,Cleaned_Data!$N$2:$N$733,E$13)</x:f>
        <x:v>20</x:v>
      </x:c>
      <x:c r="F15" s="171" t="n">
        <x:f aca="0">SUM(C15:E15)</x:f>
        <x:v>243</x:v>
      </x:c>
      <x:c r="G15" s="190"/>
      <x:c r="H15" s="191"/>
    </x:row>
    <x:row r="16" ht="15" hidden="0">
      <x:c r="A16" s="107"/>
      <x:c r="B16" s="170" t="s">
        <x:v>3394</x:v>
      </x:c>
      <x:c r="C16" s="171" t="n">
        <x:f aca="0">COUNTIFS(Cleaned_Data!$E$2:$E$733,$B16,Cleaned_Data!$N$2:$N$733,C$13)</x:f>
        <x:v>153</x:v>
      </x:c>
      <x:c r="D16" s="171" t="n">
        <x:f aca="0">COUNTIFS(Cleaned_Data!$E$2:$E$733,$B16,Cleaned_Data!$N$2:$N$733,D$13)</x:f>
        <x:v>59</x:v>
      </x:c>
      <x:c r="E16" s="171" t="n">
        <x:f aca="0">COUNTIFS(Cleaned_Data!$E$2:$E$733,$B16,Cleaned_Data!$N$2:$N$733,E$13)</x:f>
        <x:v>19</x:v>
      </x:c>
      <x:c r="F16" s="171" t="n">
        <x:f aca="0">SUM(C16:E16)</x:f>
        <x:v>231</x:v>
      </x:c>
      <x:c r="G16" s="190"/>
      <x:c r="H16" s="191"/>
    </x:row>
    <x:row r="17" ht="15" hidden="0">
      <x:c r="A17" s="107"/>
      <x:c r="B17" s="155" t="s">
        <x:v>5495</x:v>
      </x:c>
      <x:c r="C17" s="174" t="n">
        <x:f aca="0">SUM(C14:C16)</x:f>
        <x:v>474</x:v>
      </x:c>
      <x:c r="D17" s="174" t="n">
        <x:f aca="0">SUM(D14:D16)</x:f>
        <x:v>195</x:v>
      </x:c>
      <x:c r="E17" s="174" t="n">
        <x:f aca="0">SUM(E14:E16)</x:f>
        <x:v>63</x:v>
      </x:c>
      <x:c r="F17" s="174" t="n">
        <x:f aca="0">SUM(F14:F16)</x:f>
        <x:v>732</x:v>
      </x:c>
      <x:c r="G17" s="176"/>
      <x:c r="H17" s="17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6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17.350000381469727" hidden="0">
      <x:c r="A2" s="107"/>
      <x:c r="B2" s="121" t="str">
        <x:v>Engagement by Country: Top 10</x:v>
      </x:c>
      <x:c r="C2" s="107"/>
      <x:c r="D2" s="107"/>
      <x:c r="E2" s="107"/>
      <x:c r="F2" s="107"/>
    </x:row>
    <x:row r="3" ht="15" hidden="0">
      <x:c r="A3" s="107"/>
      <x:c r="B3" s="122" t="str">
        <x:v>Top 10 countries ranked by number of posts.</x:v>
      </x:c>
      <x:c r="C3" s="107"/>
      <x:c r="D3" s="107"/>
      <x:c r="E3" s="107"/>
      <x:c r="F3" s="107"/>
    </x:row>
    <x:row r="4">
      <x:c r="A4" s="107"/>
      <x:c r="B4" s="107"/>
      <x:c r="C4" s="107"/>
      <x:c r="D4" s="107"/>
      <x:c r="E4" s="107"/>
      <x:c r="F4" s="107"/>
    </x:row>
    <x:row r="5" ht="15" hidden="0">
      <x:c r="A5" s="46"/>
      <x:c r="B5" s="51" t="s">
        <x:v>10</x:v>
      </x:c>
      <x:c r="C5" s="51" t="s">
        <x:v>5488</x:v>
      </x:c>
      <x:c r="D5" s="51" t="s">
        <x:v>5489</x:v>
      </x:c>
      <x:c r="E5" s="51" t="s">
        <x:v>5490</x:v>
      </x:c>
      <x:c r="F5" s="123" t="s">
        <x:v>5491</x:v>
      </x:c>
    </x:row>
    <x:row r="6" ht="15" hidden="0">
      <x:c r="A6" s="107"/>
      <x:c r="B6" s="167" t="s">
        <x:v>72</x:v>
      </x:c>
      <x:c r="C6" s="150" t="n">
        <x:f aca="0">COUNTIF(Cleaned_Data!$I$2:$I$733,B6)</x:f>
        <x:v>188</x:v>
      </x:c>
      <x:c r="D6" s="168" t="n">
        <x:f aca="0">C6/COUNTA(Cleaned_Data!$I$2:$I$733)</x:f>
        <x:v>0.2568306010928962</x:v>
      </x:c>
      <x:c r="E6" s="169" t="n">
        <x:f aca="0">AVERAGEIF(Cleaned_Data!$I$2:$I$733,B6,Cleaned_Data!$H$2:$H$733)</x:f>
        <x:v>44.45744680851064</x:v>
      </x:c>
      <x:c r="F6" s="201" t="n">
        <x:f aca="0">AVERAGEIF(Cleaned_Data!$I$2:$I$733,B6,Cleaned_Data!$G$2:$G$733)</x:f>
        <x:v>22.30851063829787</x:v>
      </x:c>
    </x:row>
    <x:row r="7" ht="15" hidden="0">
      <x:c r="A7" s="107"/>
      <x:c r="B7" s="170" t="s">
        <x:v>3396</x:v>
      </x:c>
      <x:c r="C7" s="171" t="n">
        <x:f aca="0">COUNTIF(Cleaned_Data!$I$2:$I$733,B7)</x:f>
        <x:v>143</x:v>
      </x:c>
      <x:c r="D7" s="172" t="n">
        <x:f aca="0">C7/COUNTA(Cleaned_Data!$I$2:$I$733)</x:f>
        <x:v>0.1953551912568306</x:v>
      </x:c>
      <x:c r="E7" s="153" t="n">
        <x:f aca="0">AVERAGEIF(Cleaned_Data!$I$2:$I$733,B7,Cleaned_Data!$H$2:$H$733)</x:f>
        <x:v>40.74825174825175</x:v>
      </x:c>
      <x:c r="F7" s="154" t="n">
        <x:f aca="0">AVERAGEIF(Cleaned_Data!$I$2:$I$733,B7,Cleaned_Data!$G$2:$G$733)</x:f>
        <x:v>20.496503496503497</x:v>
      </x:c>
    </x:row>
    <x:row r="8" ht="15" hidden="0">
      <x:c r="A8" s="107"/>
      <x:c r="B8" s="170" t="s">
        <x:v>3387</x:v>
      </x:c>
      <x:c r="C8" s="171" t="n">
        <x:f aca="0">COUNTIF(Cleaned_Data!$I$2:$I$733,B8)</x:f>
        <x:v>135</x:v>
      </x:c>
      <x:c r="D8" s="172" t="n">
        <x:f aca="0">C8/COUNTA(Cleaned_Data!$I$2:$I$733)</x:f>
        <x:v>0.18442622950819673</x:v>
      </x:c>
      <x:c r="E8" s="153" t="n">
        <x:f aca="0">AVERAGEIF(Cleaned_Data!$I$2:$I$733,B8,Cleaned_Data!$H$2:$H$733)</x:f>
        <x:v>40.65185185185185</x:v>
      </x:c>
      <x:c r="F8" s="154" t="n">
        <x:f aca="0">AVERAGEIF(Cleaned_Data!$I$2:$I$733,B8,Cleaned_Data!$G$2:$G$733)</x:f>
        <x:v>20.377777777777776</x:v>
      </x:c>
    </x:row>
    <x:row r="9" ht="15" hidden="0">
      <x:c r="A9" s="107"/>
      <x:c r="B9" s="170" t="s">
        <x:v>3400</x:v>
      </x:c>
      <x:c r="C9" s="171" t="n">
        <x:f aca="0">COUNTIF(Cleaned_Data!$I$2:$I$733,B9)</x:f>
        <x:v>75</x:v>
      </x:c>
      <x:c r="D9" s="172" t="n">
        <x:f aca="0">C9/COUNTA(Cleaned_Data!$I$2:$I$733)</x:f>
        <x:v>0.10245901639344263</x:v>
      </x:c>
      <x:c r="E9" s="153" t="n">
        <x:f aca="0">AVERAGEIF(Cleaned_Data!$I$2:$I$733,B9,Cleaned_Data!$H$2:$H$733)</x:f>
        <x:v>39.013333333333335</x:v>
      </x:c>
      <x:c r="F9" s="154" t="n">
        <x:f aca="0">AVERAGEIF(Cleaned_Data!$I$2:$I$733,B9,Cleaned_Data!$G$2:$G$733)</x:f>
        <x:v>19.52</x:v>
      </x:c>
    </x:row>
    <x:row r="10" ht="15" hidden="0">
      <x:c r="A10" s="107"/>
      <x:c r="B10" s="170" t="s">
        <x:v>3404</x:v>
      </x:c>
      <x:c r="C10" s="171" t="n">
        <x:f aca="0">COUNTIF(Cleaned_Data!$I$2:$I$733,B10)</x:f>
        <x:v>70</x:v>
      </x:c>
      <x:c r="D10" s="172" t="n">
        <x:f aca="0">C10/COUNTA(Cleaned_Data!$I$2:$I$733)</x:f>
        <x:v>0.09562841530054644</x:v>
      </x:c>
      <x:c r="E10" s="153" t="n">
        <x:f aca="0">AVERAGEIF(Cleaned_Data!$I$2:$I$733,B10,Cleaned_Data!$H$2:$H$733)</x:f>
        <x:v>38.214285714285715</x:v>
      </x:c>
      <x:c r="F10" s="154" t="n">
        <x:f aca="0">AVERAGEIF(Cleaned_Data!$I$2:$I$733,B10,Cleaned_Data!$G$2:$G$733)</x:f>
        <x:v>19.057142857142857</x:v>
      </x:c>
    </x:row>
    <x:row r="11" ht="15" hidden="0">
      <x:c r="A11" s="107"/>
      <x:c r="B11" s="170" t="s">
        <x:v>4324</x:v>
      </x:c>
      <x:c r="C11" s="171" t="n">
        <x:f aca="0">COUNTIF(Cleaned_Data!$I$2:$I$733,B11)</x:f>
        <x:v>17</x:v>
      </x:c>
      <x:c r="D11" s="172" t="n">
        <x:f aca="0">C11/COUNTA(Cleaned_Data!$I$2:$I$733)</x:f>
        <x:v>0.023224043715846996</x:v>
      </x:c>
      <x:c r="E11" s="153" t="n">
        <x:f aca="0">AVERAGEIF(Cleaned_Data!$I$2:$I$733,B11,Cleaned_Data!$H$2:$H$733)</x:f>
        <x:v>52.94117647058823</x:v>
      </x:c>
      <x:c r="F11" s="154" t="n">
        <x:f aca="0">AVERAGEIF(Cleaned_Data!$I$2:$I$733,B11,Cleaned_Data!$G$2:$G$733)</x:f>
        <x:v>26.352941176470587</x:v>
      </x:c>
    </x:row>
    <x:row r="12" ht="15" hidden="0">
      <x:c r="A12" s="107"/>
      <x:c r="B12" s="170" t="s">
        <x:v>4320</x:v>
      </x:c>
      <x:c r="C12" s="171" t="n">
        <x:f aca="0">COUNTIF(Cleaned_Data!$I$2:$I$733,B12)</x:f>
        <x:v>16</x:v>
      </x:c>
      <x:c r="D12" s="172" t="n">
        <x:f aca="0">C12/COUNTA(Cleaned_Data!$I$2:$I$733)</x:f>
        <x:v>0.02185792349726776</x:v>
      </x:c>
      <x:c r="E12" s="153" t="n">
        <x:f aca="0">AVERAGEIF(Cleaned_Data!$I$2:$I$733,B12,Cleaned_Data!$H$2:$H$733)</x:f>
        <x:v>46.25</x:v>
      </x:c>
      <x:c r="F12" s="154" t="n">
        <x:f aca="0">AVERAGEIF(Cleaned_Data!$I$2:$I$733,B12,Cleaned_Data!$G$2:$G$733)</x:f>
        <x:v>23.25</x:v>
      </x:c>
    </x:row>
    <x:row r="13" ht="15" hidden="0">
      <x:c r="A13" s="107"/>
      <x:c r="B13" s="170" t="s">
        <x:v>4328</x:v>
      </x:c>
      <x:c r="C13" s="171" t="n">
        <x:f aca="0">COUNTIF(Cleaned_Data!$I$2:$I$733,B13)</x:f>
        <x:v>15</x:v>
      </x:c>
      <x:c r="D13" s="172" t="n">
        <x:f aca="0">C13/COUNTA(Cleaned_Data!$I$2:$I$733)</x:f>
        <x:v>0.020491803278688523</x:v>
      </x:c>
      <x:c r="E13" s="153" t="n">
        <x:f aca="0">AVERAGEIF(Cleaned_Data!$I$2:$I$733,B13,Cleaned_Data!$H$2:$H$733)</x:f>
        <x:v>52.333333333333336</x:v>
      </x:c>
      <x:c r="F13" s="154" t="n">
        <x:f aca="0">AVERAGEIF(Cleaned_Data!$I$2:$I$733,B13,Cleaned_Data!$G$2:$G$733)</x:f>
        <x:v>26.2</x:v>
      </x:c>
    </x:row>
    <x:row r="14" ht="15" hidden="0">
      <x:c r="A14" s="107"/>
      <x:c r="B14" s="170" t="s">
        <x:v>4435</x:v>
      </x:c>
      <x:c r="C14" s="171" t="n">
        <x:f aca="0">COUNTIF(Cleaned_Data!$I$2:$I$733,B14)</x:f>
        <x:v>14</x:v>
      </x:c>
      <x:c r="D14" s="172" t="n">
        <x:f aca="0">C14/COUNTA(Cleaned_Data!$I$2:$I$733)</x:f>
        <x:v>0.01912568306010929</x:v>
      </x:c>
      <x:c r="E14" s="153" t="n">
        <x:f aca="0">AVERAGEIF(Cleaned_Data!$I$2:$I$733,B14,Cleaned_Data!$H$2:$H$733)</x:f>
        <x:v>48.214285714285715</x:v>
      </x:c>
      <x:c r="F14" s="154" t="n">
        <x:f aca="0">AVERAGEIF(Cleaned_Data!$I$2:$I$733,B14,Cleaned_Data!$G$2:$G$733)</x:f>
        <x:v>24.214285714285715</x:v>
      </x:c>
    </x:row>
    <x:row r="15" ht="15" hidden="0">
      <x:c r="A15" s="107"/>
      <x:c r="B15" s="170" t="s">
        <x:v>4443</x:v>
      </x:c>
      <x:c r="C15" s="171" t="n">
        <x:f aca="0">COUNTIF(Cleaned_Data!$I$2:$I$733,B15)</x:f>
        <x:v>11</x:v>
      </x:c>
      <x:c r="D15" s="172" t="n">
        <x:f aca="0">C15/COUNTA(Cleaned_Data!$I$2:$I$733)</x:f>
        <x:v>0.015027322404371584</x:v>
      </x:c>
      <x:c r="E15" s="153" t="n">
        <x:f aca="0">AVERAGEIF(Cleaned_Data!$I$2:$I$733,B15,Cleaned_Data!$H$2:$H$733)</x:f>
        <x:v>46.81818181818182</x:v>
      </x:c>
      <x:c r="F15" s="154" t="n">
        <x:f aca="0">AVERAGEIF(Cleaned_Data!$I$2:$I$733,B15,Cleaned_Data!$G$2:$G$733)</x:f>
        <x:v>23.545454545454547</x:v>
      </x:c>
    </x:row>
    <x:row r="16" ht="15" hidden="0">
      <x:c r="A16" s="107"/>
      <x:c r="B16" s="152" t="s">
        <x:v>5496</x:v>
      </x:c>
      <x:c r="C16" s="189" t="n">
        <x:f aca="0">SUM(C6:C15)</x:f>
        <x:v>684</x:v>
      </x:c>
      <x:c r="D16" s="202" t="n">
        <x:f aca="0">C16/COUNTA(Cleaned_Data!$I$2:$I$733)</x:f>
        <x:v>0.9344262295081968</x:v>
      </x:c>
      <x:c r="E16" s="190"/>
      <x:c r="F16" s="191"/>
    </x:row>
    <x:row r="17">
      <x:c r="A17" s="107"/>
      <x:c r="B17" s="192"/>
      <x:c r="C17" s="190"/>
      <x:c r="D17" s="190"/>
      <x:c r="E17" s="190"/>
      <x:c r="F17" s="191"/>
    </x:row>
    <x:row r="18" ht="15" hidden="0">
      <x:c r="A18" s="107"/>
      <x:c r="B18" s="203" t="str">
        <x:v>Number of countries in the dataset:</x:v>
      </x:c>
      <x:c r="C18" s="176"/>
      <x:c r="D18" s="176"/>
      <x:c r="E18" s="176"/>
      <x:c r="F18" s="204" t="n">
        <x:f aca="0"/>
        <x:v>33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8" width="16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 ht="17.350000381469727" hidden="0">
      <x:c r="A2" s="107"/>
      <x:c r="B2" s="121" t="str">
        <x:v>Posting and Engagement Trend by Year</x:v>
      </x:c>
      <x:c r="C2" s="107"/>
      <x:c r="D2" s="107"/>
      <x:c r="E2" s="107"/>
      <x:c r="F2" s="107"/>
      <x:c r="G2" s="107"/>
      <x:c r="H2" s="107"/>
    </x:row>
    <x:row r="3" ht="15" hidden="0">
      <x:c r="A3" s="107"/>
      <x:c r="B3" s="122" t="str">
        <x:v>Yearly post volume and engagement from 2010 to 2023.</x:v>
      </x:c>
      <x:c r="C3" s="107"/>
      <x:c r="D3" s="107"/>
      <x:c r="E3" s="107"/>
      <x:c r="F3" s="107"/>
      <x:c r="G3" s="107"/>
      <x:c r="H3" s="107"/>
    </x:row>
    <x:row r="4">
      <x:c r="A4" s="107"/>
      <x:c r="B4" s="107"/>
      <x:c r="C4" s="107"/>
      <x:c r="D4" s="107"/>
      <x:c r="E4" s="107"/>
      <x:c r="F4" s="107"/>
      <x:c r="G4" s="107"/>
      <x:c r="H4" s="107"/>
    </x:row>
    <x:row r="5" ht="15" hidden="0">
      <x:c r="A5" s="46"/>
      <x:c r="B5" s="51" t="s">
        <x:v>11</x:v>
      </x:c>
      <x:c r="C5" s="51" t="s">
        <x:v>5488</x:v>
      </x:c>
      <x:c r="D5" s="51" t="s">
        <x:v>5490</x:v>
      </x:c>
      <x:c r="E5" s="51" t="s">
        <x:v>5491</x:v>
      </x:c>
      <x:c r="F5" s="51" t="s">
        <x:v>5497</x:v>
      </x:c>
      <x:c r="G5" s="51" t="s">
        <x:v>5498</x:v>
      </x:c>
      <x:c r="H5" s="123" t="s">
        <x:v>5499</x:v>
      </x:c>
    </x:row>
    <x:row r="6" ht="15" hidden="0">
      <x:c r="A6" s="107"/>
      <x:c r="B6" s="167" t="n">
        <x:v>2010</x:v>
      </x:c>
      <x:c r="C6" s="150" t="n">
        <x:f aca="0">COUNTIF(Cleaned_Data!$J$2:$J$733,B6)</x:f>
        <x:v>3</x:v>
      </x:c>
      <x:c r="D6" s="169" t="n">
        <x:f aca="0">IFERROR(AVERAGEIF(Cleaned_Data!$J$2:$J$733,B6,Cleaned_Data!$H$2:$H$733),0)</x:f>
        <x:v>53.333333333333336</x:v>
      </x:c>
      <x:c r="E6" s="169" t="n">
        <x:f aca="0">IFERROR(AVERAGEIF(Cleaned_Data!$J$2:$J$733,B6,Cleaned_Data!$G$2:$G$733),0)</x:f>
        <x:v>26.666666666666668</x:v>
      </x:c>
      <x:c r="F6" s="150" t="n">
        <x:f aca="0">COUNTIFS(Cleaned_Data!$J$2:$J$733,B6,Cleaned_Data!$N$2:$N$733,"Positive")</x:f>
        <x:v>3</x:v>
      </x:c>
      <x:c r="G6" s="150" t="n">
        <x:f aca="0">COUNTIFS(Cleaned_Data!$J$2:$J$733,B6,Cleaned_Data!$N$2:$N$733,"Negative")</x:f>
        <x:v>0</x:v>
      </x:c>
      <x:c r="H6" s="151" t="n">
        <x:f aca="0">COUNTIFS(Cleaned_Data!$J$2:$J$733,B6,Cleaned_Data!$N$2:$N$733,"Neutral")</x:f>
        <x:v>0</x:v>
      </x:c>
    </x:row>
    <x:row r="7" ht="15" hidden="0">
      <x:c r="A7" s="107"/>
      <x:c r="B7" s="170" t="n">
        <x:v>2011</x:v>
      </x:c>
      <x:c r="C7" s="171" t="n">
        <x:f aca="0">COUNTIF(Cleaned_Data!$J$2:$J$733,B7)</x:f>
        <x:v>4</x:v>
      </x:c>
      <x:c r="D7" s="153" t="n">
        <x:f aca="0">IFERROR(AVERAGEIF(Cleaned_Data!$J$2:$J$733,B7,Cleaned_Data!$H$2:$H$733),0)</x:f>
        <x:v>46.25</x:v>
      </x:c>
      <x:c r="E7" s="153" t="n">
        <x:f aca="0">IFERROR(AVERAGEIF(Cleaned_Data!$J$2:$J$733,B7,Cleaned_Data!$G$2:$G$733),0)</x:f>
        <x:v>22.75</x:v>
      </x:c>
      <x:c r="F7" s="171" t="n">
        <x:f aca="0">COUNTIFS(Cleaned_Data!$J$2:$J$733,B7,Cleaned_Data!$N$2:$N$733,"Positive")</x:f>
        <x:v>4</x:v>
      </x:c>
      <x:c r="G7" s="171" t="n">
        <x:f aca="0">COUNTIFS(Cleaned_Data!$J$2:$J$733,B7,Cleaned_Data!$N$2:$N$733,"Negative")</x:f>
        <x:v>0</x:v>
      </x:c>
      <x:c r="H7" s="173" t="n">
        <x:f aca="0">COUNTIFS(Cleaned_Data!$J$2:$J$733,B7,Cleaned_Data!$N$2:$N$733,"Neutral")</x:f>
        <x:v>0</x:v>
      </x:c>
    </x:row>
    <x:row r="8" ht="15" hidden="0">
      <x:c r="A8" s="107"/>
      <x:c r="B8" s="170" t="n">
        <x:v>2012</x:v>
      </x:c>
      <x:c r="C8" s="171" t="n">
        <x:f aca="0">COUNTIF(Cleaned_Data!$J$2:$J$733,B8)</x:f>
        <x:v>4</x:v>
      </x:c>
      <x:c r="D8" s="153" t="n">
        <x:f aca="0">IFERROR(AVERAGEIF(Cleaned_Data!$J$2:$J$733,B8,Cleaned_Data!$H$2:$H$733),0)</x:f>
        <x:v>40</x:v>
      </x:c>
      <x:c r="E8" s="153" t="n">
        <x:f aca="0">IFERROR(AVERAGEIF(Cleaned_Data!$J$2:$J$733,B8,Cleaned_Data!$G$2:$G$733),0)</x:f>
        <x:v>20</x:v>
      </x:c>
      <x:c r="F8" s="171" t="n">
        <x:f aca="0">COUNTIFS(Cleaned_Data!$J$2:$J$733,B8,Cleaned_Data!$N$2:$N$733,"Positive")</x:f>
        <x:v>4</x:v>
      </x:c>
      <x:c r="G8" s="171" t="n">
        <x:f aca="0">COUNTIFS(Cleaned_Data!$J$2:$J$733,B8,Cleaned_Data!$N$2:$N$733,"Negative")</x:f>
        <x:v>0</x:v>
      </x:c>
      <x:c r="H8" s="173" t="n">
        <x:f aca="0">COUNTIFS(Cleaned_Data!$J$2:$J$733,B8,Cleaned_Data!$N$2:$N$733,"Neutral")</x:f>
        <x:v>0</x:v>
      </x:c>
    </x:row>
    <x:row r="9" ht="15" hidden="0">
      <x:c r="A9" s="107"/>
      <x:c r="B9" s="170" t="n">
        <x:v>2013</x:v>
      </x:c>
      <x:c r="C9" s="171" t="n">
        <x:f aca="0">COUNTIF(Cleaned_Data!$J$2:$J$733,B9)</x:f>
        <x:v>4</x:v>
      </x:c>
      <x:c r="D9" s="153" t="n">
        <x:f aca="0">IFERROR(AVERAGEIF(Cleaned_Data!$J$2:$J$733,B9,Cleaned_Data!$H$2:$H$733),0)</x:f>
        <x:v>43.75</x:v>
      </x:c>
      <x:c r="E9" s="153" t="n">
        <x:f aca="0">IFERROR(AVERAGEIF(Cleaned_Data!$J$2:$J$733,B9,Cleaned_Data!$G$2:$G$733),0)</x:f>
        <x:v>22</x:v>
      </x:c>
      <x:c r="F9" s="171" t="n">
        <x:f aca="0">COUNTIFS(Cleaned_Data!$J$2:$J$733,B9,Cleaned_Data!$N$2:$N$733,"Positive")</x:f>
        <x:v>4</x:v>
      </x:c>
      <x:c r="G9" s="171" t="n">
        <x:f aca="0">COUNTIFS(Cleaned_Data!$J$2:$J$733,B9,Cleaned_Data!$N$2:$N$733,"Negative")</x:f>
        <x:v>0</x:v>
      </x:c>
      <x:c r="H9" s="173" t="n">
        <x:f aca="0">COUNTIFS(Cleaned_Data!$J$2:$J$733,B9,Cleaned_Data!$N$2:$N$733,"Neutral")</x:f>
        <x:v>0</x:v>
      </x:c>
    </x:row>
    <x:row r="10" ht="15" hidden="0">
      <x:c r="A10" s="107"/>
      <x:c r="B10" s="170" t="n">
        <x:v>2014</x:v>
      </x:c>
      <x:c r="C10" s="171" t="n">
        <x:f aca="0">COUNTIF(Cleaned_Data!$J$2:$J$733,B10)</x:f>
        <x:v>4</x:v>
      </x:c>
      <x:c r="D10" s="153" t="n">
        <x:f aca="0">IFERROR(AVERAGEIF(Cleaned_Data!$J$2:$J$733,B10,Cleaned_Data!$H$2:$H$733),0)</x:f>
        <x:v>40</x:v>
      </x:c>
      <x:c r="E10" s="153" t="n">
        <x:f aca="0">IFERROR(AVERAGEIF(Cleaned_Data!$J$2:$J$733,B10,Cleaned_Data!$G$2:$G$733),0)</x:f>
        <x:v>20</x:v>
      </x:c>
      <x:c r="F10" s="171" t="n">
        <x:f aca="0">COUNTIFS(Cleaned_Data!$J$2:$J$733,B10,Cleaned_Data!$N$2:$N$733,"Positive")</x:f>
        <x:v>4</x:v>
      </x:c>
      <x:c r="G10" s="171" t="n">
        <x:f aca="0">COUNTIFS(Cleaned_Data!$J$2:$J$733,B10,Cleaned_Data!$N$2:$N$733,"Negative")</x:f>
        <x:v>0</x:v>
      </x:c>
      <x:c r="H10" s="173" t="n">
        <x:f aca="0">COUNTIFS(Cleaned_Data!$J$2:$J$733,B10,Cleaned_Data!$N$2:$N$733,"Neutral")</x:f>
        <x:v>0</x:v>
      </x:c>
    </x:row>
    <x:row r="11" ht="15" hidden="0">
      <x:c r="A11" s="107"/>
      <x:c r="B11" s="170" t="n">
        <x:v>2015</x:v>
      </x:c>
      <x:c r="C11" s="171" t="n">
        <x:f aca="0">COUNTIF(Cleaned_Data!$J$2:$J$733,B11)</x:f>
        <x:v>19</x:v>
      </x:c>
      <x:c r="D11" s="153" t="n">
        <x:f aca="0">IFERROR(AVERAGEIF(Cleaned_Data!$J$2:$J$733,B11,Cleaned_Data!$H$2:$H$733),0)</x:f>
        <x:v>45.21052631578947</x:v>
      </x:c>
      <x:c r="E11" s="153" t="n">
        <x:f aca="0">IFERROR(AVERAGEIF(Cleaned_Data!$J$2:$J$733,B11,Cleaned_Data!$G$2:$G$733),0)</x:f>
        <x:v>22.842105263157894</x:v>
      </x:c>
      <x:c r="F11" s="171" t="n">
        <x:f aca="0">COUNTIFS(Cleaned_Data!$J$2:$J$733,B11,Cleaned_Data!$N$2:$N$733,"Positive")</x:f>
        <x:v>13</x:v>
      </x:c>
      <x:c r="G11" s="171" t="n">
        <x:f aca="0">COUNTIFS(Cleaned_Data!$J$2:$J$733,B11,Cleaned_Data!$N$2:$N$733,"Negative")</x:f>
        <x:v>5</x:v>
      </x:c>
      <x:c r="H11" s="173" t="n">
        <x:f aca="0">COUNTIFS(Cleaned_Data!$J$2:$J$733,B11,Cleaned_Data!$N$2:$N$733,"Neutral")</x:f>
        <x:v>1</x:v>
      </x:c>
    </x:row>
    <x:row r="12" ht="15" hidden="0">
      <x:c r="A12" s="107"/>
      <x:c r="B12" s="170" t="n">
        <x:v>2016</x:v>
      </x:c>
      <x:c r="C12" s="171" t="n">
        <x:f aca="0">COUNTIF(Cleaned_Data!$J$2:$J$733,B12)</x:f>
        <x:v>38</x:v>
      </x:c>
      <x:c r="D12" s="153" t="n">
        <x:f aca="0">IFERROR(AVERAGEIF(Cleaned_Data!$J$2:$J$733,B12,Cleaned_Data!$H$2:$H$733),0)</x:f>
        <x:v>43.71052631578947</x:v>
      </x:c>
      <x:c r="E12" s="153" t="n">
        <x:f aca="0">IFERROR(AVERAGEIF(Cleaned_Data!$J$2:$J$733,B12,Cleaned_Data!$G$2:$G$733),0)</x:f>
        <x:v>22</x:v>
      </x:c>
      <x:c r="F12" s="171" t="n">
        <x:f aca="0">COUNTIFS(Cleaned_Data!$J$2:$J$733,B12,Cleaned_Data!$N$2:$N$733,"Positive")</x:f>
        <x:v>24</x:v>
      </x:c>
      <x:c r="G12" s="171" t="n">
        <x:f aca="0">COUNTIFS(Cleaned_Data!$J$2:$J$733,B12,Cleaned_Data!$N$2:$N$733,"Negative")</x:f>
        <x:v>12</x:v>
      </x:c>
      <x:c r="H12" s="173" t="n">
        <x:f aca="0">COUNTIFS(Cleaned_Data!$J$2:$J$733,B12,Cleaned_Data!$N$2:$N$733,"Neutral")</x:f>
        <x:v>2</x:v>
      </x:c>
    </x:row>
    <x:row r="13" ht="15" hidden="0">
      <x:c r="A13" s="107"/>
      <x:c r="B13" s="170" t="n">
        <x:v>2017</x:v>
      </x:c>
      <x:c r="C13" s="171" t="n">
        <x:f aca="0">COUNTIF(Cleaned_Data!$J$2:$J$733,B13)</x:f>
        <x:v>43</x:v>
      </x:c>
      <x:c r="D13" s="153" t="n">
        <x:f aca="0">IFERROR(AVERAGEIF(Cleaned_Data!$J$2:$J$733,B13,Cleaned_Data!$H$2:$H$733),0)</x:f>
        <x:v>41.51162790697674</x:v>
      </x:c>
      <x:c r="E13" s="153" t="n">
        <x:f aca="0">IFERROR(AVERAGEIF(Cleaned_Data!$J$2:$J$733,B13,Cleaned_Data!$G$2:$G$733),0)</x:f>
        <x:v>20.74418604651163</x:v>
      </x:c>
      <x:c r="F13" s="171" t="n">
        <x:f aca="0">COUNTIFS(Cleaned_Data!$J$2:$J$733,B13,Cleaned_Data!$N$2:$N$733,"Positive")</x:f>
        <x:v>24</x:v>
      </x:c>
      <x:c r="G13" s="171" t="n">
        <x:f aca="0">COUNTIFS(Cleaned_Data!$J$2:$J$733,B13,Cleaned_Data!$N$2:$N$733,"Negative")</x:f>
        <x:v>15</x:v>
      </x:c>
      <x:c r="H13" s="173" t="n">
        <x:f aca="0">COUNTIFS(Cleaned_Data!$J$2:$J$733,B13,Cleaned_Data!$N$2:$N$733,"Neutral")</x:f>
        <x:v>4</x:v>
      </x:c>
    </x:row>
    <x:row r="14" ht="15" hidden="0">
      <x:c r="A14" s="107"/>
      <x:c r="B14" s="170" t="n">
        <x:v>2018</x:v>
      </x:c>
      <x:c r="C14" s="171" t="n">
        <x:f aca="0">COUNTIF(Cleaned_Data!$J$2:$J$733,B14)</x:f>
        <x:v>56</x:v>
      </x:c>
      <x:c r="D14" s="153" t="n">
        <x:f aca="0">IFERROR(AVERAGEIF(Cleaned_Data!$J$2:$J$733,B14,Cleaned_Data!$H$2:$H$733),0)</x:f>
        <x:v>44.732142857142854</x:v>
      </x:c>
      <x:c r="E14" s="153" t="n">
        <x:f aca="0">IFERROR(AVERAGEIF(Cleaned_Data!$J$2:$J$733,B14,Cleaned_Data!$G$2:$G$733),0)</x:f>
        <x:v>22.375</x:v>
      </x:c>
      <x:c r="F14" s="171" t="n">
        <x:f aca="0">COUNTIFS(Cleaned_Data!$J$2:$J$733,B14,Cleaned_Data!$N$2:$N$733,"Positive")</x:f>
        <x:v>33</x:v>
      </x:c>
      <x:c r="G14" s="171" t="n">
        <x:f aca="0">COUNTIFS(Cleaned_Data!$J$2:$J$733,B14,Cleaned_Data!$N$2:$N$733,"Negative")</x:f>
        <x:v>18</x:v>
      </x:c>
      <x:c r="H14" s="173" t="n">
        <x:f aca="0">COUNTIFS(Cleaned_Data!$J$2:$J$733,B14,Cleaned_Data!$N$2:$N$733,"Neutral")</x:f>
        <x:v>5</x:v>
      </x:c>
    </x:row>
    <x:row r="15" ht="15" hidden="0">
      <x:c r="A15" s="107"/>
      <x:c r="B15" s="170" t="n">
        <x:v>2019</x:v>
      </x:c>
      <x:c r="C15" s="171" t="n">
        <x:f aca="0">COUNTIF(Cleaned_Data!$J$2:$J$733,B15)</x:f>
        <x:v>73</x:v>
      </x:c>
      <x:c r="D15" s="153" t="n">
        <x:f aca="0">IFERROR(AVERAGEIF(Cleaned_Data!$J$2:$J$733,B15,Cleaned_Data!$H$2:$H$733),0)</x:f>
        <x:v>44.16438356164384</x:v>
      </x:c>
      <x:c r="E15" s="153" t="n">
        <x:f aca="0">IFERROR(AVERAGEIF(Cleaned_Data!$J$2:$J$733,B15,Cleaned_Data!$G$2:$G$733),0)</x:f>
        <x:v>22.068493150684933</x:v>
      </x:c>
      <x:c r="F15" s="171" t="n">
        <x:f aca="0">COUNTIFS(Cleaned_Data!$J$2:$J$733,B15,Cleaned_Data!$N$2:$N$733,"Positive")</x:f>
        <x:v>38</x:v>
      </x:c>
      <x:c r="G15" s="171" t="n">
        <x:f aca="0">COUNTIFS(Cleaned_Data!$J$2:$J$733,B15,Cleaned_Data!$N$2:$N$733,"Negative")</x:f>
        <x:v>25</x:v>
      </x:c>
      <x:c r="H15" s="173" t="n">
        <x:f aca="0">COUNTIFS(Cleaned_Data!$J$2:$J$733,B15,Cleaned_Data!$N$2:$N$733,"Neutral")</x:f>
        <x:v>10</x:v>
      </x:c>
    </x:row>
    <x:row r="16" ht="15" hidden="0">
      <x:c r="A16" s="107"/>
      <x:c r="B16" s="170" t="n">
        <x:v>2020</x:v>
      </x:c>
      <x:c r="C16" s="171" t="n">
        <x:f aca="0">COUNTIF(Cleaned_Data!$J$2:$J$733,B16)</x:f>
        <x:v>69</x:v>
      </x:c>
      <x:c r="D16" s="153" t="n">
        <x:f aca="0">IFERROR(AVERAGEIF(Cleaned_Data!$J$2:$J$733,B16,Cleaned_Data!$H$2:$H$733),0)</x:f>
        <x:v>42.27536231884058</x:v>
      </x:c>
      <x:c r="E16" s="153" t="n">
        <x:f aca="0">IFERROR(AVERAGEIF(Cleaned_Data!$J$2:$J$733,B16,Cleaned_Data!$G$2:$G$733),0)</x:f>
        <x:v>21.130434782608695</x:v>
      </x:c>
      <x:c r="F16" s="171" t="n">
        <x:f aca="0">COUNTIFS(Cleaned_Data!$J$2:$J$733,B16,Cleaned_Data!$N$2:$N$733,"Positive")</x:f>
        <x:v>49</x:v>
      </x:c>
      <x:c r="G16" s="171" t="n">
        <x:f aca="0">COUNTIFS(Cleaned_Data!$J$2:$J$733,B16,Cleaned_Data!$N$2:$N$733,"Negative")</x:f>
        <x:v>18</x:v>
      </x:c>
      <x:c r="H16" s="173" t="n">
        <x:f aca="0">COUNTIFS(Cleaned_Data!$J$2:$J$733,B16,Cleaned_Data!$N$2:$N$733,"Neutral")</x:f>
        <x:v>2</x:v>
      </x:c>
    </x:row>
    <x:row r="17" ht="15" hidden="0">
      <x:c r="A17" s="107"/>
      <x:c r="B17" s="170" t="n">
        <x:v>2021</x:v>
      </x:c>
      <x:c r="C17" s="171" t="n">
        <x:f aca="0">COUNTIF(Cleaned_Data!$J$2:$J$733,B17)</x:f>
        <x:v>63</x:v>
      </x:c>
      <x:c r="D17" s="153" t="n">
        <x:f aca="0">IFERROR(AVERAGEIF(Cleaned_Data!$J$2:$J$733,B17,Cleaned_Data!$H$2:$H$733),0)</x:f>
        <x:v>42.03174603174603</x:v>
      </x:c>
      <x:c r="E17" s="153" t="n">
        <x:f aca="0">IFERROR(AVERAGEIF(Cleaned_Data!$J$2:$J$733,B17,Cleaned_Data!$G$2:$G$733),0)</x:f>
        <x:v>21.047619047619047</x:v>
      </x:c>
      <x:c r="F17" s="171" t="n">
        <x:f aca="0">COUNTIFS(Cleaned_Data!$J$2:$J$733,B17,Cleaned_Data!$N$2:$N$733,"Positive")</x:f>
        <x:v>38</x:v>
      </x:c>
      <x:c r="G17" s="171" t="n">
        <x:f aca="0">COUNTIFS(Cleaned_Data!$J$2:$J$733,B17,Cleaned_Data!$N$2:$N$733,"Negative")</x:f>
        <x:v>24</x:v>
      </x:c>
      <x:c r="H17" s="173" t="n">
        <x:f aca="0">COUNTIFS(Cleaned_Data!$J$2:$J$733,B17,Cleaned_Data!$N$2:$N$733,"Neutral")</x:f>
        <x:v>1</x:v>
      </x:c>
    </x:row>
    <x:row r="18" ht="15" hidden="0">
      <x:c r="A18" s="107"/>
      <x:c r="B18" s="170" t="n">
        <x:v>2022</x:v>
      </x:c>
      <x:c r="C18" s="171" t="n">
        <x:f aca="0">COUNTIF(Cleaned_Data!$J$2:$J$733,B18)</x:f>
        <x:v>63</x:v>
      </x:c>
      <x:c r="D18" s="153" t="n">
        <x:f aca="0">IFERROR(AVERAGEIF(Cleaned_Data!$J$2:$J$733,B18,Cleaned_Data!$H$2:$H$733),0)</x:f>
        <x:v>43.44444444444444</x:v>
      </x:c>
      <x:c r="E18" s="153" t="n">
        <x:f aca="0">IFERROR(AVERAGEIF(Cleaned_Data!$J$2:$J$733,B18,Cleaned_Data!$G$2:$G$733),0)</x:f>
        <x:v>21.6984126984127</x:v>
      </x:c>
      <x:c r="F18" s="171" t="n">
        <x:f aca="0">COUNTIFS(Cleaned_Data!$J$2:$J$733,B18,Cleaned_Data!$N$2:$N$733,"Positive")</x:f>
        <x:v>38</x:v>
      </x:c>
      <x:c r="G18" s="171" t="n">
        <x:f aca="0">COUNTIFS(Cleaned_Data!$J$2:$J$733,B18,Cleaned_Data!$N$2:$N$733,"Negative")</x:f>
        <x:v>17</x:v>
      </x:c>
      <x:c r="H18" s="173" t="n">
        <x:f aca="0">COUNTIFS(Cleaned_Data!$J$2:$J$733,B18,Cleaned_Data!$N$2:$N$733,"Neutral")</x:f>
        <x:v>8</x:v>
      </x:c>
    </x:row>
    <x:row r="19" ht="15" hidden="0">
      <x:c r="A19" s="107"/>
      <x:c r="B19" s="170" t="n">
        <x:v>2023</x:v>
      </x:c>
      <x:c r="C19" s="171" t="n">
        <x:f aca="0">COUNTIF(Cleaned_Data!$J$2:$J$733,B19)</x:f>
        <x:v>289</x:v>
      </x:c>
      <x:c r="D19" s="153" t="n">
        <x:f aca="0">IFERROR(AVERAGEIF(Cleaned_Data!$J$2:$J$733,B19,Cleaned_Data!$H$2:$H$733),0)</x:f>
        <x:v>42.311418685121104</x:v>
      </x:c>
      <x:c r="E19" s="153" t="n">
        <x:f aca="0">IFERROR(AVERAGEIF(Cleaned_Data!$J$2:$J$733,B19,Cleaned_Data!$G$2:$G$733),0)</x:f>
        <x:v>21.273356401384085</x:v>
      </x:c>
      <x:c r="F19" s="171" t="n">
        <x:f aca="0">COUNTIFS(Cleaned_Data!$J$2:$J$733,B19,Cleaned_Data!$N$2:$N$733,"Positive")</x:f>
        <x:v>198</x:v>
      </x:c>
      <x:c r="G19" s="171" t="n">
        <x:f aca="0">COUNTIFS(Cleaned_Data!$J$2:$J$733,B19,Cleaned_Data!$N$2:$N$733,"Negative")</x:f>
        <x:v>61</x:v>
      </x:c>
      <x:c r="H19" s="173" t="n">
        <x:f aca="0">COUNTIFS(Cleaned_Data!$J$2:$J$733,B19,Cleaned_Data!$N$2:$N$733,"Neutral")</x:f>
        <x:v>30</x:v>
      </x:c>
    </x:row>
    <x:row r="20" ht="15" hidden="0">
      <x:c r="A20" s="107"/>
      <x:c r="B20" s="155" t="s">
        <x:v>5494</x:v>
      </x:c>
      <x:c r="C20" s="174" t="n">
        <x:f aca="0">SUM(C6:C19)</x:f>
        <x:v>732</x:v>
      </x:c>
      <x:c r="D20" s="176"/>
      <x:c r="E20" s="176"/>
      <x:c r="F20" s="176"/>
      <x:c r="G20" s="176"/>
      <x:c r="H20" s="17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2" max="2" width="58" hidden="0" customWidth="1"/>
    <x:col min="3" max="3" width="18" hidden="0" customWidth="1"/>
  </x:cols>
  <x:sheetData>
    <x:row r="2" ht="17.350000381469727" hidden="0">
      <x:c r="A2" s="107"/>
      <x:c r="B2" s="121" t="str">
        <x:v>Correlation and Regression: Likes and Retweets</x:v>
      </x:c>
      <x:c r="C2" s="107"/>
    </x:row>
    <x:row r="3" ht="15" hidden="0">
      <x:c r="A3" s="107"/>
      <x:c r="B3" s="122" t="str">
        <x:v>Relationship between Likes and Retweets.</x:v>
      </x:c>
      <x:c r="C3" s="107"/>
    </x:row>
    <x:row r="4">
      <x:c r="A4" s="107"/>
      <x:c r="B4" s="107"/>
      <x:c r="C4" s="107"/>
    </x:row>
    <x:row r="5" ht="15" hidden="0">
      <x:c r="A5" s="46"/>
      <x:c r="B5" s="51" t="s">
        <x:v>5500</x:v>
      </x:c>
      <x:c r="C5" s="123" t="s">
        <x:v>5501</x:v>
      </x:c>
    </x:row>
    <x:row r="6" ht="15" hidden="0">
      <x:c r="A6" s="107"/>
      <x:c r="B6" s="167" t="s">
        <x:v>5502</x:v>
      </x:c>
      <x:c r="C6" s="229" t="n">
        <x:f aca="0">CORREL(Cleaned_Data!$H$2:$H$733,Cleaned_Data!$G$2:$G$733)</x:f>
        <x:v>0.99848211191769</x:v>
      </x:c>
    </x:row>
    <x:row r="7" ht="15" hidden="0">
      <x:c r="A7" s="107"/>
      <x:c r="B7" s="170" t="s">
        <x:v>5503</x:v>
      </x:c>
      <x:c r="C7" s="230" t="n">
        <x:f aca="0">RSQ(Cleaned_Data!$H$2:$H$733,Cleaned_Data!$G$2:$G$733)</x:f>
        <x:v>0.9969665278196106</x:v>
      </x:c>
    </x:row>
    <x:row r="8" ht="15" hidden="0">
      <x:c r="A8" s="107"/>
      <x:c r="B8" s="170" t="s">
        <x:v>5504</x:v>
      </x:c>
      <x:c r="C8" s="230" t="n">
        <x:f aca="0">SLOPE(Cleaned_Data!$H$2:$H$733,Cleaned_Data!$G$2:$G$733)</x:f>
        <x:v>1.992336913158582</x:v>
      </x:c>
    </x:row>
    <x:row r="9" ht="15" hidden="0">
      <x:c r="A9" s="107"/>
      <x:c r="B9" s="170" t="s">
        <x:v>5505</x:v>
      </x:c>
      <x:c r="C9" s="230" t="n">
        <x:f aca="0">INTERCEPT(Cleaned_Data!$H$2:$H$733,Cleaned_Data!$G$2:$G$733)</x:f>
        <x:v>0.05006508091705797</x:v>
      </x:c>
    </x:row>
    <x:row r="10">
      <x:c r="A10" s="107"/>
      <x:c r="B10" s="192"/>
      <x:c r="C10" s="191"/>
    </x:row>
    <x:row r="11" ht="15" hidden="0">
      <x:c r="A11" s="107"/>
      <x:c r="B11" s="231" t="str">
        <x:v>Interpretation: values of r close to 1 show a strong positive relationship.</x:v>
      </x:c>
      <x:c r="C11" s="191"/>
    </x:row>
    <x:row r="12">
      <x:c r="A12" s="107"/>
      <x:c r="B12" s="192"/>
      <x:c r="C12" s="191"/>
    </x:row>
    <x:row r="13" ht="15" hidden="0">
      <x:c r="A13" s="107"/>
      <x:c r="B13" s="203" t="str">
        <x:v>The scatter chart is included on the Charts_Dashboard sheet.</x:v>
      </x:c>
      <x:c r="C13" s="17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2" ht="17.350000381469727" hidden="0">
      <x:c r="B2" s="36" t="str">
        <x:v>Project 1: Excel Dashboard</x:v>
      </x:c>
    </x:row>
    <x:row r="3" ht="15" hidden="0">
      <x:c r="B3" s="43" t="str">
        <x:v>Main charts from the sentiment and engagement analysis.</x:v>
      </x:c>
    </x:row>
  </x:sheetData>
  <x:pageMargins left="0.7" right="0.7" top="0.75" bottom="0.75" header="0.3" footer="0.3"/>
  <x:drawing xmlns:r="http://schemas.openxmlformats.org/officeDocument/2006/relationships" r:id="R4b934889a92d4779"/>
</x:worksheet>
</file>

<file path=xl/worksheets/sheet14.xml><?xml version="1.0" encoding="utf-8"?>
<x:worksheet xmlns:x="http://schemas.openxmlformats.org/spreadsheetml/2006/main">
  <x:sheetFormatPr defaultRowHeight="15"/>
  <x:cols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B2" s="121" t="str">
        <x:v>Posting Activity by Hour</x:v>
      </x:c>
      <x:c r="C2" s="107"/>
      <x:c r="D2" s="107"/>
      <x:c r="E2" s="107"/>
      <x:c r="F2" s="107"/>
    </x:row>
    <x:row r="3">
      <x:c r="B3" s="122" t="str">
        <x:v>Hourly post counts and average engagement calculated from Cleaned_Data.</x:v>
      </x:c>
      <x:c r="C3" s="107"/>
      <x:c r="D3" s="107"/>
      <x:c r="E3" s="107"/>
      <x:c r="F3" s="107"/>
    </x:row>
    <x:row r="4">
      <x:c r="B4" s="107"/>
      <x:c r="C4" s="107"/>
      <x:c r="D4" s="107"/>
      <x:c r="E4" s="107"/>
      <x:c r="F4" s="107"/>
    </x:row>
    <x:row r="5">
      <x:c r="B5" s="123" t="str">
        <x:v>Hour</x:v>
      </x:c>
      <x:c r="C5" s="123" t="str">
        <x:v>Post Count</x:v>
      </x:c>
      <x:c r="D5" s="123" t="str">
        <x:v>% of Posts</x:v>
      </x:c>
      <x:c r="E5" s="123" t="str">
        <x:v>Avg Likes</x:v>
      </x:c>
      <x:c r="F5" s="123" t="str">
        <x:v>Avg Retweets</x:v>
      </x:c>
    </x:row>
    <x:row r="6">
      <x:c r="B6" s="209" t="n">
        <x:v>0</x:v>
      </x:c>
      <x:c r="C6" s="210" t="n">
        <x:f>COUNTIF(Cleaned_Data!$M$2:$M$733,B6)</x:f>
        <x:v>1</x:v>
      </x:c>
      <x:c r="D6" s="211" t="n">
        <x:f>C6/COUNTA(Cleaned_Data!$M$2:$M$733)</x:f>
        <x:v>0.001366120218579235</x:v>
      </x:c>
      <x:c r="E6" s="212" t="n">
        <x:f>IFERROR(AVERAGEIF(Cleaned_Data!$M$2:$M$733,B6,Cleaned_Data!$H$2:$H$733),0)</x:f>
        <x:v>35</x:v>
      </x:c>
      <x:c r="F6" s="213" t="n">
        <x:f>IFERROR(AVERAGEIF(Cleaned_Data!$M$2:$M$733,B6,Cleaned_Data!$G$2:$G$733),0)</x:f>
        <x:v>18</x:v>
      </x:c>
    </x:row>
    <x:row r="7">
      <x:c r="B7" s="192" t="n">
        <x:v>1</x:v>
      </x:c>
      <x:c r="C7" s="190" t="n">
        <x:f>COUNTIF(Cleaned_Data!$M$2:$M$733,B7)</x:f>
        <x:v>0</x:v>
      </x:c>
      <x:c r="D7" s="214" t="n">
        <x:f>C7/COUNTA(Cleaned_Data!$M$2:$M$733)</x:f>
        <x:v>0</x:v>
      </x:c>
      <x:c r="E7" s="215" t="n">
        <x:f>IFERROR(AVERAGEIF(Cleaned_Data!$M$2:$M$733,B7,Cleaned_Data!$H$2:$H$733),0)</x:f>
        <x:v>0</x:v>
      </x:c>
      <x:c r="F7" s="216" t="n">
        <x:f>IFERROR(AVERAGEIF(Cleaned_Data!$M$2:$M$733,B7,Cleaned_Data!$G$2:$G$733),0)</x:f>
        <x:v>0</x:v>
      </x:c>
    </x:row>
    <x:row r="8">
      <x:c r="B8" s="192" t="n">
        <x:v>2</x:v>
      </x:c>
      <x:c r="C8" s="190" t="n">
        <x:f>COUNTIF(Cleaned_Data!$M$2:$M$733,B8)</x:f>
        <x:v>1</x:v>
      </x:c>
      <x:c r="D8" s="214" t="n">
        <x:f>C8/COUNTA(Cleaned_Data!$M$2:$M$733)</x:f>
        <x:v>0.001366120218579235</x:v>
      </x:c>
      <x:c r="E8" s="215" t="n">
        <x:f>IFERROR(AVERAGEIF(Cleaned_Data!$M$2:$M$733,B8,Cleaned_Data!$H$2:$H$733),0)</x:f>
        <x:v>36</x:v>
      </x:c>
      <x:c r="F8" s="216" t="n">
        <x:f>IFERROR(AVERAGEIF(Cleaned_Data!$M$2:$M$733,B8,Cleaned_Data!$G$2:$G$733),0)</x:f>
        <x:v>18</x:v>
      </x:c>
    </x:row>
    <x:row r="9">
      <x:c r="B9" s="192" t="n">
        <x:v>3</x:v>
      </x:c>
      <x:c r="C9" s="190" t="n">
        <x:f>COUNTIF(Cleaned_Data!$M$2:$M$733,B9)</x:f>
        <x:v>3</x:v>
      </x:c>
      <x:c r="D9" s="214" t="n">
        <x:f>C9/COUNTA(Cleaned_Data!$M$2:$M$733)</x:f>
        <x:v>0.004098360655737705</x:v>
      </x:c>
      <x:c r="E9" s="215" t="n">
        <x:f>IFERROR(AVERAGEIF(Cleaned_Data!$M$2:$M$733,B9,Cleaned_Data!$H$2:$H$733),0)</x:f>
        <x:v>36</x:v>
      </x:c>
      <x:c r="F9" s="216" t="n">
        <x:f>IFERROR(AVERAGEIF(Cleaned_Data!$M$2:$M$733,B9,Cleaned_Data!$G$2:$G$733),0)</x:f>
        <x:v>18</x:v>
      </x:c>
    </x:row>
    <x:row r="10">
      <x:c r="B10" s="192" t="n">
        <x:v>4</x:v>
      </x:c>
      <x:c r="C10" s="190" t="n">
        <x:f>COUNTIF(Cleaned_Data!$M$2:$M$733,B10)</x:f>
        <x:v>0</x:v>
      </x:c>
      <x:c r="D10" s="214" t="n">
        <x:f>C10/COUNTA(Cleaned_Data!$M$2:$M$733)</x:f>
        <x:v>0</x:v>
      </x:c>
      <x:c r="E10" s="215" t="n">
        <x:f>IFERROR(AVERAGEIF(Cleaned_Data!$M$2:$M$733,B10,Cleaned_Data!$H$2:$H$733),0)</x:f>
        <x:v>0</x:v>
      </x:c>
      <x:c r="F10" s="216" t="n">
        <x:f>IFERROR(AVERAGEIF(Cleaned_Data!$M$2:$M$733,B10,Cleaned_Data!$G$2:$G$733),0)</x:f>
        <x:v>0</x:v>
      </x:c>
    </x:row>
    <x:row r="11">
      <x:c r="B11" s="192" t="n">
        <x:v>5</x:v>
      </x:c>
      <x:c r="C11" s="190" t="n">
        <x:f>COUNTIF(Cleaned_Data!$M$2:$M$733,B11)</x:f>
        <x:v>1</x:v>
      </x:c>
      <x:c r="D11" s="214" t="n">
        <x:f>C11/COUNTA(Cleaned_Data!$M$2:$M$733)</x:f>
        <x:v>0.001366120218579235</x:v>
      </x:c>
      <x:c r="E11" s="215" t="n">
        <x:f>IFERROR(AVERAGEIF(Cleaned_Data!$M$2:$M$733,B11,Cleaned_Data!$H$2:$H$733),0)</x:f>
        <x:v>55</x:v>
      </x:c>
      <x:c r="F11" s="216" t="n">
        <x:f>IFERROR(AVERAGEIF(Cleaned_Data!$M$2:$M$733,B11,Cleaned_Data!$G$2:$G$733),0)</x:f>
        <x:v>28</x:v>
      </x:c>
    </x:row>
    <x:row r="12">
      <x:c r="B12" s="192" t="n">
        <x:v>6</x:v>
      </x:c>
      <x:c r="C12" s="190" t="n">
        <x:f>COUNTIF(Cleaned_Data!$M$2:$M$733,B12)</x:f>
        <x:v>4</x:v>
      </x:c>
      <x:c r="D12" s="214" t="n">
        <x:f>C12/COUNTA(Cleaned_Data!$M$2:$M$733)</x:f>
        <x:v>0.00546448087431694</x:v>
      </x:c>
      <x:c r="E12" s="215" t="n">
        <x:f>IFERROR(AVERAGEIF(Cleaned_Data!$M$2:$M$733,B12,Cleaned_Data!$H$2:$H$733),0)</x:f>
        <x:v>34.75</x:v>
      </x:c>
      <x:c r="F12" s="216" t="n">
        <x:f>IFERROR(AVERAGEIF(Cleaned_Data!$M$2:$M$733,B12,Cleaned_Data!$G$2:$G$733),0)</x:f>
        <x:v>17.5</x:v>
      </x:c>
    </x:row>
    <x:row r="13">
      <x:c r="B13" s="192" t="n">
        <x:v>7</x:v>
      </x:c>
      <x:c r="C13" s="190" t="n">
        <x:f>COUNTIF(Cleaned_Data!$M$2:$M$733,B13)</x:f>
        <x:v>7</x:v>
      </x:c>
      <x:c r="D13" s="214" t="n">
        <x:f>C13/COUNTA(Cleaned_Data!$M$2:$M$733)</x:f>
        <x:v>0.009562841530054645</x:v>
      </x:c>
      <x:c r="E13" s="215" t="n">
        <x:f>IFERROR(AVERAGEIF(Cleaned_Data!$M$2:$M$733,B13,Cleaned_Data!$H$2:$H$733),0)</x:f>
        <x:v>41.285714285714285</x:v>
      </x:c>
      <x:c r="F13" s="216" t="n">
        <x:f>IFERROR(AVERAGEIF(Cleaned_Data!$M$2:$M$733,B13,Cleaned_Data!$G$2:$G$733),0)</x:f>
        <x:v>20.571428571428573</x:v>
      </x:c>
    </x:row>
    <x:row r="14">
      <x:c r="B14" s="192" t="n">
        <x:v>8</x:v>
      </x:c>
      <x:c r="C14" s="190" t="n">
        <x:f>COUNTIF(Cleaned_Data!$M$2:$M$733,B14)</x:f>
        <x:v>23</x:v>
      </x:c>
      <x:c r="D14" s="214" t="n">
        <x:f>C14/COUNTA(Cleaned_Data!$M$2:$M$733)</x:f>
        <x:v>0.031420765027322405</x:v>
      </x:c>
      <x:c r="E14" s="215" t="n">
        <x:f>IFERROR(AVERAGEIF(Cleaned_Data!$M$2:$M$733,B14,Cleaned_Data!$H$2:$H$733),0)</x:f>
        <x:v>40.95652173913044</x:v>
      </x:c>
      <x:c r="F14" s="216" t="n">
        <x:f>IFERROR(AVERAGEIF(Cleaned_Data!$M$2:$M$733,B14,Cleaned_Data!$G$2:$G$733),0)</x:f>
        <x:v>20.391304347826086</x:v>
      </x:c>
    </x:row>
    <x:row r="15">
      <x:c r="B15" s="192" t="n">
        <x:v>9</x:v>
      </x:c>
      <x:c r="C15" s="190" t="n">
        <x:f>COUNTIF(Cleaned_Data!$M$2:$M$733,B15)</x:f>
        <x:v>28</x:v>
      </x:c>
      <x:c r="D15" s="214" t="n">
        <x:f>C15/COUNTA(Cleaned_Data!$M$2:$M$733)</x:f>
        <x:v>0.03825136612021858</x:v>
      </x:c>
      <x:c r="E15" s="215" t="n">
        <x:f>IFERROR(AVERAGEIF(Cleaned_Data!$M$2:$M$733,B15,Cleaned_Data!$H$2:$H$733),0)</x:f>
        <x:v>36.892857142857146</x:v>
      </x:c>
      <x:c r="F15" s="216" t="n">
        <x:f>IFERROR(AVERAGEIF(Cleaned_Data!$M$2:$M$733,B15,Cleaned_Data!$G$2:$G$733),0)</x:f>
        <x:v>18.428571428571427</x:v>
      </x:c>
    </x:row>
    <x:row r="16">
      <x:c r="B16" s="192" t="n">
        <x:v>10</x:v>
      </x:c>
      <x:c r="C16" s="190" t="n">
        <x:f>COUNTIF(Cleaned_Data!$M$2:$M$733,B16)</x:f>
        <x:v>30</x:v>
      </x:c>
      <x:c r="D16" s="214" t="n">
        <x:f>C16/COUNTA(Cleaned_Data!$M$2:$M$733)</x:f>
        <x:v>0.040983606557377046</x:v>
      </x:c>
      <x:c r="E16" s="215" t="n">
        <x:f>IFERROR(AVERAGEIF(Cleaned_Data!$M$2:$M$733,B16,Cleaned_Data!$H$2:$H$733),0)</x:f>
        <x:v>41.9</x:v>
      </x:c>
      <x:c r="F16" s="216" t="n">
        <x:f>IFERROR(AVERAGEIF(Cleaned_Data!$M$2:$M$733,B16,Cleaned_Data!$G$2:$G$733),0)</x:f>
        <x:v>20.933333333333334</x:v>
      </x:c>
    </x:row>
    <x:row r="17">
      <x:c r="B17" s="192" t="n">
        <x:v>11</x:v>
      </x:c>
      <x:c r="C17" s="190" t="n">
        <x:f>COUNTIF(Cleaned_Data!$M$2:$M$733,B17)</x:f>
        <x:v>37</x:v>
      </x:c>
      <x:c r="D17" s="214" t="n">
        <x:f>C17/COUNTA(Cleaned_Data!$M$2:$M$733)</x:f>
        <x:v>0.050546448087431695</x:v>
      </x:c>
      <x:c r="E17" s="215" t="n">
        <x:f>IFERROR(AVERAGEIF(Cleaned_Data!$M$2:$M$733,B17,Cleaned_Data!$H$2:$H$733),0)</x:f>
        <x:v>37.729729729729726</x:v>
      </x:c>
      <x:c r="F17" s="216" t="n">
        <x:f>IFERROR(AVERAGEIF(Cleaned_Data!$M$2:$M$733,B17,Cleaned_Data!$G$2:$G$733),0)</x:f>
        <x:v>18.83783783783784</x:v>
      </x:c>
    </x:row>
    <x:row r="18">
      <x:c r="B18" s="192" t="n">
        <x:v>12</x:v>
      </x:c>
      <x:c r="C18" s="190" t="n">
        <x:f>COUNTIF(Cleaned_Data!$M$2:$M$733,B18)</x:f>
        <x:v>38</x:v>
      </x:c>
      <x:c r="D18" s="214" t="n">
        <x:f>C18/COUNTA(Cleaned_Data!$M$2:$M$733)</x:f>
        <x:v>0.05191256830601093</x:v>
      </x:c>
      <x:c r="E18" s="215" t="n">
        <x:f>IFERROR(AVERAGEIF(Cleaned_Data!$M$2:$M$733,B18,Cleaned_Data!$H$2:$H$733),0)</x:f>
        <x:v>41.026315789473685</x:v>
      </x:c>
      <x:c r="F18" s="216" t="n">
        <x:f>IFERROR(AVERAGEIF(Cleaned_Data!$M$2:$M$733,B18,Cleaned_Data!$G$2:$G$733),0)</x:f>
        <x:v>20.68421052631579</x:v>
      </x:c>
    </x:row>
    <x:row r="19">
      <x:c r="B19" s="192" t="n">
        <x:v>13</x:v>
      </x:c>
      <x:c r="C19" s="190" t="n">
        <x:f>COUNTIF(Cleaned_Data!$M$2:$M$733,B19)</x:f>
        <x:v>30</x:v>
      </x:c>
      <x:c r="D19" s="214" t="n">
        <x:f>C19/COUNTA(Cleaned_Data!$M$2:$M$733)</x:f>
        <x:v>0.040983606557377046</x:v>
      </x:c>
      <x:c r="E19" s="215" t="n">
        <x:f>IFERROR(AVERAGEIF(Cleaned_Data!$M$2:$M$733,B19,Cleaned_Data!$H$2:$H$733),0)</x:f>
        <x:v>45.766666666666666</x:v>
      </x:c>
      <x:c r="F19" s="216" t="n">
        <x:f>IFERROR(AVERAGEIF(Cleaned_Data!$M$2:$M$733,B19,Cleaned_Data!$G$2:$G$733),0)</x:f>
        <x:v>23</x:v>
      </x:c>
    </x:row>
    <x:row r="20">
      <x:c r="B20" s="192" t="n">
        <x:v>14</x:v>
      </x:c>
      <x:c r="C20" s="190" t="n">
        <x:f>COUNTIF(Cleaned_Data!$M$2:$M$733,B20)</x:f>
        <x:v>94</x:v>
      </x:c>
      <x:c r="D20" s="214" t="n">
        <x:f>C20/COUNTA(Cleaned_Data!$M$2:$M$733)</x:f>
        <x:v>0.1284153005464481</x:v>
      </x:c>
      <x:c r="E20" s="215" t="n">
        <x:f>IFERROR(AVERAGEIF(Cleaned_Data!$M$2:$M$733,B20,Cleaned_Data!$H$2:$H$733),0)</x:f>
        <x:v>41.58510638297872</x:v>
      </x:c>
      <x:c r="F20" s="216" t="n">
        <x:f>IFERROR(AVERAGEIF(Cleaned_Data!$M$2:$M$733,B20,Cleaned_Data!$G$2:$G$733),0)</x:f>
        <x:v>20.882978723404257</x:v>
      </x:c>
    </x:row>
    <x:row r="21">
      <x:c r="B21" s="192" t="n">
        <x:v>15</x:v>
      </x:c>
      <x:c r="C21" s="190" t="n">
        <x:f>COUNTIF(Cleaned_Data!$M$2:$M$733,B21)</x:f>
        <x:v>47</x:v>
      </x:c>
      <x:c r="D21" s="214" t="n">
        <x:f>C21/COUNTA(Cleaned_Data!$M$2:$M$733)</x:f>
        <x:v>0.06420765027322405</x:v>
      </x:c>
      <x:c r="E21" s="215" t="n">
        <x:f>IFERROR(AVERAGEIF(Cleaned_Data!$M$2:$M$733,B21,Cleaned_Data!$H$2:$H$733),0)</x:f>
        <x:v>40.4468085106383</x:v>
      </x:c>
      <x:c r="F21" s="216" t="n">
        <x:f>IFERROR(AVERAGEIF(Cleaned_Data!$M$2:$M$733,B21,Cleaned_Data!$G$2:$G$733),0)</x:f>
        <x:v>20.29787234042553</x:v>
      </x:c>
    </x:row>
    <x:row r="22">
      <x:c r="B22" s="192" t="n">
        <x:v>16</x:v>
      </x:c>
      <x:c r="C22" s="190" t="n">
        <x:f>COUNTIF(Cleaned_Data!$M$2:$M$733,B22)</x:f>
        <x:v>69</x:v>
      </x:c>
      <x:c r="D22" s="214" t="n">
        <x:f>C22/COUNTA(Cleaned_Data!$M$2:$M$733)</x:f>
        <x:v>0.0942622950819672</x:v>
      </x:c>
      <x:c r="E22" s="215" t="n">
        <x:f>IFERROR(AVERAGEIF(Cleaned_Data!$M$2:$M$733,B22,Cleaned_Data!$H$2:$H$733),0)</x:f>
        <x:v>39.17391304347826</x:v>
      </x:c>
      <x:c r="F22" s="216" t="n">
        <x:f>IFERROR(AVERAGEIF(Cleaned_Data!$M$2:$M$733,B22,Cleaned_Data!$G$2:$G$733),0)</x:f>
        <x:v>19.681159420289855</x:v>
      </x:c>
    </x:row>
    <x:row r="23">
      <x:c r="B23" s="192" t="n">
        <x:v>17</x:v>
      </x:c>
      <x:c r="C23" s="190" t="n">
        <x:f>COUNTIF(Cleaned_Data!$M$2:$M$733,B23)</x:f>
        <x:v>48</x:v>
      </x:c>
      <x:c r="D23" s="214" t="n">
        <x:f>C23/COUNTA(Cleaned_Data!$M$2:$M$733)</x:f>
        <x:v>0.06557377049180328</x:v>
      </x:c>
      <x:c r="E23" s="215" t="n">
        <x:f>IFERROR(AVERAGEIF(Cleaned_Data!$M$2:$M$733,B23,Cleaned_Data!$H$2:$H$733),0)</x:f>
        <x:v>42.4375</x:v>
      </x:c>
      <x:c r="F23" s="216" t="n">
        <x:f>IFERROR(AVERAGEIF(Cleaned_Data!$M$2:$M$733,B23,Cleaned_Data!$G$2:$G$733),0)</x:f>
        <x:v>21.270833333333332</x:v>
      </x:c>
    </x:row>
    <x:row r="24">
      <x:c r="B24" s="192" t="n">
        <x:v>18</x:v>
      </x:c>
      <x:c r="C24" s="190" t="n">
        <x:f>COUNTIF(Cleaned_Data!$M$2:$M$733,B24)</x:f>
        <x:v>65</x:v>
      </x:c>
      <x:c r="D24" s="214" t="n">
        <x:f>C24/COUNTA(Cleaned_Data!$M$2:$M$733)</x:f>
        <x:v>0.08879781420765027</x:v>
      </x:c>
      <x:c r="E24" s="215" t="n">
        <x:f>IFERROR(AVERAGEIF(Cleaned_Data!$M$2:$M$733,B24,Cleaned_Data!$H$2:$H$733),0)</x:f>
        <x:v>44.95384615384615</x:v>
      </x:c>
      <x:c r="F24" s="216" t="n">
        <x:f>IFERROR(AVERAGEIF(Cleaned_Data!$M$2:$M$733,B24,Cleaned_Data!$G$2:$G$733),0)</x:f>
        <x:v>22.53846153846154</x:v>
      </x:c>
    </x:row>
    <x:row r="25">
      <x:c r="B25" s="192" t="n">
        <x:v>19</x:v>
      </x:c>
      <x:c r="C25" s="190" t="n">
        <x:f>COUNTIF(Cleaned_Data!$M$2:$M$733,B25)</x:f>
        <x:v>75</x:v>
      </x:c>
      <x:c r="D25" s="214" t="n">
        <x:f>C25/COUNTA(Cleaned_Data!$M$2:$M$733)</x:f>
        <x:v>0.10245901639344263</x:v>
      </x:c>
      <x:c r="E25" s="215" t="n">
        <x:f>IFERROR(AVERAGEIF(Cleaned_Data!$M$2:$M$733,B25,Cleaned_Data!$H$2:$H$733),0)</x:f>
        <x:v>44.77333333333333</x:v>
      </x:c>
      <x:c r="F25" s="216" t="n">
        <x:f>IFERROR(AVERAGEIF(Cleaned_Data!$M$2:$M$733,B25,Cleaned_Data!$G$2:$G$733),0)</x:f>
        <x:v>22.32</x:v>
      </x:c>
    </x:row>
    <x:row r="26">
      <x:c r="B26" s="192" t="n">
        <x:v>20</x:v>
      </x:c>
      <x:c r="C26" s="190" t="n">
        <x:f>COUNTIF(Cleaned_Data!$M$2:$M$733,B26)</x:f>
        <x:v>50</x:v>
      </x:c>
      <x:c r="D26" s="214" t="n">
        <x:f>C26/COUNTA(Cleaned_Data!$M$2:$M$733)</x:f>
        <x:v>0.06830601092896176</x:v>
      </x:c>
      <x:c r="E26" s="215" t="n">
        <x:f>IFERROR(AVERAGEIF(Cleaned_Data!$M$2:$M$733,B26,Cleaned_Data!$H$2:$H$733),0)</x:f>
        <x:v>49.74</x:v>
      </x:c>
      <x:c r="F26" s="216" t="n">
        <x:f>IFERROR(AVERAGEIF(Cleaned_Data!$M$2:$M$733,B26,Cleaned_Data!$G$2:$G$733),0)</x:f>
        <x:v>25.04</x:v>
      </x:c>
    </x:row>
    <x:row r="27">
      <x:c r="B27" s="192" t="n">
        <x:v>21</x:v>
      </x:c>
      <x:c r="C27" s="190" t="n">
        <x:f>COUNTIF(Cleaned_Data!$M$2:$M$733,B27)</x:f>
        <x:v>41</x:v>
      </x:c>
      <x:c r="D27" s="214" t="n">
        <x:f>C27/COUNTA(Cleaned_Data!$M$2:$M$733)</x:f>
        <x:v>0.056010928961748634</x:v>
      </x:c>
      <x:c r="E27" s="215" t="n">
        <x:f>IFERROR(AVERAGEIF(Cleaned_Data!$M$2:$M$733,B27,Cleaned_Data!$H$2:$H$733),0)</x:f>
        <x:v>43.951219512195124</x:v>
      </x:c>
      <x:c r="F27" s="216" t="n">
        <x:f>IFERROR(AVERAGEIF(Cleaned_Data!$M$2:$M$733,B27,Cleaned_Data!$G$2:$G$733),0)</x:f>
        <x:v>22.024390243902438</x:v>
      </x:c>
    </x:row>
    <x:row r="28">
      <x:c r="B28" s="192" t="n">
        <x:v>22</x:v>
      </x:c>
      <x:c r="C28" s="190" t="n">
        <x:f>COUNTIF(Cleaned_Data!$M$2:$M$733,B28)</x:f>
        <x:v>33</x:v>
      </x:c>
      <x:c r="D28" s="214" t="n">
        <x:f>C28/COUNTA(Cleaned_Data!$M$2:$M$733)</x:f>
        <x:v>0.045081967213114756</x:v>
      </x:c>
      <x:c r="E28" s="215" t="n">
        <x:f>IFERROR(AVERAGEIF(Cleaned_Data!$M$2:$M$733,B28,Cleaned_Data!$H$2:$H$733),0)</x:f>
        <x:v>50.515151515151516</x:v>
      </x:c>
      <x:c r="F28" s="216" t="n">
        <x:f>IFERROR(AVERAGEIF(Cleaned_Data!$M$2:$M$733,B28,Cleaned_Data!$G$2:$G$733),0)</x:f>
        <x:v>25.363636363636363</x:v>
      </x:c>
    </x:row>
    <x:row r="29">
      <x:c r="B29" s="192" t="n">
        <x:v>23</x:v>
      </x:c>
      <x:c r="C29" s="190" t="n">
        <x:f>COUNTIF(Cleaned_Data!$M$2:$M$733,B29)</x:f>
        <x:v>7</x:v>
      </x:c>
      <x:c r="D29" s="214" t="n">
        <x:f>C29/COUNTA(Cleaned_Data!$M$2:$M$733)</x:f>
        <x:v>0.009562841530054645</x:v>
      </x:c>
      <x:c r="E29" s="215" t="n">
        <x:f>IFERROR(AVERAGEIF(Cleaned_Data!$M$2:$M$733,B29,Cleaned_Data!$H$2:$H$733),0)</x:f>
        <x:v>56.57142857142857</x:v>
      </x:c>
      <x:c r="F29" s="216" t="n">
        <x:f>IFERROR(AVERAGEIF(Cleaned_Data!$M$2:$M$733,B29,Cleaned_Data!$G$2:$G$733),0)</x:f>
        <x:v>28.428571428571427</x:v>
      </x:c>
    </x:row>
    <x:row r="30">
      <x:c r="B30" s="217" t="str">
        <x:v>TOTAL</x:v>
      </x:c>
      <x:c r="C30" s="176" t="n">
        <x:f>SUM(C6:C29)</x:f>
        <x:v>732</x:v>
      </x:c>
      <x:c r="D30" s="218" t="n">
        <x:f>SUM(D6:D29)</x:f>
        <x:v>1</x:v>
      </x:c>
      <x:c r="E30" s="176"/>
      <x:c r="F30" s="177"/>
    </x:row>
  </x:sheetData>
  <x:mergeCells>
    <x:mergeCell ref="B2:F2"/>
    <x:mergeCell ref="B3:F3"/>
  </x:mergeCells>
  <x:pageMargins left="0.7" right="0.7" top="0.75" bottom="0.75" header="0.3" footer="0.3"/>
</x:worksheet>
</file>